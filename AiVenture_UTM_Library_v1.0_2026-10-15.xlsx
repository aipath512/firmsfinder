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EȘTE-MĂ" sheetId="1" state="visible" r:id="rId3"/>
    <sheet name="Config" sheetId="2" state="visible" r:id="rId4"/>
    <sheet name="Site-uri" sheetId="3" state="visible" r:id="rId5"/>
    <sheet name="Canale" sheetId="4" state="visible" r:id="rId6"/>
    <sheet name="Bibliotecă" sheetId="5" state="visible" r:id="rId7"/>
    <sheet name="Între site-uri" sheetId="6" state="visible" r:id="rId8"/>
    <sheet name="Constructor" sheetId="7" state="visible" r:id="rId9"/>
  </sheets>
  <definedNames>
    <definedName function="false" hidden="true" localSheetId="4" name="_xlnm._FilterDatabase" vbProcedure="false">Bibliotecă!$A$1:$I$552</definedName>
    <definedName function="false" hidden="true" localSheetId="5" name="_xlnm._FilterDatabase" vbProcedure="false">'Între site-uri'!$A$1:$J$343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<sst xmlns="http://schemas.openxmlformats.org/spreadsheetml/2006/main" count="2091" uniqueCount="231">
  <si>
    <t xml:space="preserve">BIBLIOTECA UTM – REȚEAUA AIVENTURE</t>
  </si>
  <si>
    <t xml:space="preserve">Versiune v1.0 · 15.10.2026 · 19 site-uri × 29 canale B2B = 551 linkuri + 342 linkuri între site-uri</t>
  </si>
  <si>
    <t xml:space="preserve">CUM O FOLOSIȚI</t>
  </si>
  <si>
    <t xml:space="preserve">1. Foaia „Config”: completați celulele galbene (campania și conținutul curent). Toate linkurile din „Bibliotecă” se actualizează singure.</t>
  </si>
  <si>
    <t xml:space="preserve">2. Foaia „Bibliotecă”: filtrați după site (coloana A) și canal (coloana C), copiați linkul din coloana I.</t>
  </si>
  <si>
    <t xml:space="preserve">3. Foaia „Constructor”: alegeți site și canal din liste, completați campania/conținutul/termenul, primiți un link unic.</t>
  </si>
  <si>
    <t xml:space="preserve">4. Foaia „Între site-uri”: linkuri pentru legăturile dintre site-urile rețelei (sursa = site-ul de unde pleacă linkul).</t>
  </si>
  <si>
    <t xml:space="preserve">5. Foile „Site-uri” și „Canale”: adăugați/modificați site-uri sau canale; formulele le preiau după cod.</t>
  </si>
  <si>
    <t xml:space="preserve">REGULI (nu le încălcați, altfel rapoartele se fragmentează)</t>
  </si>
  <si>
    <t xml:space="preserve">• Totul cu litere mici, fără spații și fără diacritice; separator „_”.</t>
  </si>
  <si>
    <t xml:space="preserve">• utm_source = de unde vine omul · utm_medium = tipul canalului · utm_campaign = ce acțiune rulați.</t>
  </si>
  <si>
    <t xml:space="preserve">• Denumire campanie: AALL_site_obiectiv, ex. 2610_ff_lansare (an+lună, cod site, obiectiv).</t>
  </si>
  <si>
    <t xml:space="preserve">• utm_content = ce variantă a mesajului/butonului; utm_term = doar la reclame plătite (cuvânt cheie).</t>
  </si>
  <si>
    <t xml:space="preserve">• Nu folosiți UTM pe linkuri interne în ACELAȘI site (rupe sesiunea și sursa reală). Între site-uri diferite ale rețelei, folosiți foaia „Între site-uri”.</t>
  </si>
  <si>
    <t xml:space="preserve">• Pagina trebuie să aibă canonical fără parametri (ex. https://firmsfinder.eu/ , nu cu ?utm_...), iar sitemap.xml să nu conțină linkuri cu UTM.</t>
  </si>
  <si>
    <t xml:space="preserve">LIMITE – CE NU AM VERIFICAT</t>
  </si>
  <si>
    <t xml:space="preserve">• Linkurile sunt construite după convenție; nu le-am deschis unul câte unul pe fiecare site.</t>
  </si>
  <si>
    <t xml:space="preserve">• Un link UTM măsoară doar dacă site-ul are un instrument de analiză care citește parametrii. Nu am verificat dacă contorul aiventure-gdpr (stats.js) păstrează parametrii UTM – numără vizite, dar nu știu dacă îi salvează.</t>
  </si>
  <si>
    <t xml:space="preserve">• Rolurile marcate „de completat” în foaia Site-uri nu erau cunoscute; completați-le dumneavoastră.</t>
  </si>
  <si>
    <t xml:space="preserve">• Canalele „Agenți AI” sunt experimentale: nu toți agenții păstrează parametrii.</t>
  </si>
  <si>
    <t xml:space="preserve">CONFIG – editați doar celulele galbene</t>
  </si>
  <si>
    <t xml:space="preserve">Campanie curentă (utm_campaign)</t>
  </si>
  <si>
    <t xml:space="preserve">2610_ff_lansare</t>
  </si>
  <si>
    <t xml:space="preserve">Exemplu de format – înlocuiți cu campania dumneavoastră</t>
  </si>
  <si>
    <t xml:space="preserve">Conținut implicit (utm_content)</t>
  </si>
  <si>
    <t xml:space="preserve">general</t>
  </si>
  <si>
    <t xml:space="preserve">Exemplu: hero_cauta, footer, oferta_v2</t>
  </si>
  <si>
    <t xml:space="preserve">Medium pentru legături între site-uri</t>
  </si>
  <si>
    <t xml:space="preserve">network</t>
  </si>
  <si>
    <t xml:space="preserve">Campanii exemplu (ilustrative, modificabile)</t>
  </si>
  <si>
    <t xml:space="preserve">Cod campanie</t>
  </si>
  <si>
    <t xml:space="preserve">Obiectiv</t>
  </si>
  <si>
    <t xml:space="preserve">Lansare FirmsFinder AI</t>
  </si>
  <si>
    <t xml:space="preserve">2610_ecb_parteneriat</t>
  </si>
  <si>
    <t xml:space="preserve">Promovare parteneriat ECBTAX</t>
  </si>
  <si>
    <t xml:space="preserve">2610_3wo_audit</t>
  </si>
  <si>
    <t xml:space="preserve">Audit 3WEBOBS gratuit</t>
  </si>
  <si>
    <t xml:space="preserve">2610_actro_awareness</t>
  </si>
  <si>
    <t xml:space="preserve">EU AI Act – notorietate</t>
  </si>
  <si>
    <t xml:space="preserve">2610_net_crosslink</t>
  </si>
  <si>
    <t xml:space="preserve">Legături între site-urile rețelei</t>
  </si>
  <si>
    <t xml:space="preserve">Cod</t>
  </si>
  <si>
    <t xml:space="preserve">Domeniu</t>
  </si>
  <si>
    <t xml:space="preserve">Cale implicită (landing)</t>
  </si>
  <si>
    <t xml:space="preserve">Rol / descriere</t>
  </si>
  <si>
    <t xml:space="preserve">5el</t>
  </si>
  <si>
    <t xml:space="preserve">5thelement.ai</t>
  </si>
  <si>
    <t xml:space="preserve">/</t>
  </si>
  <si>
    <t xml:space="preserve">Brand principal (flagship) al rețelei</t>
  </si>
  <si>
    <t xml:space="preserve">avro</t>
  </si>
  <si>
    <t xml:space="preserve">aiventure.ro</t>
  </si>
  <si>
    <t xml:space="preserve">Varianta în limba română a rețelei 5thelement.ai</t>
  </si>
  <si>
    <t xml:space="preserve">avuk</t>
  </si>
  <si>
    <t xml:space="preserve">aiventure.uk</t>
  </si>
  <si>
    <t xml:space="preserve">de completat</t>
  </si>
  <si>
    <t xml:space="preserve">3wo</t>
  </si>
  <si>
    <t xml:space="preserve">3webobs.com</t>
  </si>
  <si>
    <t xml:space="preserve">3WEBOBS – observator/audit (Human Web, AI Web, A2A Web)</t>
  </si>
  <si>
    <t xml:space="preserve">lens</t>
  </si>
  <si>
    <t xml:space="preserve">ai-lens.eu</t>
  </si>
  <si>
    <t xml:space="preserve">AI-LENS – dicționarul de business al firmei</t>
  </si>
  <si>
    <t xml:space="preserve">inj</t>
  </si>
  <si>
    <t xml:space="preserve">aireadyinjector.com</t>
  </si>
  <si>
    <t xml:space="preserve">AI-READY EDGE INJECTOR – execuție la edge</t>
  </si>
  <si>
    <t xml:space="preserve">audit</t>
  </si>
  <si>
    <t xml:space="preserve">eu-ai-audit.eu</t>
  </si>
  <si>
    <t xml:space="preserve">AUDIT-AI – audit public de vizibilitate AI</t>
  </si>
  <si>
    <t xml:space="preserve">ready</t>
  </si>
  <si>
    <t xml:space="preserve">eu-ai-ready.eu</t>
  </si>
  <si>
    <t xml:space="preserve">actro</t>
  </si>
  <si>
    <t xml:space="preserve">eu-ai-act.ro</t>
  </si>
  <si>
    <t xml:space="preserve">EU AI Act Ready – pâlnie România</t>
  </si>
  <si>
    <t xml:space="preserve">actrdy</t>
  </si>
  <si>
    <t xml:space="preserve">eu-ai-act-ready.eu</t>
  </si>
  <si>
    <t xml:space="preserve">EU AI Act Ready – achiziție multilingvă, RRVI</t>
  </si>
  <si>
    <t xml:space="preserve">e112ro</t>
  </si>
  <si>
    <t xml:space="preserve">eu-112.ro</t>
  </si>
  <si>
    <t xml:space="preserve">112 pentru AI la muncă (RO)</t>
  </si>
  <si>
    <t xml:space="preserve">e112eu</t>
  </si>
  <si>
    <t xml:space="preserve">eu-112.eu</t>
  </si>
  <si>
    <t xml:space="preserve">Verificator public de instalații pe site</t>
  </si>
  <si>
    <t xml:space="preserve">1iaeu</t>
  </si>
  <si>
    <t xml:space="preserve">1clic-ia.eu</t>
  </si>
  <si>
    <t xml:space="preserve">Adresa principală FirmsFinder AI</t>
  </si>
  <si>
    <t xml:space="preserve">1iafr</t>
  </si>
  <si>
    <t xml:space="preserve">1clic-ia.fr</t>
  </si>
  <si>
    <t xml:space="preserve">ff</t>
  </si>
  <si>
    <t xml:space="preserve">firmsfinder.eu</t>
  </si>
  <si>
    <t xml:space="preserve">FirmsFinder AI – CAUTĂ / FII GĂSIT</t>
  </si>
  <si>
    <t xml:space="preserve">b2b</t>
  </si>
  <si>
    <t xml:space="preserve">b2b-ai-library.org</t>
  </si>
  <si>
    <t xml:space="preserve">3webs</t>
  </si>
  <si>
    <t xml:space="preserve">the3webs.com</t>
  </si>
  <si>
    <t xml:space="preserve">de completat (seria The Three Webs)</t>
  </si>
  <si>
    <t xml:space="preserve">flor</t>
  </si>
  <si>
    <t xml:space="preserve">floride-e2.com</t>
  </si>
  <si>
    <t xml:space="preserve">ecb</t>
  </si>
  <si>
    <t xml:space="preserve">ecbtax.com</t>
  </si>
  <si>
    <t xml:space="preserve">Partener strategic – ECBTAX (contabilitate)</t>
  </si>
  <si>
    <t xml:space="preserve">Grup</t>
  </si>
  <si>
    <t xml:space="preserve">utm_source</t>
  </si>
  <si>
    <t xml:space="preserve">utm_medium</t>
  </si>
  <si>
    <t xml:space="preserve">Utilizare B2B</t>
  </si>
  <si>
    <t xml:space="preserve">li_pers</t>
  </si>
  <si>
    <t xml:space="preserve">LinkedIn</t>
  </si>
  <si>
    <t xml:space="preserve">linkedin_personal</t>
  </si>
  <si>
    <t xml:space="preserve">social</t>
  </si>
  <si>
    <t xml:space="preserve">Postări de pe profilul personal</t>
  </si>
  <si>
    <t xml:space="preserve">li_co</t>
  </si>
  <si>
    <t xml:space="preserve">linkedin_company</t>
  </si>
  <si>
    <t xml:space="preserve">Postări pagina AiVenture</t>
  </si>
  <si>
    <t xml:space="preserve">li_show</t>
  </si>
  <si>
    <t xml:space="preserve">linkedin_showcase</t>
  </si>
  <si>
    <t xml:space="preserve">Pagina showcase 5thElement AI</t>
  </si>
  <si>
    <t xml:space="preserve">li_news</t>
  </si>
  <si>
    <t xml:space="preserve">linkedin_newsletter</t>
  </si>
  <si>
    <t xml:space="preserve">Articole / newsletter LinkedIn</t>
  </si>
  <si>
    <t xml:space="preserve">li_ads</t>
  </si>
  <si>
    <t xml:space="preserve">linkedin_ads</t>
  </si>
  <si>
    <t xml:space="preserve">paid_social</t>
  </si>
  <si>
    <t xml:space="preserve">Reclame LinkedIn (Campaign Manager)</t>
  </si>
  <si>
    <t xml:space="preserve">li_dm</t>
  </si>
  <si>
    <t xml:space="preserve">linkedin_dm</t>
  </si>
  <si>
    <t xml:space="preserve">dm</t>
  </si>
  <si>
    <t xml:space="preserve">Mesaje directe / InMail / Sales Navigator</t>
  </si>
  <si>
    <t xml:space="preserve">em_out</t>
  </si>
  <si>
    <t xml:space="preserve">Email</t>
  </si>
  <si>
    <t xml:space="preserve">email_outreach</t>
  </si>
  <si>
    <t xml:space="preserve">email</t>
  </si>
  <si>
    <t xml:space="preserve">Email la rece către ținte B2B</t>
  </si>
  <si>
    <t xml:space="preserve">em_news</t>
  </si>
  <si>
    <t xml:space="preserve">newsletter</t>
  </si>
  <si>
    <t xml:space="preserve">Newsletter către abonați</t>
  </si>
  <si>
    <t xml:space="preserve">em_sig</t>
  </si>
  <si>
    <t xml:space="preserve">email_signature</t>
  </si>
  <si>
    <t xml:space="preserve">Semnătura de email</t>
  </si>
  <si>
    <t xml:space="preserve">wa</t>
  </si>
  <si>
    <t xml:space="preserve">Mesagerie</t>
  </si>
  <si>
    <t xml:space="preserve">whatsapp</t>
  </si>
  <si>
    <t xml:space="preserve">WhatsApp +40 737 123 540</t>
  </si>
  <si>
    <t xml:space="preserve">g_ads</t>
  </si>
  <si>
    <t xml:space="preserve">Plătit</t>
  </si>
  <si>
    <t xml:space="preserve">google</t>
  </si>
  <si>
    <t xml:space="preserve">cpc</t>
  </si>
  <si>
    <t xml:space="preserve">Google Ads – căutare</t>
  </si>
  <si>
    <t xml:space="preserve">b_ads</t>
  </si>
  <si>
    <t xml:space="preserve">bing</t>
  </si>
  <si>
    <t xml:space="preserve">Microsoft Ads – căutare</t>
  </si>
  <si>
    <t xml:space="preserve">fb</t>
  </si>
  <si>
    <t xml:space="preserve">Social</t>
  </si>
  <si>
    <t xml:space="preserve">facebook</t>
  </si>
  <si>
    <t xml:space="preserve">Pagina Facebook Aiventure</t>
  </si>
  <si>
    <t xml:space="preserve">x</t>
  </si>
  <si>
    <t xml:space="preserve">Cont X @aipath512</t>
  </si>
  <si>
    <t xml:space="preserve">yt</t>
  </si>
  <si>
    <t xml:space="preserve">Video</t>
  </si>
  <si>
    <t xml:space="preserve">youtube</t>
  </si>
  <si>
    <t xml:space="preserve">video</t>
  </si>
  <si>
    <t xml:space="preserve">Descrieri video canal YouTube</t>
  </si>
  <si>
    <t xml:space="preserve">med</t>
  </si>
  <si>
    <t xml:space="preserve">Conținut</t>
  </si>
  <si>
    <t xml:space="preserve">medium</t>
  </si>
  <si>
    <t xml:space="preserve">content</t>
  </si>
  <si>
    <t xml:space="preserve">Articole Medium @aipath512</t>
  </si>
  <si>
    <t xml:space="preserve">cb</t>
  </si>
  <si>
    <t xml:space="preserve">Profiluri</t>
  </si>
  <si>
    <t xml:space="preserve">crunchbase</t>
  </si>
  <si>
    <t xml:space="preserve">referral</t>
  </si>
  <si>
    <t xml:space="preserve">Profil Crunchbase</t>
  </si>
  <si>
    <t xml:space="preserve">zen</t>
  </si>
  <si>
    <t xml:space="preserve">zenodo</t>
  </si>
  <si>
    <t xml:space="preserve">Publicații Zenodo (DOI)</t>
  </si>
  <si>
    <t xml:space="preserve">orc</t>
  </si>
  <si>
    <t xml:space="preserve">orcid</t>
  </si>
  <si>
    <t xml:space="preserve">Profil ORCID</t>
  </si>
  <si>
    <t xml:space="preserve">gh</t>
  </si>
  <si>
    <t xml:space="preserve">github</t>
  </si>
  <si>
    <t xml:space="preserve">README-uri / repo-uri GitHub</t>
  </si>
  <si>
    <t xml:space="preserve">kdp</t>
  </si>
  <si>
    <t xml:space="preserve">Cărți</t>
  </si>
  <si>
    <t xml:space="preserve">kdp_book</t>
  </si>
  <si>
    <t xml:space="preserve">book</t>
  </si>
  <si>
    <t xml:space="preserve">Linkuri din cărțile KDP (cuprins, ultima pagină)</t>
  </si>
  <si>
    <t xml:space="preserve">udemy</t>
  </si>
  <si>
    <t xml:space="preserve">course</t>
  </si>
  <si>
    <t xml:space="preserve">Curs Udemy (descriere, resurse)</t>
  </si>
  <si>
    <t xml:space="preserve">dir</t>
  </si>
  <si>
    <t xml:space="preserve">Referral</t>
  </si>
  <si>
    <t xml:space="preserve">directory</t>
  </si>
  <si>
    <t xml:space="preserve">Directoare / cataloage B2B</t>
  </si>
  <si>
    <t xml:space="preserve">partner</t>
  </si>
  <si>
    <t xml:space="preserve">Linkuri de la parteneri (ex. ECBTAX)</t>
  </si>
  <si>
    <t xml:space="preserve">pdf</t>
  </si>
  <si>
    <t xml:space="preserve">Document</t>
  </si>
  <si>
    <t xml:space="preserve">pdf_proposal</t>
  </si>
  <si>
    <t xml:space="preserve">document</t>
  </si>
  <si>
    <t xml:space="preserve">Oferte PDF, prezentări, deck-uri</t>
  </si>
  <si>
    <t xml:space="preserve">qr</t>
  </si>
  <si>
    <t xml:space="preserve">Offline</t>
  </si>
  <si>
    <t xml:space="preserve">qr_print</t>
  </si>
  <si>
    <t xml:space="preserve">Coduri QR pe tipărituri</t>
  </si>
  <si>
    <t xml:space="preserve">event</t>
  </si>
  <si>
    <t xml:space="preserve">Webinar / conferință / întâlnire</t>
  </si>
  <si>
    <t xml:space="preserve">a2a</t>
  </si>
  <si>
    <t xml:space="preserve">Agenți AI</t>
  </si>
  <si>
    <t xml:space="preserve">a2a_agent_card</t>
  </si>
  <si>
    <t xml:space="preserve">agent</t>
  </si>
  <si>
    <t xml:space="preserve">Agent Card / endpoint A2A (experimental)</t>
  </si>
  <si>
    <t xml:space="preserve">llms</t>
  </si>
  <si>
    <t xml:space="preserve">llms_txt</t>
  </si>
  <si>
    <t xml:space="preserve">ai_web</t>
  </si>
  <si>
    <t xml:space="preserve">llms.txt / pagini pentru crawlere AI (experimental)</t>
  </si>
  <si>
    <t xml:space="preserve">Site</t>
  </si>
  <si>
    <t xml:space="preserve">Canal</t>
  </si>
  <si>
    <t xml:space="preserve">Cale</t>
  </si>
  <si>
    <t xml:space="preserve">utm_campaign</t>
  </si>
  <si>
    <t xml:space="preserve">utm_content</t>
  </si>
  <si>
    <t xml:space="preserve">LINK UTM</t>
  </si>
  <si>
    <t xml:space="preserve">Site sursă</t>
  </si>
  <si>
    <t xml:space="preserve">Domeniu sursă</t>
  </si>
  <si>
    <t xml:space="preserve">Site destinație</t>
  </si>
  <si>
    <t xml:space="preserve">Domeniu destinație</t>
  </si>
  <si>
    <t xml:space="preserve">CONSTRUCTOR – alegeți din liste (celule galbene)</t>
  </si>
  <si>
    <t xml:space="preserve">Site (cod)</t>
  </si>
  <si>
    <t xml:space="preserve">Exemplu pre-completat – schimbați-l</t>
  </si>
  <si>
    <t xml:space="preserve">Canal (cod)</t>
  </si>
  <si>
    <t xml:space="preserve">Cale (opțional, ex. /cautare/)</t>
  </si>
  <si>
    <t xml:space="preserve">/cautare/</t>
  </si>
  <si>
    <t xml:space="preserve">hero_cauta</t>
  </si>
  <si>
    <t xml:space="preserve">utm_term (doar plătit)</t>
  </si>
  <si>
    <t xml:space="preserve">LINK GATA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</si>
</sst>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A8"/>
        <bgColor rgb="FFFFFFCC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23.8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20</v>
      </c>
    </row>
    <row r="3" customFormat="false" ht="15" hidden="false" customHeight="false" outlineLevel="0" collapsed="false">
      <c r="A3" s="5" t="s">
        <v>21</v>
      </c>
      <c r="B3" s="6" t="s">
        <v>22</v>
      </c>
      <c r="C3" s="7" t="s">
        <v>23</v>
      </c>
    </row>
    <row r="4" customFormat="false" ht="15" hidden="false" customHeight="false" outlineLevel="0" collapsed="false">
      <c r="A4" s="5" t="s">
        <v>24</v>
      </c>
      <c r="B4" s="6" t="s">
        <v>25</v>
      </c>
      <c r="C4" s="7" t="s">
        <v>26</v>
      </c>
    </row>
    <row r="5" customFormat="false" ht="15" hidden="false" customHeight="false" outlineLevel="0" collapsed="false">
      <c r="A5" s="5" t="s">
        <v>27</v>
      </c>
      <c r="B5" s="6" t="s">
        <v>28</v>
      </c>
    </row>
    <row r="8" customFormat="false" ht="15" hidden="false" customHeight="false" outlineLevel="0" collapsed="false">
      <c r="A8" s="5" t="s">
        <v>29</v>
      </c>
    </row>
    <row r="9" customFormat="false" ht="15" hidden="false" customHeight="false" outlineLevel="0" collapsed="false">
      <c r="A9" s="8" t="s">
        <v>30</v>
      </c>
      <c r="B9" s="8" t="s">
        <v>31</v>
      </c>
    </row>
    <row r="10" customFormat="false" ht="15" hidden="false" customHeight="false" outlineLevel="0" collapsed="false">
      <c r="A10" s="9" t="s">
        <v>22</v>
      </c>
      <c r="B10" s="10" t="s">
        <v>32</v>
      </c>
    </row>
    <row r="11" customFormat="false" ht="15" hidden="false" customHeight="false" outlineLevel="0" collapsed="false">
      <c r="A11" s="9" t="s">
        <v>33</v>
      </c>
      <c r="B11" s="10" t="s">
        <v>34</v>
      </c>
    </row>
    <row r="12" customFormat="false" ht="15" hidden="false" customHeight="false" outlineLevel="0" collapsed="false">
      <c r="A12" s="9" t="s">
        <v>35</v>
      </c>
      <c r="B12" s="10" t="s">
        <v>36</v>
      </c>
    </row>
    <row r="13" customFormat="false" ht="15" hidden="false" customHeight="false" outlineLevel="0" collapsed="false">
      <c r="A13" s="9" t="s">
        <v>37</v>
      </c>
      <c r="B13" s="10" t="s">
        <v>38</v>
      </c>
    </row>
    <row r="14" customFormat="false" ht="15" hidden="false" customHeight="false" outlineLevel="0" collapsed="false">
      <c r="A14" s="9" t="s">
        <v>39</v>
      </c>
      <c r="B14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4"/>
    <col collapsed="false" customWidth="true" hidden="false" outlineLevel="0" max="4" min="4" style="0" width="64"/>
  </cols>
  <sheetData>
    <row r="1" customFormat="false" ht="15" hidden="false" customHeight="false" outlineLevel="0" collapsed="false">
      <c r="A1" s="8" t="s">
        <v>41</v>
      </c>
      <c r="B1" s="8" t="s">
        <v>42</v>
      </c>
      <c r="C1" s="8" t="s">
        <v>43</v>
      </c>
      <c r="D1" s="8" t="s">
        <v>44</v>
      </c>
    </row>
    <row r="2" customFormat="false" ht="15" hidden="false" customHeight="false" outlineLevel="0" collapsed="false">
      <c r="A2" s="10" t="s">
        <v>45</v>
      </c>
      <c r="B2" s="10" t="s">
        <v>46</v>
      </c>
      <c r="C2" s="11" t="s">
        <v>47</v>
      </c>
      <c r="D2" s="10" t="s">
        <v>48</v>
      </c>
    </row>
    <row r="3" customFormat="false" ht="15" hidden="false" customHeight="false" outlineLevel="0" collapsed="false">
      <c r="A3" s="10" t="s">
        <v>49</v>
      </c>
      <c r="B3" s="10" t="s">
        <v>50</v>
      </c>
      <c r="C3" s="11" t="s">
        <v>47</v>
      </c>
      <c r="D3" s="10" t="s">
        <v>51</v>
      </c>
    </row>
    <row r="4" customFormat="false" ht="15" hidden="false" customHeight="false" outlineLevel="0" collapsed="false">
      <c r="A4" s="10" t="s">
        <v>52</v>
      </c>
      <c r="B4" s="10" t="s">
        <v>53</v>
      </c>
      <c r="C4" s="11" t="s">
        <v>47</v>
      </c>
      <c r="D4" s="10" t="s">
        <v>54</v>
      </c>
    </row>
    <row r="5" customFormat="false" ht="15" hidden="false" customHeight="false" outlineLevel="0" collapsed="false">
      <c r="A5" s="10" t="s">
        <v>55</v>
      </c>
      <c r="B5" s="10" t="s">
        <v>56</v>
      </c>
      <c r="C5" s="11" t="s">
        <v>47</v>
      </c>
      <c r="D5" s="10" t="s">
        <v>57</v>
      </c>
    </row>
    <row r="6" customFormat="false" ht="15" hidden="false" customHeight="false" outlineLevel="0" collapsed="false">
      <c r="A6" s="10" t="s">
        <v>58</v>
      </c>
      <c r="B6" s="10" t="s">
        <v>59</v>
      </c>
      <c r="C6" s="11" t="s">
        <v>47</v>
      </c>
      <c r="D6" s="10" t="s">
        <v>60</v>
      </c>
    </row>
    <row r="7" customFormat="false" ht="15" hidden="false" customHeight="false" outlineLevel="0" collapsed="false">
      <c r="A7" s="10" t="s">
        <v>61</v>
      </c>
      <c r="B7" s="10" t="s">
        <v>62</v>
      </c>
      <c r="C7" s="11" t="s">
        <v>47</v>
      </c>
      <c r="D7" s="10" t="s">
        <v>63</v>
      </c>
    </row>
    <row r="8" customFormat="false" ht="15" hidden="false" customHeight="false" outlineLevel="0" collapsed="false">
      <c r="A8" s="10" t="s">
        <v>64</v>
      </c>
      <c r="B8" s="10" t="s">
        <v>65</v>
      </c>
      <c r="C8" s="11" t="s">
        <v>47</v>
      </c>
      <c r="D8" s="10" t="s">
        <v>66</v>
      </c>
    </row>
    <row r="9" customFormat="false" ht="15" hidden="false" customHeight="false" outlineLevel="0" collapsed="false">
      <c r="A9" s="10" t="s">
        <v>67</v>
      </c>
      <c r="B9" s="10" t="s">
        <v>68</v>
      </c>
      <c r="C9" s="11" t="s">
        <v>47</v>
      </c>
      <c r="D9" s="10" t="s">
        <v>54</v>
      </c>
    </row>
    <row r="10" customFormat="false" ht="15" hidden="false" customHeight="false" outlineLevel="0" collapsed="false">
      <c r="A10" s="10" t="s">
        <v>69</v>
      </c>
      <c r="B10" s="10" t="s">
        <v>70</v>
      </c>
      <c r="C10" s="11" t="s">
        <v>47</v>
      </c>
      <c r="D10" s="10" t="s">
        <v>71</v>
      </c>
    </row>
    <row r="11" customFormat="false" ht="15" hidden="false" customHeight="false" outlineLevel="0" collapsed="false">
      <c r="A11" s="10" t="s">
        <v>72</v>
      </c>
      <c r="B11" s="10" t="s">
        <v>73</v>
      </c>
      <c r="C11" s="11" t="s">
        <v>47</v>
      </c>
      <c r="D11" s="10" t="s">
        <v>74</v>
      </c>
    </row>
    <row r="12" customFormat="false" ht="15" hidden="false" customHeight="false" outlineLevel="0" collapsed="false">
      <c r="A12" s="10" t="s">
        <v>75</v>
      </c>
      <c r="B12" s="10" t="s">
        <v>76</v>
      </c>
      <c r="C12" s="11" t="s">
        <v>47</v>
      </c>
      <c r="D12" s="10" t="s">
        <v>77</v>
      </c>
    </row>
    <row r="13" customFormat="false" ht="15" hidden="false" customHeight="false" outlineLevel="0" collapsed="false">
      <c r="A13" s="10" t="s">
        <v>78</v>
      </c>
      <c r="B13" s="10" t="s">
        <v>79</v>
      </c>
      <c r="C13" s="11" t="s">
        <v>47</v>
      </c>
      <c r="D13" s="10" t="s">
        <v>80</v>
      </c>
    </row>
    <row r="14" customFormat="false" ht="15" hidden="false" customHeight="false" outlineLevel="0" collapsed="false">
      <c r="A14" s="10" t="s">
        <v>81</v>
      </c>
      <c r="B14" s="10" t="s">
        <v>82</v>
      </c>
      <c r="C14" s="11" t="s">
        <v>47</v>
      </c>
      <c r="D14" s="10" t="s">
        <v>83</v>
      </c>
    </row>
    <row r="15" customFormat="false" ht="15" hidden="false" customHeight="false" outlineLevel="0" collapsed="false">
      <c r="A15" s="10" t="s">
        <v>84</v>
      </c>
      <c r="B15" s="10" t="s">
        <v>85</v>
      </c>
      <c r="C15" s="11" t="s">
        <v>47</v>
      </c>
      <c r="D15" s="10" t="s">
        <v>54</v>
      </c>
    </row>
    <row r="16" customFormat="false" ht="15" hidden="false" customHeight="false" outlineLevel="0" collapsed="false">
      <c r="A16" s="10" t="s">
        <v>86</v>
      </c>
      <c r="B16" s="10" t="s">
        <v>87</v>
      </c>
      <c r="C16" s="11" t="s">
        <v>47</v>
      </c>
      <c r="D16" s="10" t="s">
        <v>88</v>
      </c>
    </row>
    <row r="17" customFormat="false" ht="15" hidden="false" customHeight="false" outlineLevel="0" collapsed="false">
      <c r="A17" s="10" t="s">
        <v>89</v>
      </c>
      <c r="B17" s="10" t="s">
        <v>90</v>
      </c>
      <c r="C17" s="11" t="s">
        <v>47</v>
      </c>
      <c r="D17" s="10" t="s">
        <v>54</v>
      </c>
    </row>
    <row r="18" customFormat="false" ht="15" hidden="false" customHeight="false" outlineLevel="0" collapsed="false">
      <c r="A18" s="10" t="s">
        <v>91</v>
      </c>
      <c r="B18" s="10" t="s">
        <v>92</v>
      </c>
      <c r="C18" s="11" t="s">
        <v>47</v>
      </c>
      <c r="D18" s="10" t="s">
        <v>93</v>
      </c>
    </row>
    <row r="19" customFormat="false" ht="15" hidden="false" customHeight="false" outlineLevel="0" collapsed="false">
      <c r="A19" s="10" t="s">
        <v>94</v>
      </c>
      <c r="B19" s="10" t="s">
        <v>95</v>
      </c>
      <c r="C19" s="11" t="s">
        <v>47</v>
      </c>
      <c r="D19" s="10" t="s">
        <v>54</v>
      </c>
    </row>
    <row r="20" customFormat="false" ht="15" hidden="false" customHeight="false" outlineLevel="0" collapsed="false">
      <c r="A20" s="10" t="s">
        <v>96</v>
      </c>
      <c r="B20" s="10" t="s">
        <v>97</v>
      </c>
      <c r="C20" s="11" t="s">
        <v>47</v>
      </c>
      <c r="D20" s="1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56"/>
  </cols>
  <sheetData>
    <row r="1" customFormat="false" ht="15" hidden="false" customHeight="false" outlineLevel="0" collapsed="false">
      <c r="A1" s="8" t="s">
        <v>41</v>
      </c>
      <c r="B1" s="8" t="s">
        <v>99</v>
      </c>
      <c r="C1" s="8" t="s">
        <v>100</v>
      </c>
      <c r="D1" s="8" t="s">
        <v>101</v>
      </c>
      <c r="E1" s="8" t="s">
        <v>102</v>
      </c>
    </row>
    <row r="2" customFormat="false" ht="15" hidden="false" customHeight="false" outlineLevel="0" collapsed="false">
      <c r="A2" s="10" t="s">
        <v>103</v>
      </c>
      <c r="B2" s="10" t="s">
        <v>104</v>
      </c>
      <c r="C2" s="10" t="s">
        <v>105</v>
      </c>
      <c r="D2" s="10" t="s">
        <v>106</v>
      </c>
      <c r="E2" s="10" t="s">
        <v>107</v>
      </c>
    </row>
    <row r="3" customFormat="false" ht="15" hidden="false" customHeight="false" outlineLevel="0" collapsed="false">
      <c r="A3" s="10" t="s">
        <v>108</v>
      </c>
      <c r="B3" s="10" t="s">
        <v>104</v>
      </c>
      <c r="C3" s="10" t="s">
        <v>109</v>
      </c>
      <c r="D3" s="10" t="s">
        <v>106</v>
      </c>
      <c r="E3" s="10" t="s">
        <v>110</v>
      </c>
    </row>
    <row r="4" customFormat="false" ht="15" hidden="false" customHeight="false" outlineLevel="0" collapsed="false">
      <c r="A4" s="10" t="s">
        <v>111</v>
      </c>
      <c r="B4" s="10" t="s">
        <v>104</v>
      </c>
      <c r="C4" s="10" t="s">
        <v>112</v>
      </c>
      <c r="D4" s="10" t="s">
        <v>106</v>
      </c>
      <c r="E4" s="10" t="s">
        <v>113</v>
      </c>
    </row>
    <row r="5" customFormat="false" ht="15" hidden="false" customHeight="false" outlineLevel="0" collapsed="false">
      <c r="A5" s="10" t="s">
        <v>114</v>
      </c>
      <c r="B5" s="10" t="s">
        <v>104</v>
      </c>
      <c r="C5" s="10" t="s">
        <v>115</v>
      </c>
      <c r="D5" s="10" t="s">
        <v>106</v>
      </c>
      <c r="E5" s="10" t="s">
        <v>116</v>
      </c>
    </row>
    <row r="6" customFormat="false" ht="15" hidden="false" customHeight="false" outlineLevel="0" collapsed="false">
      <c r="A6" s="10" t="s">
        <v>117</v>
      </c>
      <c r="B6" s="10" t="s">
        <v>104</v>
      </c>
      <c r="C6" s="10" t="s">
        <v>118</v>
      </c>
      <c r="D6" s="10" t="s">
        <v>119</v>
      </c>
      <c r="E6" s="10" t="s">
        <v>120</v>
      </c>
    </row>
    <row r="7" customFormat="false" ht="15" hidden="false" customHeight="false" outlineLevel="0" collapsed="false">
      <c r="A7" s="10" t="s">
        <v>121</v>
      </c>
      <c r="B7" s="10" t="s">
        <v>104</v>
      </c>
      <c r="C7" s="10" t="s">
        <v>122</v>
      </c>
      <c r="D7" s="10" t="s">
        <v>123</v>
      </c>
      <c r="E7" s="10" t="s">
        <v>124</v>
      </c>
    </row>
    <row r="8" customFormat="false" ht="15" hidden="false" customHeight="false" outlineLevel="0" collapsed="false">
      <c r="A8" s="10" t="s">
        <v>125</v>
      </c>
      <c r="B8" s="10" t="s">
        <v>126</v>
      </c>
      <c r="C8" s="10" t="s">
        <v>127</v>
      </c>
      <c r="D8" s="10" t="s">
        <v>128</v>
      </c>
      <c r="E8" s="10" t="s">
        <v>129</v>
      </c>
    </row>
    <row r="9" customFormat="false" ht="15" hidden="false" customHeight="false" outlineLevel="0" collapsed="false">
      <c r="A9" s="10" t="s">
        <v>130</v>
      </c>
      <c r="B9" s="10" t="s">
        <v>126</v>
      </c>
      <c r="C9" s="10" t="s">
        <v>131</v>
      </c>
      <c r="D9" s="10" t="s">
        <v>128</v>
      </c>
      <c r="E9" s="10" t="s">
        <v>132</v>
      </c>
    </row>
    <row r="10" customFormat="false" ht="15" hidden="false" customHeight="false" outlineLevel="0" collapsed="false">
      <c r="A10" s="10" t="s">
        <v>133</v>
      </c>
      <c r="B10" s="10" t="s">
        <v>126</v>
      </c>
      <c r="C10" s="10" t="s">
        <v>134</v>
      </c>
      <c r="D10" s="10" t="s">
        <v>128</v>
      </c>
      <c r="E10" s="10" t="s">
        <v>135</v>
      </c>
    </row>
    <row r="11" customFormat="false" ht="15" hidden="false" customHeight="false" outlineLevel="0" collapsed="false">
      <c r="A11" s="10" t="s">
        <v>136</v>
      </c>
      <c r="B11" s="10" t="s">
        <v>137</v>
      </c>
      <c r="C11" s="10" t="s">
        <v>138</v>
      </c>
      <c r="D11" s="10" t="s">
        <v>123</v>
      </c>
      <c r="E11" s="10" t="s">
        <v>139</v>
      </c>
    </row>
    <row r="12" customFormat="false" ht="15" hidden="false" customHeight="false" outlineLevel="0" collapsed="false">
      <c r="A12" s="10" t="s">
        <v>140</v>
      </c>
      <c r="B12" s="10" t="s">
        <v>141</v>
      </c>
      <c r="C12" s="10" t="s">
        <v>142</v>
      </c>
      <c r="D12" s="10" t="s">
        <v>143</v>
      </c>
      <c r="E12" s="10" t="s">
        <v>144</v>
      </c>
    </row>
    <row r="13" customFormat="false" ht="15" hidden="false" customHeight="false" outlineLevel="0" collapsed="false">
      <c r="A13" s="10" t="s">
        <v>145</v>
      </c>
      <c r="B13" s="10" t="s">
        <v>141</v>
      </c>
      <c r="C13" s="10" t="s">
        <v>146</v>
      </c>
      <c r="D13" s="10" t="s">
        <v>143</v>
      </c>
      <c r="E13" s="10" t="s">
        <v>147</v>
      </c>
    </row>
    <row r="14" customFormat="false" ht="15" hidden="false" customHeight="false" outlineLevel="0" collapsed="false">
      <c r="A14" s="10" t="s">
        <v>148</v>
      </c>
      <c r="B14" s="10" t="s">
        <v>149</v>
      </c>
      <c r="C14" s="10" t="s">
        <v>150</v>
      </c>
      <c r="D14" s="10" t="s">
        <v>106</v>
      </c>
      <c r="E14" s="10" t="s">
        <v>151</v>
      </c>
    </row>
    <row r="15" customFormat="false" ht="15" hidden="false" customHeight="false" outlineLevel="0" collapsed="false">
      <c r="A15" s="10" t="s">
        <v>152</v>
      </c>
      <c r="B15" s="10" t="s">
        <v>149</v>
      </c>
      <c r="C15" s="10" t="s">
        <v>152</v>
      </c>
      <c r="D15" s="10" t="s">
        <v>106</v>
      </c>
      <c r="E15" s="10" t="s">
        <v>153</v>
      </c>
    </row>
    <row r="16" customFormat="false" ht="15" hidden="false" customHeight="false" outlineLevel="0" collapsed="false">
      <c r="A16" s="10" t="s">
        <v>154</v>
      </c>
      <c r="B16" s="10" t="s">
        <v>155</v>
      </c>
      <c r="C16" s="10" t="s">
        <v>156</v>
      </c>
      <c r="D16" s="10" t="s">
        <v>157</v>
      </c>
      <c r="E16" s="10" t="s">
        <v>158</v>
      </c>
    </row>
    <row r="17" customFormat="false" ht="15" hidden="false" customHeight="false" outlineLevel="0" collapsed="false">
      <c r="A17" s="10" t="s">
        <v>159</v>
      </c>
      <c r="B17" s="10" t="s">
        <v>160</v>
      </c>
      <c r="C17" s="10" t="s">
        <v>161</v>
      </c>
      <c r="D17" s="10" t="s">
        <v>162</v>
      </c>
      <c r="E17" s="10" t="s">
        <v>163</v>
      </c>
    </row>
    <row r="18" customFormat="false" ht="15" hidden="false" customHeight="false" outlineLevel="0" collapsed="false">
      <c r="A18" s="10" t="s">
        <v>164</v>
      </c>
      <c r="B18" s="10" t="s">
        <v>165</v>
      </c>
      <c r="C18" s="10" t="s">
        <v>166</v>
      </c>
      <c r="D18" s="10" t="s">
        <v>167</v>
      </c>
      <c r="E18" s="10" t="s">
        <v>168</v>
      </c>
    </row>
    <row r="19" customFormat="false" ht="15" hidden="false" customHeight="false" outlineLevel="0" collapsed="false">
      <c r="A19" s="10" t="s">
        <v>169</v>
      </c>
      <c r="B19" s="10" t="s">
        <v>165</v>
      </c>
      <c r="C19" s="10" t="s">
        <v>170</v>
      </c>
      <c r="D19" s="10" t="s">
        <v>167</v>
      </c>
      <c r="E19" s="10" t="s">
        <v>171</v>
      </c>
    </row>
    <row r="20" customFormat="false" ht="15" hidden="false" customHeight="false" outlineLevel="0" collapsed="false">
      <c r="A20" s="10" t="s">
        <v>172</v>
      </c>
      <c r="B20" s="10" t="s">
        <v>165</v>
      </c>
      <c r="C20" s="10" t="s">
        <v>173</v>
      </c>
      <c r="D20" s="10" t="s">
        <v>167</v>
      </c>
      <c r="E20" s="10" t="s">
        <v>174</v>
      </c>
    </row>
    <row r="21" customFormat="false" ht="15" hidden="false" customHeight="false" outlineLevel="0" collapsed="false">
      <c r="A21" s="10" t="s">
        <v>175</v>
      </c>
      <c r="B21" s="10" t="s">
        <v>165</v>
      </c>
      <c r="C21" s="10" t="s">
        <v>176</v>
      </c>
      <c r="D21" s="10" t="s">
        <v>167</v>
      </c>
      <c r="E21" s="10" t="s">
        <v>177</v>
      </c>
    </row>
    <row r="22" customFormat="false" ht="15" hidden="false" customHeight="false" outlineLevel="0" collapsed="false">
      <c r="A22" s="10" t="s">
        <v>178</v>
      </c>
      <c r="B22" s="10" t="s">
        <v>179</v>
      </c>
      <c r="C22" s="10" t="s">
        <v>180</v>
      </c>
      <c r="D22" s="10" t="s">
        <v>181</v>
      </c>
      <c r="E22" s="10" t="s">
        <v>182</v>
      </c>
    </row>
    <row r="23" customFormat="false" ht="15" hidden="false" customHeight="false" outlineLevel="0" collapsed="false">
      <c r="A23" s="10" t="s">
        <v>183</v>
      </c>
      <c r="B23" s="10" t="s">
        <v>179</v>
      </c>
      <c r="C23" s="10" t="s">
        <v>183</v>
      </c>
      <c r="D23" s="10" t="s">
        <v>184</v>
      </c>
      <c r="E23" s="10" t="s">
        <v>185</v>
      </c>
    </row>
    <row r="24" customFormat="false" ht="15" hidden="false" customHeight="false" outlineLevel="0" collapsed="false">
      <c r="A24" s="10" t="s">
        <v>186</v>
      </c>
      <c r="B24" s="10" t="s">
        <v>187</v>
      </c>
      <c r="C24" s="10" t="s">
        <v>188</v>
      </c>
      <c r="D24" s="10" t="s">
        <v>167</v>
      </c>
      <c r="E24" s="10" t="s">
        <v>189</v>
      </c>
    </row>
    <row r="25" customFormat="false" ht="15" hidden="false" customHeight="false" outlineLevel="0" collapsed="false">
      <c r="A25" s="10" t="s">
        <v>190</v>
      </c>
      <c r="B25" s="10" t="s">
        <v>187</v>
      </c>
      <c r="C25" s="10" t="s">
        <v>190</v>
      </c>
      <c r="D25" s="10" t="s">
        <v>190</v>
      </c>
      <c r="E25" s="10" t="s">
        <v>191</v>
      </c>
    </row>
    <row r="26" customFormat="false" ht="15" hidden="false" customHeight="false" outlineLevel="0" collapsed="false">
      <c r="A26" s="10" t="s">
        <v>192</v>
      </c>
      <c r="B26" s="10" t="s">
        <v>193</v>
      </c>
      <c r="C26" s="10" t="s">
        <v>194</v>
      </c>
      <c r="D26" s="10" t="s">
        <v>195</v>
      </c>
      <c r="E26" s="10" t="s">
        <v>196</v>
      </c>
    </row>
    <row r="27" customFormat="false" ht="15" hidden="false" customHeight="false" outlineLevel="0" collapsed="false">
      <c r="A27" s="10" t="s">
        <v>197</v>
      </c>
      <c r="B27" s="10" t="s">
        <v>198</v>
      </c>
      <c r="C27" s="10" t="s">
        <v>199</v>
      </c>
      <c r="D27" s="10" t="s">
        <v>197</v>
      </c>
      <c r="E27" s="10" t="s">
        <v>200</v>
      </c>
    </row>
    <row r="28" customFormat="false" ht="15" hidden="false" customHeight="false" outlineLevel="0" collapsed="false">
      <c r="A28" s="10" t="s">
        <v>201</v>
      </c>
      <c r="B28" s="10" t="s">
        <v>198</v>
      </c>
      <c r="C28" s="10" t="s">
        <v>201</v>
      </c>
      <c r="D28" s="10" t="s">
        <v>201</v>
      </c>
      <c r="E28" s="10" t="s">
        <v>202</v>
      </c>
    </row>
    <row r="29" customFormat="false" ht="15" hidden="false" customHeight="false" outlineLevel="0" collapsed="false">
      <c r="A29" s="10" t="s">
        <v>203</v>
      </c>
      <c r="B29" s="10" t="s">
        <v>204</v>
      </c>
      <c r="C29" s="10" t="s">
        <v>205</v>
      </c>
      <c r="D29" s="10" t="s">
        <v>206</v>
      </c>
      <c r="E29" s="10" t="s">
        <v>207</v>
      </c>
    </row>
    <row r="30" customFormat="false" ht="15" hidden="false" customHeight="false" outlineLevel="0" collapsed="false">
      <c r="A30" s="10" t="s">
        <v>208</v>
      </c>
      <c r="B30" s="10" t="s">
        <v>204</v>
      </c>
      <c r="C30" s="10" t="s">
        <v>209</v>
      </c>
      <c r="D30" s="10" t="s">
        <v>210</v>
      </c>
      <c r="E30" s="10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10"/>
  </cols>
  <sheetData>
    <row r="1" customFormat="false" ht="23.85" hidden="false" customHeight="false" outlineLevel="0" collapsed="false">
      <c r="A1" s="8" t="s">
        <v>212</v>
      </c>
      <c r="B1" s="8" t="s">
        <v>42</v>
      </c>
      <c r="C1" s="8" t="s">
        <v>213</v>
      </c>
      <c r="D1" s="8" t="s">
        <v>100</v>
      </c>
      <c r="E1" s="8" t="s">
        <v>101</v>
      </c>
      <c r="F1" s="8" t="s">
        <v>214</v>
      </c>
      <c r="G1" s="8" t="s">
        <v>215</v>
      </c>
      <c r="H1" s="8" t="s">
        <v>216</v>
      </c>
      <c r="I1" s="8" t="s">
        <v>217</v>
      </c>
    </row>
    <row r="2" customFormat="false" ht="15" hidden="false" customHeight="false" outlineLevel="0" collapsed="false">
      <c r="A2" s="10" t="s">
        <v>45</v>
      </c>
      <c r="B2" s="10" t="str">
        <f aca="false">INDEX('Site-uri'!$B$2:$B$20,MATCH(A2,'Site-uri'!$A$2:$A$20,0))</f>
        <v>5thelement.ai</v>
      </c>
      <c r="C2" s="10" t="s">
        <v>103</v>
      </c>
      <c r="D2" s="10" t="str">
        <f aca="false">INDEX(Canale!$C$2:$C$30,MATCH(C2,Canale!$A$2:$A$30,0))</f>
        <v>linkedin_personal</v>
      </c>
      <c r="E2" s="10" t="str">
        <f aca="false">INDEX(Canale!$D$2:$D$30,MATCH(C2,Canale!$A$2:$A$30,0))</f>
        <v>social</v>
      </c>
      <c r="F2" s="10" t="str">
        <f aca="false">INDEX('Site-uri'!$C$2:$C$20,MATCH(A2,'Site-uri'!$A$2:$A$20,0))</f>
        <v>/</v>
      </c>
      <c r="G2" s="10" t="str">
        <f aca="false">Config!$B$3</f>
        <v>2610_ff_lansare</v>
      </c>
      <c r="H2" s="10" t="str">
        <f aca="false">Config!$B$4</f>
        <v>general</v>
      </c>
      <c r="I2" s="10" t="str">
        <f aca="false">"https://"&amp;B2&amp;F2&amp;"?utm_source="&amp;D2&amp;"&amp;utm_medium="&amp;E2&amp;"&amp;utm_campaign="&amp;G2&amp;"&amp;utm_content="&amp;H2</f>
        <v>https://5thelement.ai/?utm_source=linkedin_personal&amp;utm_medium=social&amp;utm_campaign=2610_ff_lansare&amp;utm_content=general</v>
      </c>
    </row>
    <row r="3" customFormat="false" ht="15" hidden="false" customHeight="false" outlineLevel="0" collapsed="false">
      <c r="A3" s="10" t="s">
        <v>45</v>
      </c>
      <c r="B3" s="10" t="str">
        <f aca="false">INDEX('Site-uri'!$B$2:$B$20,MATCH(A3,'Site-uri'!$A$2:$A$20,0))</f>
        <v>5thelement.ai</v>
      </c>
      <c r="C3" s="10" t="s">
        <v>108</v>
      </c>
      <c r="D3" s="10" t="str">
        <f aca="false">INDEX(Canale!$C$2:$C$30,MATCH(C3,Canale!$A$2:$A$30,0))</f>
        <v>linkedin_company</v>
      </c>
      <c r="E3" s="10" t="str">
        <f aca="false">INDEX(Canale!$D$2:$D$30,MATCH(C3,Canale!$A$2:$A$30,0))</f>
        <v>social</v>
      </c>
      <c r="F3" s="10" t="str">
        <f aca="false">INDEX('Site-uri'!$C$2:$C$20,MATCH(A3,'Site-uri'!$A$2:$A$20,0))</f>
        <v>/</v>
      </c>
      <c r="G3" s="10" t="str">
        <f aca="false">Config!$B$3</f>
        <v>2610_ff_lansare</v>
      </c>
      <c r="H3" s="10" t="str">
        <f aca="false">Config!$B$4</f>
        <v>general</v>
      </c>
      <c r="I3" s="10" t="str">
        <f aca="false">"https://"&amp;B3&amp;F3&amp;"?utm_source="&amp;D3&amp;"&amp;utm_medium="&amp;E3&amp;"&amp;utm_campaign="&amp;G3&amp;"&amp;utm_content="&amp;H3</f>
        <v>https://5thelement.ai/?utm_source=linkedin_company&amp;utm_medium=social&amp;utm_campaign=2610_ff_lansare&amp;utm_content=general</v>
      </c>
    </row>
    <row r="4" customFormat="false" ht="15" hidden="false" customHeight="false" outlineLevel="0" collapsed="false">
      <c r="A4" s="10" t="s">
        <v>45</v>
      </c>
      <c r="B4" s="10" t="str">
        <f aca="false">INDEX('Site-uri'!$B$2:$B$20,MATCH(A4,'Site-uri'!$A$2:$A$20,0))</f>
        <v>5thelement.ai</v>
      </c>
      <c r="C4" s="10" t="s">
        <v>111</v>
      </c>
      <c r="D4" s="10" t="str">
        <f aca="false">INDEX(Canale!$C$2:$C$30,MATCH(C4,Canale!$A$2:$A$30,0))</f>
        <v>linkedin_showcase</v>
      </c>
      <c r="E4" s="10" t="str">
        <f aca="false">INDEX(Canale!$D$2:$D$30,MATCH(C4,Canale!$A$2:$A$30,0))</f>
        <v>social</v>
      </c>
      <c r="F4" s="10" t="str">
        <f aca="false">INDEX('Site-uri'!$C$2:$C$20,MATCH(A4,'Site-uri'!$A$2:$A$20,0))</f>
        <v>/</v>
      </c>
      <c r="G4" s="10" t="str">
        <f aca="false">Config!$B$3</f>
        <v>2610_ff_lansare</v>
      </c>
      <c r="H4" s="10" t="str">
        <f aca="false">Config!$B$4</f>
        <v>general</v>
      </c>
      <c r="I4" s="10" t="str">
        <f aca="false">"https://"&amp;B4&amp;F4&amp;"?utm_source="&amp;D4&amp;"&amp;utm_medium="&amp;E4&amp;"&amp;utm_campaign="&amp;G4&amp;"&amp;utm_content="&amp;H4</f>
        <v>https://5thelement.ai/?utm_source=linkedin_showcase&amp;utm_medium=social&amp;utm_campaign=2610_ff_lansare&amp;utm_content=general</v>
      </c>
    </row>
    <row r="5" customFormat="false" ht="15" hidden="false" customHeight="false" outlineLevel="0" collapsed="false">
      <c r="A5" s="10" t="s">
        <v>45</v>
      </c>
      <c r="B5" s="10" t="str">
        <f aca="false">INDEX('Site-uri'!$B$2:$B$20,MATCH(A5,'Site-uri'!$A$2:$A$20,0))</f>
        <v>5thelement.ai</v>
      </c>
      <c r="C5" s="10" t="s">
        <v>114</v>
      </c>
      <c r="D5" s="10" t="str">
        <f aca="false">INDEX(Canale!$C$2:$C$30,MATCH(C5,Canale!$A$2:$A$30,0))</f>
        <v>linkedin_newsletter</v>
      </c>
      <c r="E5" s="10" t="str">
        <f aca="false">INDEX(Canale!$D$2:$D$30,MATCH(C5,Canale!$A$2:$A$30,0))</f>
        <v>social</v>
      </c>
      <c r="F5" s="10" t="str">
        <f aca="false">INDEX('Site-uri'!$C$2:$C$20,MATCH(A5,'Site-uri'!$A$2:$A$20,0))</f>
        <v>/</v>
      </c>
      <c r="G5" s="10" t="str">
        <f aca="false">Config!$B$3</f>
        <v>2610_ff_lansare</v>
      </c>
      <c r="H5" s="10" t="str">
        <f aca="false">Config!$B$4</f>
        <v>general</v>
      </c>
      <c r="I5" s="10" t="str">
        <f aca="false">"https://"&amp;B5&amp;F5&amp;"?utm_source="&amp;D5&amp;"&amp;utm_medium="&amp;E5&amp;"&amp;utm_campaign="&amp;G5&amp;"&amp;utm_content="&amp;H5</f>
        <v>https://5thelement.ai/?utm_source=linkedin_newsletter&amp;utm_medium=social&amp;utm_campaign=2610_ff_lansare&amp;utm_content=general</v>
      </c>
    </row>
    <row r="6" customFormat="false" ht="15" hidden="false" customHeight="false" outlineLevel="0" collapsed="false">
      <c r="A6" s="10" t="s">
        <v>45</v>
      </c>
      <c r="B6" s="10" t="str">
        <f aca="false">INDEX('Site-uri'!$B$2:$B$20,MATCH(A6,'Site-uri'!$A$2:$A$20,0))</f>
        <v>5thelement.ai</v>
      </c>
      <c r="C6" s="10" t="s">
        <v>117</v>
      </c>
      <c r="D6" s="10" t="str">
        <f aca="false">INDEX(Canale!$C$2:$C$30,MATCH(C6,Canale!$A$2:$A$30,0))</f>
        <v>linkedin_ads</v>
      </c>
      <c r="E6" s="10" t="str">
        <f aca="false">INDEX(Canale!$D$2:$D$30,MATCH(C6,Canale!$A$2:$A$30,0))</f>
        <v>paid_social</v>
      </c>
      <c r="F6" s="10" t="str">
        <f aca="false">INDEX('Site-uri'!$C$2:$C$20,MATCH(A6,'Site-uri'!$A$2:$A$20,0))</f>
        <v>/</v>
      </c>
      <c r="G6" s="10" t="str">
        <f aca="false">Config!$B$3</f>
        <v>2610_ff_lansare</v>
      </c>
      <c r="H6" s="10" t="str">
        <f aca="false">Config!$B$4</f>
        <v>general</v>
      </c>
      <c r="I6" s="10" t="str">
        <f aca="false">"https://"&amp;B6&amp;F6&amp;"?utm_source="&amp;D6&amp;"&amp;utm_medium="&amp;E6&amp;"&amp;utm_campaign="&amp;G6&amp;"&amp;utm_content="&amp;H6</f>
        <v>https://5thelement.ai/?utm_source=linkedin_ads&amp;utm_medium=paid_social&amp;utm_campaign=2610_ff_lansare&amp;utm_content=general</v>
      </c>
    </row>
    <row r="7" customFormat="false" ht="15" hidden="false" customHeight="false" outlineLevel="0" collapsed="false">
      <c r="A7" s="10" t="s">
        <v>45</v>
      </c>
      <c r="B7" s="10" t="str">
        <f aca="false">INDEX('Site-uri'!$B$2:$B$20,MATCH(A7,'Site-uri'!$A$2:$A$20,0))</f>
        <v>5thelement.ai</v>
      </c>
      <c r="C7" s="10" t="s">
        <v>121</v>
      </c>
      <c r="D7" s="10" t="str">
        <f aca="false">INDEX(Canale!$C$2:$C$30,MATCH(C7,Canale!$A$2:$A$30,0))</f>
        <v>linkedin_dm</v>
      </c>
      <c r="E7" s="10" t="str">
        <f aca="false">INDEX(Canale!$D$2:$D$30,MATCH(C7,Canale!$A$2:$A$30,0))</f>
        <v>dm</v>
      </c>
      <c r="F7" s="10" t="str">
        <f aca="false">INDEX('Site-uri'!$C$2:$C$20,MATCH(A7,'Site-uri'!$A$2:$A$20,0))</f>
        <v>/</v>
      </c>
      <c r="G7" s="10" t="str">
        <f aca="false">Config!$B$3</f>
        <v>2610_ff_lansare</v>
      </c>
      <c r="H7" s="10" t="str">
        <f aca="false">Config!$B$4</f>
        <v>general</v>
      </c>
      <c r="I7" s="10" t="str">
        <f aca="false">"https://"&amp;B7&amp;F7&amp;"?utm_source="&amp;D7&amp;"&amp;utm_medium="&amp;E7&amp;"&amp;utm_campaign="&amp;G7&amp;"&amp;utm_content="&amp;H7</f>
        <v>https://5thelement.ai/?utm_source=linkedin_dm&amp;utm_medium=dm&amp;utm_campaign=2610_ff_lansare&amp;utm_content=general</v>
      </c>
    </row>
    <row r="8" customFormat="false" ht="15" hidden="false" customHeight="false" outlineLevel="0" collapsed="false">
      <c r="A8" s="10" t="s">
        <v>45</v>
      </c>
      <c r="B8" s="10" t="str">
        <f aca="false">INDEX('Site-uri'!$B$2:$B$20,MATCH(A8,'Site-uri'!$A$2:$A$20,0))</f>
        <v>5thelement.ai</v>
      </c>
      <c r="C8" s="10" t="s">
        <v>125</v>
      </c>
      <c r="D8" s="10" t="str">
        <f aca="false">INDEX(Canale!$C$2:$C$30,MATCH(C8,Canale!$A$2:$A$30,0))</f>
        <v>email_outreach</v>
      </c>
      <c r="E8" s="10" t="str">
        <f aca="false">INDEX(Canale!$D$2:$D$30,MATCH(C8,Canale!$A$2:$A$30,0))</f>
        <v>email</v>
      </c>
      <c r="F8" s="10" t="str">
        <f aca="false">INDEX('Site-uri'!$C$2:$C$20,MATCH(A8,'Site-uri'!$A$2:$A$20,0))</f>
        <v>/</v>
      </c>
      <c r="G8" s="10" t="str">
        <f aca="false">Config!$B$3</f>
        <v>2610_ff_lansare</v>
      </c>
      <c r="H8" s="10" t="str">
        <f aca="false">Config!$B$4</f>
        <v>general</v>
      </c>
      <c r="I8" s="10" t="str">
        <f aca="false">"https://"&amp;B8&amp;F8&amp;"?utm_source="&amp;D8&amp;"&amp;utm_medium="&amp;E8&amp;"&amp;utm_campaign="&amp;G8&amp;"&amp;utm_content="&amp;H8</f>
        <v>https://5thelement.ai/?utm_source=email_outreach&amp;utm_medium=email&amp;utm_campaign=2610_ff_lansare&amp;utm_content=general</v>
      </c>
    </row>
    <row r="9" customFormat="false" ht="15" hidden="false" customHeight="false" outlineLevel="0" collapsed="false">
      <c r="A9" s="10" t="s">
        <v>45</v>
      </c>
      <c r="B9" s="10" t="str">
        <f aca="false">INDEX('Site-uri'!$B$2:$B$20,MATCH(A9,'Site-uri'!$A$2:$A$20,0))</f>
        <v>5thelement.ai</v>
      </c>
      <c r="C9" s="10" t="s">
        <v>130</v>
      </c>
      <c r="D9" s="10" t="str">
        <f aca="false">INDEX(Canale!$C$2:$C$30,MATCH(C9,Canale!$A$2:$A$30,0))</f>
        <v>newsletter</v>
      </c>
      <c r="E9" s="10" t="str">
        <f aca="false">INDEX(Canale!$D$2:$D$30,MATCH(C9,Canale!$A$2:$A$30,0))</f>
        <v>email</v>
      </c>
      <c r="F9" s="10" t="str">
        <f aca="false">INDEX('Site-uri'!$C$2:$C$20,MATCH(A9,'Site-uri'!$A$2:$A$20,0))</f>
        <v>/</v>
      </c>
      <c r="G9" s="10" t="str">
        <f aca="false">Config!$B$3</f>
        <v>2610_ff_lansare</v>
      </c>
      <c r="H9" s="10" t="str">
        <f aca="false">Config!$B$4</f>
        <v>general</v>
      </c>
      <c r="I9" s="10" t="str">
        <f aca="false">"https://"&amp;B9&amp;F9&amp;"?utm_source="&amp;D9&amp;"&amp;utm_medium="&amp;E9&amp;"&amp;utm_campaign="&amp;G9&amp;"&amp;utm_content="&amp;H9</f>
        <v>https://5thelement.ai/?utm_source=newsletter&amp;utm_medium=email&amp;utm_campaign=2610_ff_lansare&amp;utm_content=general</v>
      </c>
    </row>
    <row r="10" customFormat="false" ht="15" hidden="false" customHeight="false" outlineLevel="0" collapsed="false">
      <c r="A10" s="10" t="s">
        <v>45</v>
      </c>
      <c r="B10" s="10" t="str">
        <f aca="false">INDEX('Site-uri'!$B$2:$B$20,MATCH(A10,'Site-uri'!$A$2:$A$20,0))</f>
        <v>5thelement.ai</v>
      </c>
      <c r="C10" s="10" t="s">
        <v>133</v>
      </c>
      <c r="D10" s="10" t="str">
        <f aca="false">INDEX(Canale!$C$2:$C$30,MATCH(C10,Canale!$A$2:$A$30,0))</f>
        <v>email_signature</v>
      </c>
      <c r="E10" s="10" t="str">
        <f aca="false">INDEX(Canale!$D$2:$D$30,MATCH(C10,Canale!$A$2:$A$30,0))</f>
        <v>email</v>
      </c>
      <c r="F10" s="10" t="str">
        <f aca="false">INDEX('Site-uri'!$C$2:$C$20,MATCH(A10,'Site-uri'!$A$2:$A$20,0))</f>
        <v>/</v>
      </c>
      <c r="G10" s="10" t="str">
        <f aca="false">Config!$B$3</f>
        <v>2610_ff_lansare</v>
      </c>
      <c r="H10" s="10" t="str">
        <f aca="false">Config!$B$4</f>
        <v>general</v>
      </c>
      <c r="I10" s="10" t="str">
        <f aca="false">"https://"&amp;B10&amp;F10&amp;"?utm_source="&amp;D10&amp;"&amp;utm_medium="&amp;E10&amp;"&amp;utm_campaign="&amp;G10&amp;"&amp;utm_content="&amp;H10</f>
        <v>https://5thelement.ai/?utm_source=email_signature&amp;utm_medium=email&amp;utm_campaign=2610_ff_lansare&amp;utm_content=general</v>
      </c>
    </row>
    <row r="11" customFormat="false" ht="15" hidden="false" customHeight="false" outlineLevel="0" collapsed="false">
      <c r="A11" s="10" t="s">
        <v>45</v>
      </c>
      <c r="B11" s="10" t="str">
        <f aca="false">INDEX('Site-uri'!$B$2:$B$20,MATCH(A11,'Site-uri'!$A$2:$A$20,0))</f>
        <v>5thelement.ai</v>
      </c>
      <c r="C11" s="10" t="s">
        <v>136</v>
      </c>
      <c r="D11" s="10" t="str">
        <f aca="false">INDEX(Canale!$C$2:$C$30,MATCH(C11,Canale!$A$2:$A$30,0))</f>
        <v>whatsapp</v>
      </c>
      <c r="E11" s="10" t="str">
        <f aca="false">INDEX(Canale!$D$2:$D$30,MATCH(C11,Canale!$A$2:$A$30,0))</f>
        <v>dm</v>
      </c>
      <c r="F11" s="10" t="str">
        <f aca="false">INDEX('Site-uri'!$C$2:$C$20,MATCH(A11,'Site-uri'!$A$2:$A$20,0))</f>
        <v>/</v>
      </c>
      <c r="G11" s="10" t="str">
        <f aca="false">Config!$B$3</f>
        <v>2610_ff_lansare</v>
      </c>
      <c r="H11" s="10" t="str">
        <f aca="false">Config!$B$4</f>
        <v>general</v>
      </c>
      <c r="I11" s="10" t="str">
        <f aca="false">"https://"&amp;B11&amp;F11&amp;"?utm_source="&amp;D11&amp;"&amp;utm_medium="&amp;E11&amp;"&amp;utm_campaign="&amp;G11&amp;"&amp;utm_content="&amp;H11</f>
        <v>https://5thelement.ai/?utm_source=whatsapp&amp;utm_medium=dm&amp;utm_campaign=2610_ff_lansare&amp;utm_content=general</v>
      </c>
    </row>
    <row r="12" customFormat="false" ht="15" hidden="false" customHeight="false" outlineLevel="0" collapsed="false">
      <c r="A12" s="10" t="s">
        <v>45</v>
      </c>
      <c r="B12" s="10" t="str">
        <f aca="false">INDEX('Site-uri'!$B$2:$B$20,MATCH(A12,'Site-uri'!$A$2:$A$20,0))</f>
        <v>5thelement.ai</v>
      </c>
      <c r="C12" s="10" t="s">
        <v>140</v>
      </c>
      <c r="D12" s="10" t="str">
        <f aca="false">INDEX(Canale!$C$2:$C$30,MATCH(C12,Canale!$A$2:$A$30,0))</f>
        <v>google</v>
      </c>
      <c r="E12" s="10" t="str">
        <f aca="false">INDEX(Canale!$D$2:$D$30,MATCH(C12,Canale!$A$2:$A$30,0))</f>
        <v>cpc</v>
      </c>
      <c r="F12" s="10" t="str">
        <f aca="false">INDEX('Site-uri'!$C$2:$C$20,MATCH(A12,'Site-uri'!$A$2:$A$20,0))</f>
        <v>/</v>
      </c>
      <c r="G12" s="10" t="str">
        <f aca="false">Config!$B$3</f>
        <v>2610_ff_lansare</v>
      </c>
      <c r="H12" s="10" t="str">
        <f aca="false">Config!$B$4</f>
        <v>general</v>
      </c>
      <c r="I12" s="10" t="str">
        <f aca="false">"https://"&amp;B12&amp;F12&amp;"?utm_source="&amp;D12&amp;"&amp;utm_medium="&amp;E12&amp;"&amp;utm_campaign="&amp;G12&amp;"&amp;utm_content="&amp;H12</f>
        <v>https://5thelement.ai/?utm_source=google&amp;utm_medium=cpc&amp;utm_campaign=2610_ff_lansare&amp;utm_content=general</v>
      </c>
    </row>
    <row r="13" customFormat="false" ht="15" hidden="false" customHeight="false" outlineLevel="0" collapsed="false">
      <c r="A13" s="10" t="s">
        <v>45</v>
      </c>
      <c r="B13" s="10" t="str">
        <f aca="false">INDEX('Site-uri'!$B$2:$B$20,MATCH(A13,'Site-uri'!$A$2:$A$20,0))</f>
        <v>5thelement.ai</v>
      </c>
      <c r="C13" s="10" t="s">
        <v>145</v>
      </c>
      <c r="D13" s="10" t="str">
        <f aca="false">INDEX(Canale!$C$2:$C$30,MATCH(C13,Canale!$A$2:$A$30,0))</f>
        <v>bing</v>
      </c>
      <c r="E13" s="10" t="str">
        <f aca="false">INDEX(Canale!$D$2:$D$30,MATCH(C13,Canale!$A$2:$A$30,0))</f>
        <v>cpc</v>
      </c>
      <c r="F13" s="10" t="str">
        <f aca="false">INDEX('Site-uri'!$C$2:$C$20,MATCH(A13,'Site-uri'!$A$2:$A$20,0))</f>
        <v>/</v>
      </c>
      <c r="G13" s="10" t="str">
        <f aca="false">Config!$B$3</f>
        <v>2610_ff_lansare</v>
      </c>
      <c r="H13" s="10" t="str">
        <f aca="false">Config!$B$4</f>
        <v>general</v>
      </c>
      <c r="I13" s="10" t="str">
        <f aca="false">"https://"&amp;B13&amp;F13&amp;"?utm_source="&amp;D13&amp;"&amp;utm_medium="&amp;E13&amp;"&amp;utm_campaign="&amp;G13&amp;"&amp;utm_content="&amp;H13</f>
        <v>https://5thelement.ai/?utm_source=bing&amp;utm_medium=cpc&amp;utm_campaign=2610_ff_lansare&amp;utm_content=general</v>
      </c>
    </row>
    <row r="14" customFormat="false" ht="15" hidden="false" customHeight="false" outlineLevel="0" collapsed="false">
      <c r="A14" s="10" t="s">
        <v>45</v>
      </c>
      <c r="B14" s="10" t="str">
        <f aca="false">INDEX('Site-uri'!$B$2:$B$20,MATCH(A14,'Site-uri'!$A$2:$A$20,0))</f>
        <v>5thelement.ai</v>
      </c>
      <c r="C14" s="10" t="s">
        <v>148</v>
      </c>
      <c r="D14" s="10" t="str">
        <f aca="false">INDEX(Canale!$C$2:$C$30,MATCH(C14,Canale!$A$2:$A$30,0))</f>
        <v>facebook</v>
      </c>
      <c r="E14" s="10" t="str">
        <f aca="false">INDEX(Canale!$D$2:$D$30,MATCH(C14,Canale!$A$2:$A$30,0))</f>
        <v>social</v>
      </c>
      <c r="F14" s="10" t="str">
        <f aca="false">INDEX('Site-uri'!$C$2:$C$20,MATCH(A14,'Site-uri'!$A$2:$A$20,0))</f>
        <v>/</v>
      </c>
      <c r="G14" s="10" t="str">
        <f aca="false">Config!$B$3</f>
        <v>2610_ff_lansare</v>
      </c>
      <c r="H14" s="10" t="str">
        <f aca="false">Config!$B$4</f>
        <v>general</v>
      </c>
      <c r="I14" s="10" t="str">
        <f aca="false">"https://"&amp;B14&amp;F14&amp;"?utm_source="&amp;D14&amp;"&amp;utm_medium="&amp;E14&amp;"&amp;utm_campaign="&amp;G14&amp;"&amp;utm_content="&amp;H14</f>
        <v>https://5thelement.ai/?utm_source=facebook&amp;utm_medium=social&amp;utm_campaign=2610_ff_lansare&amp;utm_content=general</v>
      </c>
    </row>
    <row r="15" customFormat="false" ht="15" hidden="false" customHeight="false" outlineLevel="0" collapsed="false">
      <c r="A15" s="10" t="s">
        <v>45</v>
      </c>
      <c r="B15" s="10" t="str">
        <f aca="false">INDEX('Site-uri'!$B$2:$B$20,MATCH(A15,'Site-uri'!$A$2:$A$20,0))</f>
        <v>5thelement.ai</v>
      </c>
      <c r="C15" s="10" t="s">
        <v>152</v>
      </c>
      <c r="D15" s="10" t="str">
        <f aca="false">INDEX(Canale!$C$2:$C$30,MATCH(C15,Canale!$A$2:$A$30,0))</f>
        <v>x</v>
      </c>
      <c r="E15" s="10" t="str">
        <f aca="false">INDEX(Canale!$D$2:$D$30,MATCH(C15,Canale!$A$2:$A$30,0))</f>
        <v>social</v>
      </c>
      <c r="F15" s="10" t="str">
        <f aca="false">INDEX('Site-uri'!$C$2:$C$20,MATCH(A15,'Site-uri'!$A$2:$A$20,0))</f>
        <v>/</v>
      </c>
      <c r="G15" s="10" t="str">
        <f aca="false">Config!$B$3</f>
        <v>2610_ff_lansare</v>
      </c>
      <c r="H15" s="10" t="str">
        <f aca="false">Config!$B$4</f>
        <v>general</v>
      </c>
      <c r="I15" s="10" t="str">
        <f aca="false">"https://"&amp;B15&amp;F15&amp;"?utm_source="&amp;D15&amp;"&amp;utm_medium="&amp;E15&amp;"&amp;utm_campaign="&amp;G15&amp;"&amp;utm_content="&amp;H15</f>
        <v>https://5thelement.ai/?utm_source=x&amp;utm_medium=social&amp;utm_campaign=2610_ff_lansare&amp;utm_content=general</v>
      </c>
    </row>
    <row r="16" customFormat="false" ht="15" hidden="false" customHeight="false" outlineLevel="0" collapsed="false">
      <c r="A16" s="10" t="s">
        <v>45</v>
      </c>
      <c r="B16" s="10" t="str">
        <f aca="false">INDEX('Site-uri'!$B$2:$B$20,MATCH(A16,'Site-uri'!$A$2:$A$20,0))</f>
        <v>5thelement.ai</v>
      </c>
      <c r="C16" s="10" t="s">
        <v>154</v>
      </c>
      <c r="D16" s="10" t="str">
        <f aca="false">INDEX(Canale!$C$2:$C$30,MATCH(C16,Canale!$A$2:$A$30,0))</f>
        <v>youtube</v>
      </c>
      <c r="E16" s="10" t="str">
        <f aca="false">INDEX(Canale!$D$2:$D$30,MATCH(C16,Canale!$A$2:$A$30,0))</f>
        <v>video</v>
      </c>
      <c r="F16" s="10" t="str">
        <f aca="false">INDEX('Site-uri'!$C$2:$C$20,MATCH(A16,'Site-uri'!$A$2:$A$20,0))</f>
        <v>/</v>
      </c>
      <c r="G16" s="10" t="str">
        <f aca="false">Config!$B$3</f>
        <v>2610_ff_lansare</v>
      </c>
      <c r="H16" s="10" t="str">
        <f aca="false">Config!$B$4</f>
        <v>general</v>
      </c>
      <c r="I16" s="10" t="str">
        <f aca="false">"https://"&amp;B16&amp;F16&amp;"?utm_source="&amp;D16&amp;"&amp;utm_medium="&amp;E16&amp;"&amp;utm_campaign="&amp;G16&amp;"&amp;utm_content="&amp;H16</f>
        <v>https://5thelement.ai/?utm_source=youtube&amp;utm_medium=video&amp;utm_campaign=2610_ff_lansare&amp;utm_content=general</v>
      </c>
    </row>
    <row r="17" customFormat="false" ht="15" hidden="false" customHeight="false" outlineLevel="0" collapsed="false">
      <c r="A17" s="10" t="s">
        <v>45</v>
      </c>
      <c r="B17" s="10" t="str">
        <f aca="false">INDEX('Site-uri'!$B$2:$B$20,MATCH(A17,'Site-uri'!$A$2:$A$20,0))</f>
        <v>5thelement.ai</v>
      </c>
      <c r="C17" s="10" t="s">
        <v>159</v>
      </c>
      <c r="D17" s="10" t="str">
        <f aca="false">INDEX(Canale!$C$2:$C$30,MATCH(C17,Canale!$A$2:$A$30,0))</f>
        <v>medium</v>
      </c>
      <c r="E17" s="10" t="str">
        <f aca="false">INDEX(Canale!$D$2:$D$30,MATCH(C17,Canale!$A$2:$A$30,0))</f>
        <v>content</v>
      </c>
      <c r="F17" s="10" t="str">
        <f aca="false">INDEX('Site-uri'!$C$2:$C$20,MATCH(A17,'Site-uri'!$A$2:$A$20,0))</f>
        <v>/</v>
      </c>
      <c r="G17" s="10" t="str">
        <f aca="false">Config!$B$3</f>
        <v>2610_ff_lansare</v>
      </c>
      <c r="H17" s="10" t="str">
        <f aca="false">Config!$B$4</f>
        <v>general</v>
      </c>
      <c r="I17" s="10" t="str">
        <f aca="false">"https://"&amp;B17&amp;F17&amp;"?utm_source="&amp;D17&amp;"&amp;utm_medium="&amp;E17&amp;"&amp;utm_campaign="&amp;G17&amp;"&amp;utm_content="&amp;H17</f>
        <v>https://5thelement.ai/?utm_source=medium&amp;utm_medium=content&amp;utm_campaign=2610_ff_lansare&amp;utm_content=general</v>
      </c>
    </row>
    <row r="18" customFormat="false" ht="15" hidden="false" customHeight="false" outlineLevel="0" collapsed="false">
      <c r="A18" s="10" t="s">
        <v>45</v>
      </c>
      <c r="B18" s="10" t="str">
        <f aca="false">INDEX('Site-uri'!$B$2:$B$20,MATCH(A18,'Site-uri'!$A$2:$A$20,0))</f>
        <v>5thelement.ai</v>
      </c>
      <c r="C18" s="10" t="s">
        <v>164</v>
      </c>
      <c r="D18" s="10" t="str">
        <f aca="false">INDEX(Canale!$C$2:$C$30,MATCH(C18,Canale!$A$2:$A$30,0))</f>
        <v>crunchbase</v>
      </c>
      <c r="E18" s="10" t="str">
        <f aca="false">INDEX(Canale!$D$2:$D$30,MATCH(C18,Canale!$A$2:$A$30,0))</f>
        <v>referral</v>
      </c>
      <c r="F18" s="10" t="str">
        <f aca="false">INDEX('Site-uri'!$C$2:$C$20,MATCH(A18,'Site-uri'!$A$2:$A$20,0))</f>
        <v>/</v>
      </c>
      <c r="G18" s="10" t="str">
        <f aca="false">Config!$B$3</f>
        <v>2610_ff_lansare</v>
      </c>
      <c r="H18" s="10" t="str">
        <f aca="false">Config!$B$4</f>
        <v>general</v>
      </c>
      <c r="I18" s="10" t="str">
        <f aca="false">"https://"&amp;B18&amp;F18&amp;"?utm_source="&amp;D18&amp;"&amp;utm_medium="&amp;E18&amp;"&amp;utm_campaign="&amp;G18&amp;"&amp;utm_content="&amp;H18</f>
        <v>https://5thelement.ai/?utm_source=crunchbase&amp;utm_medium=referral&amp;utm_campaign=2610_ff_lansare&amp;utm_content=general</v>
      </c>
    </row>
    <row r="19" customFormat="false" ht="15" hidden="false" customHeight="false" outlineLevel="0" collapsed="false">
      <c r="A19" s="10" t="s">
        <v>45</v>
      </c>
      <c r="B19" s="10" t="str">
        <f aca="false">INDEX('Site-uri'!$B$2:$B$20,MATCH(A19,'Site-uri'!$A$2:$A$20,0))</f>
        <v>5thelement.ai</v>
      </c>
      <c r="C19" s="10" t="s">
        <v>169</v>
      </c>
      <c r="D19" s="10" t="str">
        <f aca="false">INDEX(Canale!$C$2:$C$30,MATCH(C19,Canale!$A$2:$A$30,0))</f>
        <v>zenodo</v>
      </c>
      <c r="E19" s="10" t="str">
        <f aca="false">INDEX(Canale!$D$2:$D$30,MATCH(C19,Canale!$A$2:$A$30,0))</f>
        <v>referral</v>
      </c>
      <c r="F19" s="10" t="str">
        <f aca="false">INDEX('Site-uri'!$C$2:$C$20,MATCH(A19,'Site-uri'!$A$2:$A$20,0))</f>
        <v>/</v>
      </c>
      <c r="G19" s="10" t="str">
        <f aca="false">Config!$B$3</f>
        <v>2610_ff_lansare</v>
      </c>
      <c r="H19" s="10" t="str">
        <f aca="false">Config!$B$4</f>
        <v>general</v>
      </c>
      <c r="I19" s="10" t="str">
        <f aca="false">"https://"&amp;B19&amp;F19&amp;"?utm_source="&amp;D19&amp;"&amp;utm_medium="&amp;E19&amp;"&amp;utm_campaign="&amp;G19&amp;"&amp;utm_content="&amp;H19</f>
        <v>https://5thelement.ai/?utm_source=zenodo&amp;utm_medium=referral&amp;utm_campaign=2610_ff_lansare&amp;utm_content=general</v>
      </c>
    </row>
    <row r="20" customFormat="false" ht="15" hidden="false" customHeight="false" outlineLevel="0" collapsed="false">
      <c r="A20" s="10" t="s">
        <v>45</v>
      </c>
      <c r="B20" s="10" t="str">
        <f aca="false">INDEX('Site-uri'!$B$2:$B$20,MATCH(A20,'Site-uri'!$A$2:$A$20,0))</f>
        <v>5thelement.ai</v>
      </c>
      <c r="C20" s="10" t="s">
        <v>172</v>
      </c>
      <c r="D20" s="10" t="str">
        <f aca="false">INDEX(Canale!$C$2:$C$30,MATCH(C20,Canale!$A$2:$A$30,0))</f>
        <v>orcid</v>
      </c>
      <c r="E20" s="10" t="str">
        <f aca="false">INDEX(Canale!$D$2:$D$30,MATCH(C20,Canale!$A$2:$A$30,0))</f>
        <v>referral</v>
      </c>
      <c r="F20" s="10" t="str">
        <f aca="false">INDEX('Site-uri'!$C$2:$C$20,MATCH(A20,'Site-uri'!$A$2:$A$20,0))</f>
        <v>/</v>
      </c>
      <c r="G20" s="10" t="str">
        <f aca="false">Config!$B$3</f>
        <v>2610_ff_lansare</v>
      </c>
      <c r="H20" s="10" t="str">
        <f aca="false">Config!$B$4</f>
        <v>general</v>
      </c>
      <c r="I20" s="10" t="str">
        <f aca="false">"https://"&amp;B20&amp;F20&amp;"?utm_source="&amp;D20&amp;"&amp;utm_medium="&amp;E20&amp;"&amp;utm_campaign="&amp;G20&amp;"&amp;utm_content="&amp;H20</f>
        <v>https://5thelement.ai/?utm_source=orcid&amp;utm_medium=referral&amp;utm_campaign=2610_ff_lansare&amp;utm_content=general</v>
      </c>
    </row>
    <row r="21" customFormat="false" ht="15" hidden="false" customHeight="false" outlineLevel="0" collapsed="false">
      <c r="A21" s="10" t="s">
        <v>45</v>
      </c>
      <c r="B21" s="10" t="str">
        <f aca="false">INDEX('Site-uri'!$B$2:$B$20,MATCH(A21,'Site-uri'!$A$2:$A$20,0))</f>
        <v>5thelement.ai</v>
      </c>
      <c r="C21" s="10" t="s">
        <v>175</v>
      </c>
      <c r="D21" s="10" t="str">
        <f aca="false">INDEX(Canale!$C$2:$C$30,MATCH(C21,Canale!$A$2:$A$30,0))</f>
        <v>github</v>
      </c>
      <c r="E21" s="10" t="str">
        <f aca="false">INDEX(Canale!$D$2:$D$30,MATCH(C21,Canale!$A$2:$A$30,0))</f>
        <v>referral</v>
      </c>
      <c r="F21" s="10" t="str">
        <f aca="false">INDEX('Site-uri'!$C$2:$C$20,MATCH(A21,'Site-uri'!$A$2:$A$20,0))</f>
        <v>/</v>
      </c>
      <c r="G21" s="10" t="str">
        <f aca="false">Config!$B$3</f>
        <v>2610_ff_lansare</v>
      </c>
      <c r="H21" s="10" t="str">
        <f aca="false">Config!$B$4</f>
        <v>general</v>
      </c>
      <c r="I21" s="10" t="str">
        <f aca="false">"https://"&amp;B21&amp;F21&amp;"?utm_source="&amp;D21&amp;"&amp;utm_medium="&amp;E21&amp;"&amp;utm_campaign="&amp;G21&amp;"&amp;utm_content="&amp;H21</f>
        <v>https://5thelement.ai/?utm_source=github&amp;utm_medium=referral&amp;utm_campaign=2610_ff_lansare&amp;utm_content=general</v>
      </c>
    </row>
    <row r="22" customFormat="false" ht="15" hidden="false" customHeight="false" outlineLevel="0" collapsed="false">
      <c r="A22" s="10" t="s">
        <v>45</v>
      </c>
      <c r="B22" s="10" t="str">
        <f aca="false">INDEX('Site-uri'!$B$2:$B$20,MATCH(A22,'Site-uri'!$A$2:$A$20,0))</f>
        <v>5thelement.ai</v>
      </c>
      <c r="C22" s="10" t="s">
        <v>178</v>
      </c>
      <c r="D22" s="10" t="str">
        <f aca="false">INDEX(Canale!$C$2:$C$30,MATCH(C22,Canale!$A$2:$A$30,0))</f>
        <v>kdp_book</v>
      </c>
      <c r="E22" s="10" t="str">
        <f aca="false">INDEX(Canale!$D$2:$D$30,MATCH(C22,Canale!$A$2:$A$30,0))</f>
        <v>book</v>
      </c>
      <c r="F22" s="10" t="str">
        <f aca="false">INDEX('Site-uri'!$C$2:$C$20,MATCH(A22,'Site-uri'!$A$2:$A$20,0))</f>
        <v>/</v>
      </c>
      <c r="G22" s="10" t="str">
        <f aca="false">Config!$B$3</f>
        <v>2610_ff_lansare</v>
      </c>
      <c r="H22" s="10" t="str">
        <f aca="false">Config!$B$4</f>
        <v>general</v>
      </c>
      <c r="I22" s="10" t="str">
        <f aca="false">"https://"&amp;B22&amp;F22&amp;"?utm_source="&amp;D22&amp;"&amp;utm_medium="&amp;E22&amp;"&amp;utm_campaign="&amp;G22&amp;"&amp;utm_content="&amp;H22</f>
        <v>https://5thelement.ai/?utm_source=kdp_book&amp;utm_medium=book&amp;utm_campaign=2610_ff_lansare&amp;utm_content=general</v>
      </c>
    </row>
    <row r="23" customFormat="false" ht="15" hidden="false" customHeight="false" outlineLevel="0" collapsed="false">
      <c r="A23" s="10" t="s">
        <v>45</v>
      </c>
      <c r="B23" s="10" t="str">
        <f aca="false">INDEX('Site-uri'!$B$2:$B$20,MATCH(A23,'Site-uri'!$A$2:$A$20,0))</f>
        <v>5thelement.ai</v>
      </c>
      <c r="C23" s="10" t="s">
        <v>183</v>
      </c>
      <c r="D23" s="10" t="str">
        <f aca="false">INDEX(Canale!$C$2:$C$30,MATCH(C23,Canale!$A$2:$A$30,0))</f>
        <v>udemy</v>
      </c>
      <c r="E23" s="10" t="str">
        <f aca="false">INDEX(Canale!$D$2:$D$30,MATCH(C23,Canale!$A$2:$A$30,0))</f>
        <v>course</v>
      </c>
      <c r="F23" s="10" t="str">
        <f aca="false">INDEX('Site-uri'!$C$2:$C$20,MATCH(A23,'Site-uri'!$A$2:$A$20,0))</f>
        <v>/</v>
      </c>
      <c r="G23" s="10" t="str">
        <f aca="false">Config!$B$3</f>
        <v>2610_ff_lansare</v>
      </c>
      <c r="H23" s="10" t="str">
        <f aca="false">Config!$B$4</f>
        <v>general</v>
      </c>
      <c r="I23" s="10" t="str">
        <f aca="false">"https://"&amp;B23&amp;F23&amp;"?utm_source="&amp;D23&amp;"&amp;utm_medium="&amp;E23&amp;"&amp;utm_campaign="&amp;G23&amp;"&amp;utm_content="&amp;H23</f>
        <v>https://5thelement.ai/?utm_source=udemy&amp;utm_medium=course&amp;utm_campaign=2610_ff_lansare&amp;utm_content=general</v>
      </c>
    </row>
    <row r="24" customFormat="false" ht="15" hidden="false" customHeight="false" outlineLevel="0" collapsed="false">
      <c r="A24" s="10" t="s">
        <v>45</v>
      </c>
      <c r="B24" s="10" t="str">
        <f aca="false">INDEX('Site-uri'!$B$2:$B$20,MATCH(A24,'Site-uri'!$A$2:$A$20,0))</f>
        <v>5thelement.ai</v>
      </c>
      <c r="C24" s="10" t="s">
        <v>186</v>
      </c>
      <c r="D24" s="10" t="str">
        <f aca="false">INDEX(Canale!$C$2:$C$30,MATCH(C24,Canale!$A$2:$A$30,0))</f>
        <v>directory</v>
      </c>
      <c r="E24" s="10" t="str">
        <f aca="false">INDEX(Canale!$D$2:$D$30,MATCH(C24,Canale!$A$2:$A$30,0))</f>
        <v>referral</v>
      </c>
      <c r="F24" s="10" t="str">
        <f aca="false">INDEX('Site-uri'!$C$2:$C$20,MATCH(A24,'Site-uri'!$A$2:$A$20,0))</f>
        <v>/</v>
      </c>
      <c r="G24" s="10" t="str">
        <f aca="false">Config!$B$3</f>
        <v>2610_ff_lansare</v>
      </c>
      <c r="H24" s="10" t="str">
        <f aca="false">Config!$B$4</f>
        <v>general</v>
      </c>
      <c r="I24" s="10" t="str">
        <f aca="false">"https://"&amp;B24&amp;F24&amp;"?utm_source="&amp;D24&amp;"&amp;utm_medium="&amp;E24&amp;"&amp;utm_campaign="&amp;G24&amp;"&amp;utm_content="&amp;H24</f>
        <v>https://5thelement.ai/?utm_source=directory&amp;utm_medium=referral&amp;utm_campaign=2610_ff_lansare&amp;utm_content=general</v>
      </c>
    </row>
    <row r="25" customFormat="false" ht="15" hidden="false" customHeight="false" outlineLevel="0" collapsed="false">
      <c r="A25" s="10" t="s">
        <v>45</v>
      </c>
      <c r="B25" s="10" t="str">
        <f aca="false">INDEX('Site-uri'!$B$2:$B$20,MATCH(A25,'Site-uri'!$A$2:$A$20,0))</f>
        <v>5thelement.ai</v>
      </c>
      <c r="C25" s="10" t="s">
        <v>190</v>
      </c>
      <c r="D25" s="10" t="str">
        <f aca="false">INDEX(Canale!$C$2:$C$30,MATCH(C25,Canale!$A$2:$A$30,0))</f>
        <v>partner</v>
      </c>
      <c r="E25" s="10" t="str">
        <f aca="false">INDEX(Canale!$D$2:$D$30,MATCH(C25,Canale!$A$2:$A$30,0))</f>
        <v>partner</v>
      </c>
      <c r="F25" s="10" t="str">
        <f aca="false">INDEX('Site-uri'!$C$2:$C$20,MATCH(A25,'Site-uri'!$A$2:$A$20,0))</f>
        <v>/</v>
      </c>
      <c r="G25" s="10" t="str">
        <f aca="false">Config!$B$3</f>
        <v>2610_ff_lansare</v>
      </c>
      <c r="H25" s="10" t="str">
        <f aca="false">Config!$B$4</f>
        <v>general</v>
      </c>
      <c r="I25" s="10" t="str">
        <f aca="false">"https://"&amp;B25&amp;F25&amp;"?utm_source="&amp;D25&amp;"&amp;utm_medium="&amp;E25&amp;"&amp;utm_campaign="&amp;G25&amp;"&amp;utm_content="&amp;H25</f>
        <v>https://5thelement.ai/?utm_source=partner&amp;utm_medium=partner&amp;utm_campaign=2610_ff_lansare&amp;utm_content=general</v>
      </c>
    </row>
    <row r="26" customFormat="false" ht="15" hidden="false" customHeight="false" outlineLevel="0" collapsed="false">
      <c r="A26" s="10" t="s">
        <v>45</v>
      </c>
      <c r="B26" s="10" t="str">
        <f aca="false">INDEX('Site-uri'!$B$2:$B$20,MATCH(A26,'Site-uri'!$A$2:$A$20,0))</f>
        <v>5thelement.ai</v>
      </c>
      <c r="C26" s="10" t="s">
        <v>192</v>
      </c>
      <c r="D26" s="10" t="str">
        <f aca="false">INDEX(Canale!$C$2:$C$30,MATCH(C26,Canale!$A$2:$A$30,0))</f>
        <v>pdf_proposal</v>
      </c>
      <c r="E26" s="10" t="str">
        <f aca="false">INDEX(Canale!$D$2:$D$30,MATCH(C26,Canale!$A$2:$A$30,0))</f>
        <v>document</v>
      </c>
      <c r="F26" s="10" t="str">
        <f aca="false">INDEX('Site-uri'!$C$2:$C$20,MATCH(A26,'Site-uri'!$A$2:$A$20,0))</f>
        <v>/</v>
      </c>
      <c r="G26" s="10" t="str">
        <f aca="false">Config!$B$3</f>
        <v>2610_ff_lansare</v>
      </c>
      <c r="H26" s="10" t="str">
        <f aca="false">Config!$B$4</f>
        <v>general</v>
      </c>
      <c r="I26" s="10" t="str">
        <f aca="false">"https://"&amp;B26&amp;F26&amp;"?utm_source="&amp;D26&amp;"&amp;utm_medium="&amp;E26&amp;"&amp;utm_campaign="&amp;G26&amp;"&amp;utm_content="&amp;H26</f>
        <v>https://5thelement.ai/?utm_source=pdf_proposal&amp;utm_medium=document&amp;utm_campaign=2610_ff_lansare&amp;utm_content=general</v>
      </c>
    </row>
    <row r="27" customFormat="false" ht="15" hidden="false" customHeight="false" outlineLevel="0" collapsed="false">
      <c r="A27" s="10" t="s">
        <v>45</v>
      </c>
      <c r="B27" s="10" t="str">
        <f aca="false">INDEX('Site-uri'!$B$2:$B$20,MATCH(A27,'Site-uri'!$A$2:$A$20,0))</f>
        <v>5thelement.ai</v>
      </c>
      <c r="C27" s="10" t="s">
        <v>197</v>
      </c>
      <c r="D27" s="10" t="str">
        <f aca="false">INDEX(Canale!$C$2:$C$30,MATCH(C27,Canale!$A$2:$A$30,0))</f>
        <v>qr_print</v>
      </c>
      <c r="E27" s="10" t="str">
        <f aca="false">INDEX(Canale!$D$2:$D$30,MATCH(C27,Canale!$A$2:$A$30,0))</f>
        <v>qr</v>
      </c>
      <c r="F27" s="10" t="str">
        <f aca="false">INDEX('Site-uri'!$C$2:$C$20,MATCH(A27,'Site-uri'!$A$2:$A$20,0))</f>
        <v>/</v>
      </c>
      <c r="G27" s="10" t="str">
        <f aca="false">Config!$B$3</f>
        <v>2610_ff_lansare</v>
      </c>
      <c r="H27" s="10" t="str">
        <f aca="false">Config!$B$4</f>
        <v>general</v>
      </c>
      <c r="I27" s="10" t="str">
        <f aca="false">"https://"&amp;B27&amp;F27&amp;"?utm_source="&amp;D27&amp;"&amp;utm_medium="&amp;E27&amp;"&amp;utm_campaign="&amp;G27&amp;"&amp;utm_content="&amp;H27</f>
        <v>https://5thelement.ai/?utm_source=qr_print&amp;utm_medium=qr&amp;utm_campaign=2610_ff_lansare&amp;utm_content=general</v>
      </c>
    </row>
    <row r="28" customFormat="false" ht="15" hidden="false" customHeight="false" outlineLevel="0" collapsed="false">
      <c r="A28" s="10" t="s">
        <v>45</v>
      </c>
      <c r="B28" s="10" t="str">
        <f aca="false">INDEX('Site-uri'!$B$2:$B$20,MATCH(A28,'Site-uri'!$A$2:$A$20,0))</f>
        <v>5thelement.ai</v>
      </c>
      <c r="C28" s="10" t="s">
        <v>201</v>
      </c>
      <c r="D28" s="10" t="str">
        <f aca="false">INDEX(Canale!$C$2:$C$30,MATCH(C28,Canale!$A$2:$A$30,0))</f>
        <v>event</v>
      </c>
      <c r="E28" s="10" t="str">
        <f aca="false">INDEX(Canale!$D$2:$D$30,MATCH(C28,Canale!$A$2:$A$30,0))</f>
        <v>event</v>
      </c>
      <c r="F28" s="10" t="str">
        <f aca="false">INDEX('Site-uri'!$C$2:$C$20,MATCH(A28,'Site-uri'!$A$2:$A$20,0))</f>
        <v>/</v>
      </c>
      <c r="G28" s="10" t="str">
        <f aca="false">Config!$B$3</f>
        <v>2610_ff_lansare</v>
      </c>
      <c r="H28" s="10" t="str">
        <f aca="false">Config!$B$4</f>
        <v>general</v>
      </c>
      <c r="I28" s="10" t="str">
        <f aca="false">"https://"&amp;B28&amp;F28&amp;"?utm_source="&amp;D28&amp;"&amp;utm_medium="&amp;E28&amp;"&amp;utm_campaign="&amp;G28&amp;"&amp;utm_content="&amp;H28</f>
        <v>https://5thelement.ai/?utm_source=event&amp;utm_medium=event&amp;utm_campaign=2610_ff_lansare&amp;utm_content=general</v>
      </c>
    </row>
    <row r="29" customFormat="false" ht="15" hidden="false" customHeight="false" outlineLevel="0" collapsed="false">
      <c r="A29" s="10" t="s">
        <v>45</v>
      </c>
      <c r="B29" s="10" t="str">
        <f aca="false">INDEX('Site-uri'!$B$2:$B$20,MATCH(A29,'Site-uri'!$A$2:$A$20,0))</f>
        <v>5thelement.ai</v>
      </c>
      <c r="C29" s="10" t="s">
        <v>203</v>
      </c>
      <c r="D29" s="10" t="str">
        <f aca="false">INDEX(Canale!$C$2:$C$30,MATCH(C29,Canale!$A$2:$A$30,0))</f>
        <v>a2a_agent_card</v>
      </c>
      <c r="E29" s="10" t="str">
        <f aca="false">INDEX(Canale!$D$2:$D$30,MATCH(C29,Canale!$A$2:$A$30,0))</f>
        <v>agent</v>
      </c>
      <c r="F29" s="10" t="str">
        <f aca="false">INDEX('Site-uri'!$C$2:$C$20,MATCH(A29,'Site-uri'!$A$2:$A$20,0))</f>
        <v>/</v>
      </c>
      <c r="G29" s="10" t="str">
        <f aca="false">Config!$B$3</f>
        <v>2610_ff_lansare</v>
      </c>
      <c r="H29" s="10" t="str">
        <f aca="false">Config!$B$4</f>
        <v>general</v>
      </c>
      <c r="I29" s="10" t="str">
        <f aca="false">"https://"&amp;B29&amp;F29&amp;"?utm_source="&amp;D29&amp;"&amp;utm_medium="&amp;E29&amp;"&amp;utm_campaign="&amp;G29&amp;"&amp;utm_content="&amp;H29</f>
        <v>https://5thelement.ai/?utm_source=a2a_agent_card&amp;utm_medium=agent&amp;utm_campaign=2610_ff_lansare&amp;utm_content=general</v>
      </c>
    </row>
    <row r="30" customFormat="false" ht="15" hidden="false" customHeight="false" outlineLevel="0" collapsed="false">
      <c r="A30" s="10" t="s">
        <v>45</v>
      </c>
      <c r="B30" s="10" t="str">
        <f aca="false">INDEX('Site-uri'!$B$2:$B$20,MATCH(A30,'Site-uri'!$A$2:$A$20,0))</f>
        <v>5thelement.ai</v>
      </c>
      <c r="C30" s="10" t="s">
        <v>208</v>
      </c>
      <c r="D30" s="10" t="str">
        <f aca="false">INDEX(Canale!$C$2:$C$30,MATCH(C30,Canale!$A$2:$A$30,0))</f>
        <v>llms_txt</v>
      </c>
      <c r="E30" s="10" t="str">
        <f aca="false">INDEX(Canale!$D$2:$D$30,MATCH(C30,Canale!$A$2:$A$30,0))</f>
        <v>ai_web</v>
      </c>
      <c r="F30" s="10" t="str">
        <f aca="false">INDEX('Site-uri'!$C$2:$C$20,MATCH(A30,'Site-uri'!$A$2:$A$20,0))</f>
        <v>/</v>
      </c>
      <c r="G30" s="10" t="str">
        <f aca="false">Config!$B$3</f>
        <v>2610_ff_lansare</v>
      </c>
      <c r="H30" s="10" t="str">
        <f aca="false">Config!$B$4</f>
        <v>general</v>
      </c>
      <c r="I30" s="10" t="str">
        <f aca="false">"https://"&amp;B30&amp;F30&amp;"?utm_source="&amp;D30&amp;"&amp;utm_medium="&amp;E30&amp;"&amp;utm_campaign="&amp;G30&amp;"&amp;utm_content="&amp;H30</f>
        <v>https://5thelement.ai/?utm_source=llms_txt&amp;utm_medium=ai_web&amp;utm_campaign=2610_ff_lansare&amp;utm_content=general</v>
      </c>
    </row>
    <row r="31" customFormat="false" ht="15" hidden="false" customHeight="false" outlineLevel="0" collapsed="false">
      <c r="A31" s="10" t="s">
        <v>49</v>
      </c>
      <c r="B31" s="10" t="str">
        <f aca="false">INDEX('Site-uri'!$B$2:$B$20,MATCH(A31,'Site-uri'!$A$2:$A$20,0))</f>
        <v>aiventure.ro</v>
      </c>
      <c r="C31" s="10" t="s">
        <v>103</v>
      </c>
      <c r="D31" s="10" t="str">
        <f aca="false">INDEX(Canale!$C$2:$C$30,MATCH(C31,Canale!$A$2:$A$30,0))</f>
        <v>linkedin_personal</v>
      </c>
      <c r="E31" s="10" t="str">
        <f aca="false">INDEX(Canale!$D$2:$D$30,MATCH(C31,Canale!$A$2:$A$30,0))</f>
        <v>social</v>
      </c>
      <c r="F31" s="10" t="str">
        <f aca="false">INDEX('Site-uri'!$C$2:$C$20,MATCH(A31,'Site-uri'!$A$2:$A$20,0))</f>
        <v>/</v>
      </c>
      <c r="G31" s="10" t="str">
        <f aca="false">Config!$B$3</f>
        <v>2610_ff_lansare</v>
      </c>
      <c r="H31" s="10" t="str">
        <f aca="false">Config!$B$4</f>
        <v>general</v>
      </c>
      <c r="I31" s="10" t="str">
        <f aca="false">"https://"&amp;B31&amp;F31&amp;"?utm_source="&amp;D31&amp;"&amp;utm_medium="&amp;E31&amp;"&amp;utm_campaign="&amp;G31&amp;"&amp;utm_content="&amp;H31</f>
        <v>https://aiventure.ro/?utm_source=linkedin_personal&amp;utm_medium=social&amp;utm_campaign=2610_ff_lansare&amp;utm_content=general</v>
      </c>
    </row>
    <row r="32" customFormat="false" ht="15" hidden="false" customHeight="false" outlineLevel="0" collapsed="false">
      <c r="A32" s="10" t="s">
        <v>49</v>
      </c>
      <c r="B32" s="10" t="str">
        <f aca="false">INDEX('Site-uri'!$B$2:$B$20,MATCH(A32,'Site-uri'!$A$2:$A$20,0))</f>
        <v>aiventure.ro</v>
      </c>
      <c r="C32" s="10" t="s">
        <v>108</v>
      </c>
      <c r="D32" s="10" t="str">
        <f aca="false">INDEX(Canale!$C$2:$C$30,MATCH(C32,Canale!$A$2:$A$30,0))</f>
        <v>linkedin_company</v>
      </c>
      <c r="E32" s="10" t="str">
        <f aca="false">INDEX(Canale!$D$2:$D$30,MATCH(C32,Canale!$A$2:$A$30,0))</f>
        <v>social</v>
      </c>
      <c r="F32" s="10" t="str">
        <f aca="false">INDEX('Site-uri'!$C$2:$C$20,MATCH(A32,'Site-uri'!$A$2:$A$20,0))</f>
        <v>/</v>
      </c>
      <c r="G32" s="10" t="str">
        <f aca="false">Config!$B$3</f>
        <v>2610_ff_lansare</v>
      </c>
      <c r="H32" s="10" t="str">
        <f aca="false">Config!$B$4</f>
        <v>general</v>
      </c>
      <c r="I32" s="10" t="str">
        <f aca="false">"https://"&amp;B32&amp;F32&amp;"?utm_source="&amp;D32&amp;"&amp;utm_medium="&amp;E32&amp;"&amp;utm_campaign="&amp;G32&amp;"&amp;utm_content="&amp;H32</f>
        <v>https://aiventure.ro/?utm_source=linkedin_company&amp;utm_medium=social&amp;utm_campaign=2610_ff_lansare&amp;utm_content=general</v>
      </c>
    </row>
    <row r="33" customFormat="false" ht="15" hidden="false" customHeight="false" outlineLevel="0" collapsed="false">
      <c r="A33" s="10" t="s">
        <v>49</v>
      </c>
      <c r="B33" s="10" t="str">
        <f aca="false">INDEX('Site-uri'!$B$2:$B$20,MATCH(A33,'Site-uri'!$A$2:$A$20,0))</f>
        <v>aiventure.ro</v>
      </c>
      <c r="C33" s="10" t="s">
        <v>111</v>
      </c>
      <c r="D33" s="10" t="str">
        <f aca="false">INDEX(Canale!$C$2:$C$30,MATCH(C33,Canale!$A$2:$A$30,0))</f>
        <v>linkedin_showcase</v>
      </c>
      <c r="E33" s="10" t="str">
        <f aca="false">INDEX(Canale!$D$2:$D$30,MATCH(C33,Canale!$A$2:$A$30,0))</f>
        <v>social</v>
      </c>
      <c r="F33" s="10" t="str">
        <f aca="false">INDEX('Site-uri'!$C$2:$C$20,MATCH(A33,'Site-uri'!$A$2:$A$20,0))</f>
        <v>/</v>
      </c>
      <c r="G33" s="10" t="str">
        <f aca="false">Config!$B$3</f>
        <v>2610_ff_lansare</v>
      </c>
      <c r="H33" s="10" t="str">
        <f aca="false">Config!$B$4</f>
        <v>general</v>
      </c>
      <c r="I33" s="10" t="str">
        <f aca="false">"https://"&amp;B33&amp;F33&amp;"?utm_source="&amp;D33&amp;"&amp;utm_medium="&amp;E33&amp;"&amp;utm_campaign="&amp;G33&amp;"&amp;utm_content="&amp;H33</f>
        <v>https://aiventure.ro/?utm_source=linkedin_showcase&amp;utm_medium=social&amp;utm_campaign=2610_ff_lansare&amp;utm_content=general</v>
      </c>
    </row>
    <row r="34" customFormat="false" ht="15" hidden="false" customHeight="false" outlineLevel="0" collapsed="false">
      <c r="A34" s="10" t="s">
        <v>49</v>
      </c>
      <c r="B34" s="10" t="str">
        <f aca="false">INDEX('Site-uri'!$B$2:$B$20,MATCH(A34,'Site-uri'!$A$2:$A$20,0))</f>
        <v>aiventure.ro</v>
      </c>
      <c r="C34" s="10" t="s">
        <v>114</v>
      </c>
      <c r="D34" s="10" t="str">
        <f aca="false">INDEX(Canale!$C$2:$C$30,MATCH(C34,Canale!$A$2:$A$30,0))</f>
        <v>linkedin_newsletter</v>
      </c>
      <c r="E34" s="10" t="str">
        <f aca="false">INDEX(Canale!$D$2:$D$30,MATCH(C34,Canale!$A$2:$A$30,0))</f>
        <v>social</v>
      </c>
      <c r="F34" s="10" t="str">
        <f aca="false">INDEX('Site-uri'!$C$2:$C$20,MATCH(A34,'Site-uri'!$A$2:$A$20,0))</f>
        <v>/</v>
      </c>
      <c r="G34" s="10" t="str">
        <f aca="false">Config!$B$3</f>
        <v>2610_ff_lansare</v>
      </c>
      <c r="H34" s="10" t="str">
        <f aca="false">Config!$B$4</f>
        <v>general</v>
      </c>
      <c r="I34" s="10" t="str">
        <f aca="false">"https://"&amp;B34&amp;F34&amp;"?utm_source="&amp;D34&amp;"&amp;utm_medium="&amp;E34&amp;"&amp;utm_campaign="&amp;G34&amp;"&amp;utm_content="&amp;H34</f>
        <v>https://aiventure.ro/?utm_source=linkedin_newsletter&amp;utm_medium=social&amp;utm_campaign=2610_ff_lansare&amp;utm_content=general</v>
      </c>
    </row>
    <row r="35" customFormat="false" ht="15" hidden="false" customHeight="false" outlineLevel="0" collapsed="false">
      <c r="A35" s="10" t="s">
        <v>49</v>
      </c>
      <c r="B35" s="10" t="str">
        <f aca="false">INDEX('Site-uri'!$B$2:$B$20,MATCH(A35,'Site-uri'!$A$2:$A$20,0))</f>
        <v>aiventure.ro</v>
      </c>
      <c r="C35" s="10" t="s">
        <v>117</v>
      </c>
      <c r="D35" s="10" t="str">
        <f aca="false">INDEX(Canale!$C$2:$C$30,MATCH(C35,Canale!$A$2:$A$30,0))</f>
        <v>linkedin_ads</v>
      </c>
      <c r="E35" s="10" t="str">
        <f aca="false">INDEX(Canale!$D$2:$D$30,MATCH(C35,Canale!$A$2:$A$30,0))</f>
        <v>paid_social</v>
      </c>
      <c r="F35" s="10" t="str">
        <f aca="false">INDEX('Site-uri'!$C$2:$C$20,MATCH(A35,'Site-uri'!$A$2:$A$20,0))</f>
        <v>/</v>
      </c>
      <c r="G35" s="10" t="str">
        <f aca="false">Config!$B$3</f>
        <v>2610_ff_lansare</v>
      </c>
      <c r="H35" s="10" t="str">
        <f aca="false">Config!$B$4</f>
        <v>general</v>
      </c>
      <c r="I35" s="10" t="str">
        <f aca="false">"https://"&amp;B35&amp;F35&amp;"?utm_source="&amp;D35&amp;"&amp;utm_medium="&amp;E35&amp;"&amp;utm_campaign="&amp;G35&amp;"&amp;utm_content="&amp;H35</f>
        <v>https://aiventure.ro/?utm_source=linkedin_ads&amp;utm_medium=paid_social&amp;utm_campaign=2610_ff_lansare&amp;utm_content=general</v>
      </c>
    </row>
    <row r="36" customFormat="false" ht="15" hidden="false" customHeight="false" outlineLevel="0" collapsed="false">
      <c r="A36" s="10" t="s">
        <v>49</v>
      </c>
      <c r="B36" s="10" t="str">
        <f aca="false">INDEX('Site-uri'!$B$2:$B$20,MATCH(A36,'Site-uri'!$A$2:$A$20,0))</f>
        <v>aiventure.ro</v>
      </c>
      <c r="C36" s="10" t="s">
        <v>121</v>
      </c>
      <c r="D36" s="10" t="str">
        <f aca="false">INDEX(Canale!$C$2:$C$30,MATCH(C36,Canale!$A$2:$A$30,0))</f>
        <v>linkedin_dm</v>
      </c>
      <c r="E36" s="10" t="str">
        <f aca="false">INDEX(Canale!$D$2:$D$30,MATCH(C36,Canale!$A$2:$A$30,0))</f>
        <v>dm</v>
      </c>
      <c r="F36" s="10" t="str">
        <f aca="false">INDEX('Site-uri'!$C$2:$C$20,MATCH(A36,'Site-uri'!$A$2:$A$20,0))</f>
        <v>/</v>
      </c>
      <c r="G36" s="10" t="str">
        <f aca="false">Config!$B$3</f>
        <v>2610_ff_lansare</v>
      </c>
      <c r="H36" s="10" t="str">
        <f aca="false">Config!$B$4</f>
        <v>general</v>
      </c>
      <c r="I36" s="10" t="str">
        <f aca="false">"https://"&amp;B36&amp;F36&amp;"?utm_source="&amp;D36&amp;"&amp;utm_medium="&amp;E36&amp;"&amp;utm_campaign="&amp;G36&amp;"&amp;utm_content="&amp;H36</f>
        <v>https://aiventure.ro/?utm_source=linkedin_dm&amp;utm_medium=dm&amp;utm_campaign=2610_ff_lansare&amp;utm_content=general</v>
      </c>
    </row>
    <row r="37" customFormat="false" ht="15" hidden="false" customHeight="false" outlineLevel="0" collapsed="false">
      <c r="A37" s="10" t="s">
        <v>49</v>
      </c>
      <c r="B37" s="10" t="str">
        <f aca="false">INDEX('Site-uri'!$B$2:$B$20,MATCH(A37,'Site-uri'!$A$2:$A$20,0))</f>
        <v>aiventure.ro</v>
      </c>
      <c r="C37" s="10" t="s">
        <v>125</v>
      </c>
      <c r="D37" s="10" t="str">
        <f aca="false">INDEX(Canale!$C$2:$C$30,MATCH(C37,Canale!$A$2:$A$30,0))</f>
        <v>email_outreach</v>
      </c>
      <c r="E37" s="10" t="str">
        <f aca="false">INDEX(Canale!$D$2:$D$30,MATCH(C37,Canale!$A$2:$A$30,0))</f>
        <v>email</v>
      </c>
      <c r="F37" s="10" t="str">
        <f aca="false">INDEX('Site-uri'!$C$2:$C$20,MATCH(A37,'Site-uri'!$A$2:$A$20,0))</f>
        <v>/</v>
      </c>
      <c r="G37" s="10" t="str">
        <f aca="false">Config!$B$3</f>
        <v>2610_ff_lansare</v>
      </c>
      <c r="H37" s="10" t="str">
        <f aca="false">Config!$B$4</f>
        <v>general</v>
      </c>
      <c r="I37" s="10" t="str">
        <f aca="false">"https://"&amp;B37&amp;F37&amp;"?utm_source="&amp;D37&amp;"&amp;utm_medium="&amp;E37&amp;"&amp;utm_campaign="&amp;G37&amp;"&amp;utm_content="&amp;H37</f>
        <v>https://aiventure.ro/?utm_source=email_outreach&amp;utm_medium=email&amp;utm_campaign=2610_ff_lansare&amp;utm_content=general</v>
      </c>
    </row>
    <row r="38" customFormat="false" ht="15" hidden="false" customHeight="false" outlineLevel="0" collapsed="false">
      <c r="A38" s="10" t="s">
        <v>49</v>
      </c>
      <c r="B38" s="10" t="str">
        <f aca="false">INDEX('Site-uri'!$B$2:$B$20,MATCH(A38,'Site-uri'!$A$2:$A$20,0))</f>
        <v>aiventure.ro</v>
      </c>
      <c r="C38" s="10" t="s">
        <v>130</v>
      </c>
      <c r="D38" s="10" t="str">
        <f aca="false">INDEX(Canale!$C$2:$C$30,MATCH(C38,Canale!$A$2:$A$30,0))</f>
        <v>newsletter</v>
      </c>
      <c r="E38" s="10" t="str">
        <f aca="false">INDEX(Canale!$D$2:$D$30,MATCH(C38,Canale!$A$2:$A$30,0))</f>
        <v>email</v>
      </c>
      <c r="F38" s="10" t="str">
        <f aca="false">INDEX('Site-uri'!$C$2:$C$20,MATCH(A38,'Site-uri'!$A$2:$A$20,0))</f>
        <v>/</v>
      </c>
      <c r="G38" s="10" t="str">
        <f aca="false">Config!$B$3</f>
        <v>2610_ff_lansare</v>
      </c>
      <c r="H38" s="10" t="str">
        <f aca="false">Config!$B$4</f>
        <v>general</v>
      </c>
      <c r="I38" s="10" t="str">
        <f aca="false">"https://"&amp;B38&amp;F38&amp;"?utm_source="&amp;D38&amp;"&amp;utm_medium="&amp;E38&amp;"&amp;utm_campaign="&amp;G38&amp;"&amp;utm_content="&amp;H38</f>
        <v>https://aiventure.ro/?utm_source=newsletter&amp;utm_medium=email&amp;utm_campaign=2610_ff_lansare&amp;utm_content=general</v>
      </c>
    </row>
    <row r="39" customFormat="false" ht="15" hidden="false" customHeight="false" outlineLevel="0" collapsed="false">
      <c r="A39" s="10" t="s">
        <v>49</v>
      </c>
      <c r="B39" s="10" t="str">
        <f aca="false">INDEX('Site-uri'!$B$2:$B$20,MATCH(A39,'Site-uri'!$A$2:$A$20,0))</f>
        <v>aiventure.ro</v>
      </c>
      <c r="C39" s="10" t="s">
        <v>133</v>
      </c>
      <c r="D39" s="10" t="str">
        <f aca="false">INDEX(Canale!$C$2:$C$30,MATCH(C39,Canale!$A$2:$A$30,0))</f>
        <v>email_signature</v>
      </c>
      <c r="E39" s="10" t="str">
        <f aca="false">INDEX(Canale!$D$2:$D$30,MATCH(C39,Canale!$A$2:$A$30,0))</f>
        <v>email</v>
      </c>
      <c r="F39" s="10" t="str">
        <f aca="false">INDEX('Site-uri'!$C$2:$C$20,MATCH(A39,'Site-uri'!$A$2:$A$20,0))</f>
        <v>/</v>
      </c>
      <c r="G39" s="10" t="str">
        <f aca="false">Config!$B$3</f>
        <v>2610_ff_lansare</v>
      </c>
      <c r="H39" s="10" t="str">
        <f aca="false">Config!$B$4</f>
        <v>general</v>
      </c>
      <c r="I39" s="10" t="str">
        <f aca="false">"https://"&amp;B39&amp;F39&amp;"?utm_source="&amp;D39&amp;"&amp;utm_medium="&amp;E39&amp;"&amp;utm_campaign="&amp;G39&amp;"&amp;utm_content="&amp;H39</f>
        <v>https://aiventure.ro/?utm_source=email_signature&amp;utm_medium=email&amp;utm_campaign=2610_ff_lansare&amp;utm_content=general</v>
      </c>
    </row>
    <row r="40" customFormat="false" ht="15" hidden="false" customHeight="false" outlineLevel="0" collapsed="false">
      <c r="A40" s="10" t="s">
        <v>49</v>
      </c>
      <c r="B40" s="10" t="str">
        <f aca="false">INDEX('Site-uri'!$B$2:$B$20,MATCH(A40,'Site-uri'!$A$2:$A$20,0))</f>
        <v>aiventure.ro</v>
      </c>
      <c r="C40" s="10" t="s">
        <v>136</v>
      </c>
      <c r="D40" s="10" t="str">
        <f aca="false">INDEX(Canale!$C$2:$C$30,MATCH(C40,Canale!$A$2:$A$30,0))</f>
        <v>whatsapp</v>
      </c>
      <c r="E40" s="10" t="str">
        <f aca="false">INDEX(Canale!$D$2:$D$30,MATCH(C40,Canale!$A$2:$A$30,0))</f>
        <v>dm</v>
      </c>
      <c r="F40" s="10" t="str">
        <f aca="false">INDEX('Site-uri'!$C$2:$C$20,MATCH(A40,'Site-uri'!$A$2:$A$20,0))</f>
        <v>/</v>
      </c>
      <c r="G40" s="10" t="str">
        <f aca="false">Config!$B$3</f>
        <v>2610_ff_lansare</v>
      </c>
      <c r="H40" s="10" t="str">
        <f aca="false">Config!$B$4</f>
        <v>general</v>
      </c>
      <c r="I40" s="10" t="str">
        <f aca="false">"https://"&amp;B40&amp;F40&amp;"?utm_source="&amp;D40&amp;"&amp;utm_medium="&amp;E40&amp;"&amp;utm_campaign="&amp;G40&amp;"&amp;utm_content="&amp;H40</f>
        <v>https://aiventure.ro/?utm_source=whatsapp&amp;utm_medium=dm&amp;utm_campaign=2610_ff_lansare&amp;utm_content=general</v>
      </c>
    </row>
    <row r="41" customFormat="false" ht="15" hidden="false" customHeight="false" outlineLevel="0" collapsed="false">
      <c r="A41" s="10" t="s">
        <v>49</v>
      </c>
      <c r="B41" s="10" t="str">
        <f aca="false">INDEX('Site-uri'!$B$2:$B$20,MATCH(A41,'Site-uri'!$A$2:$A$20,0))</f>
        <v>aiventure.ro</v>
      </c>
      <c r="C41" s="10" t="s">
        <v>140</v>
      </c>
      <c r="D41" s="10" t="str">
        <f aca="false">INDEX(Canale!$C$2:$C$30,MATCH(C41,Canale!$A$2:$A$30,0))</f>
        <v>google</v>
      </c>
      <c r="E41" s="10" t="str">
        <f aca="false">INDEX(Canale!$D$2:$D$30,MATCH(C41,Canale!$A$2:$A$30,0))</f>
        <v>cpc</v>
      </c>
      <c r="F41" s="10" t="str">
        <f aca="false">INDEX('Site-uri'!$C$2:$C$20,MATCH(A41,'Site-uri'!$A$2:$A$20,0))</f>
        <v>/</v>
      </c>
      <c r="G41" s="10" t="str">
        <f aca="false">Config!$B$3</f>
        <v>2610_ff_lansare</v>
      </c>
      <c r="H41" s="10" t="str">
        <f aca="false">Config!$B$4</f>
        <v>general</v>
      </c>
      <c r="I41" s="10" t="str">
        <f aca="false">"https://"&amp;B41&amp;F41&amp;"?utm_source="&amp;D41&amp;"&amp;utm_medium="&amp;E41&amp;"&amp;utm_campaign="&amp;G41&amp;"&amp;utm_content="&amp;H41</f>
        <v>https://aiventure.ro/?utm_source=google&amp;utm_medium=cpc&amp;utm_campaign=2610_ff_lansare&amp;utm_content=general</v>
      </c>
    </row>
    <row r="42" customFormat="false" ht="15" hidden="false" customHeight="false" outlineLevel="0" collapsed="false">
      <c r="A42" s="10" t="s">
        <v>49</v>
      </c>
      <c r="B42" s="10" t="str">
        <f aca="false">INDEX('Site-uri'!$B$2:$B$20,MATCH(A42,'Site-uri'!$A$2:$A$20,0))</f>
        <v>aiventure.ro</v>
      </c>
      <c r="C42" s="10" t="s">
        <v>145</v>
      </c>
      <c r="D42" s="10" t="str">
        <f aca="false">INDEX(Canale!$C$2:$C$30,MATCH(C42,Canale!$A$2:$A$30,0))</f>
        <v>bing</v>
      </c>
      <c r="E42" s="10" t="str">
        <f aca="false">INDEX(Canale!$D$2:$D$30,MATCH(C42,Canale!$A$2:$A$30,0))</f>
        <v>cpc</v>
      </c>
      <c r="F42" s="10" t="str">
        <f aca="false">INDEX('Site-uri'!$C$2:$C$20,MATCH(A42,'Site-uri'!$A$2:$A$20,0))</f>
        <v>/</v>
      </c>
      <c r="G42" s="10" t="str">
        <f aca="false">Config!$B$3</f>
        <v>2610_ff_lansare</v>
      </c>
      <c r="H42" s="10" t="str">
        <f aca="false">Config!$B$4</f>
        <v>general</v>
      </c>
      <c r="I42" s="10" t="str">
        <f aca="false">"https://"&amp;B42&amp;F42&amp;"?utm_source="&amp;D42&amp;"&amp;utm_medium="&amp;E42&amp;"&amp;utm_campaign="&amp;G42&amp;"&amp;utm_content="&amp;H42</f>
        <v>https://aiventure.ro/?utm_source=bing&amp;utm_medium=cpc&amp;utm_campaign=2610_ff_lansare&amp;utm_content=general</v>
      </c>
    </row>
    <row r="43" customFormat="false" ht="15" hidden="false" customHeight="false" outlineLevel="0" collapsed="false">
      <c r="A43" s="10" t="s">
        <v>49</v>
      </c>
      <c r="B43" s="10" t="str">
        <f aca="false">INDEX('Site-uri'!$B$2:$B$20,MATCH(A43,'Site-uri'!$A$2:$A$20,0))</f>
        <v>aiventure.ro</v>
      </c>
      <c r="C43" s="10" t="s">
        <v>148</v>
      </c>
      <c r="D43" s="10" t="str">
        <f aca="false">INDEX(Canale!$C$2:$C$30,MATCH(C43,Canale!$A$2:$A$30,0))</f>
        <v>facebook</v>
      </c>
      <c r="E43" s="10" t="str">
        <f aca="false">INDEX(Canale!$D$2:$D$30,MATCH(C43,Canale!$A$2:$A$30,0))</f>
        <v>social</v>
      </c>
      <c r="F43" s="10" t="str">
        <f aca="false">INDEX('Site-uri'!$C$2:$C$20,MATCH(A43,'Site-uri'!$A$2:$A$20,0))</f>
        <v>/</v>
      </c>
      <c r="G43" s="10" t="str">
        <f aca="false">Config!$B$3</f>
        <v>2610_ff_lansare</v>
      </c>
      <c r="H43" s="10" t="str">
        <f aca="false">Config!$B$4</f>
        <v>general</v>
      </c>
      <c r="I43" s="10" t="str">
        <f aca="false">"https://"&amp;B43&amp;F43&amp;"?utm_source="&amp;D43&amp;"&amp;utm_medium="&amp;E43&amp;"&amp;utm_campaign="&amp;G43&amp;"&amp;utm_content="&amp;H43</f>
        <v>https://aiventure.ro/?utm_source=facebook&amp;utm_medium=social&amp;utm_campaign=2610_ff_lansare&amp;utm_content=general</v>
      </c>
    </row>
    <row r="44" customFormat="false" ht="15" hidden="false" customHeight="false" outlineLevel="0" collapsed="false">
      <c r="A44" s="10" t="s">
        <v>49</v>
      </c>
      <c r="B44" s="10" t="str">
        <f aca="false">INDEX('Site-uri'!$B$2:$B$20,MATCH(A44,'Site-uri'!$A$2:$A$20,0))</f>
        <v>aiventure.ro</v>
      </c>
      <c r="C44" s="10" t="s">
        <v>152</v>
      </c>
      <c r="D44" s="10" t="str">
        <f aca="false">INDEX(Canale!$C$2:$C$30,MATCH(C44,Canale!$A$2:$A$30,0))</f>
        <v>x</v>
      </c>
      <c r="E44" s="10" t="str">
        <f aca="false">INDEX(Canale!$D$2:$D$30,MATCH(C44,Canale!$A$2:$A$30,0))</f>
        <v>social</v>
      </c>
      <c r="F44" s="10" t="str">
        <f aca="false">INDEX('Site-uri'!$C$2:$C$20,MATCH(A44,'Site-uri'!$A$2:$A$20,0))</f>
        <v>/</v>
      </c>
      <c r="G44" s="10" t="str">
        <f aca="false">Config!$B$3</f>
        <v>2610_ff_lansare</v>
      </c>
      <c r="H44" s="10" t="str">
        <f aca="false">Config!$B$4</f>
        <v>general</v>
      </c>
      <c r="I44" s="10" t="str">
        <f aca="false">"https://"&amp;B44&amp;F44&amp;"?utm_source="&amp;D44&amp;"&amp;utm_medium="&amp;E44&amp;"&amp;utm_campaign="&amp;G44&amp;"&amp;utm_content="&amp;H44</f>
        <v>https://aiventure.ro/?utm_source=x&amp;utm_medium=social&amp;utm_campaign=2610_ff_lansare&amp;utm_content=general</v>
      </c>
    </row>
    <row r="45" customFormat="false" ht="15" hidden="false" customHeight="false" outlineLevel="0" collapsed="false">
      <c r="A45" s="10" t="s">
        <v>49</v>
      </c>
      <c r="B45" s="10" t="str">
        <f aca="false">INDEX('Site-uri'!$B$2:$B$20,MATCH(A45,'Site-uri'!$A$2:$A$20,0))</f>
        <v>aiventure.ro</v>
      </c>
      <c r="C45" s="10" t="s">
        <v>154</v>
      </c>
      <c r="D45" s="10" t="str">
        <f aca="false">INDEX(Canale!$C$2:$C$30,MATCH(C45,Canale!$A$2:$A$30,0))</f>
        <v>youtube</v>
      </c>
      <c r="E45" s="10" t="str">
        <f aca="false">INDEX(Canale!$D$2:$D$30,MATCH(C45,Canale!$A$2:$A$30,0))</f>
        <v>video</v>
      </c>
      <c r="F45" s="10" t="str">
        <f aca="false">INDEX('Site-uri'!$C$2:$C$20,MATCH(A45,'Site-uri'!$A$2:$A$20,0))</f>
        <v>/</v>
      </c>
      <c r="G45" s="10" t="str">
        <f aca="false">Config!$B$3</f>
        <v>2610_ff_lansare</v>
      </c>
      <c r="H45" s="10" t="str">
        <f aca="false">Config!$B$4</f>
        <v>general</v>
      </c>
      <c r="I45" s="10" t="str">
        <f aca="false">"https://"&amp;B45&amp;F45&amp;"?utm_source="&amp;D45&amp;"&amp;utm_medium="&amp;E45&amp;"&amp;utm_campaign="&amp;G45&amp;"&amp;utm_content="&amp;H45</f>
        <v>https://aiventure.ro/?utm_source=youtube&amp;utm_medium=video&amp;utm_campaign=2610_ff_lansare&amp;utm_content=general</v>
      </c>
    </row>
    <row r="46" customFormat="false" ht="15" hidden="false" customHeight="false" outlineLevel="0" collapsed="false">
      <c r="A46" s="10" t="s">
        <v>49</v>
      </c>
      <c r="B46" s="10" t="str">
        <f aca="false">INDEX('Site-uri'!$B$2:$B$20,MATCH(A46,'Site-uri'!$A$2:$A$20,0))</f>
        <v>aiventure.ro</v>
      </c>
      <c r="C46" s="10" t="s">
        <v>159</v>
      </c>
      <c r="D46" s="10" t="str">
        <f aca="false">INDEX(Canale!$C$2:$C$30,MATCH(C46,Canale!$A$2:$A$30,0))</f>
        <v>medium</v>
      </c>
      <c r="E46" s="10" t="str">
        <f aca="false">INDEX(Canale!$D$2:$D$30,MATCH(C46,Canale!$A$2:$A$30,0))</f>
        <v>content</v>
      </c>
      <c r="F46" s="10" t="str">
        <f aca="false">INDEX('Site-uri'!$C$2:$C$20,MATCH(A46,'Site-uri'!$A$2:$A$20,0))</f>
        <v>/</v>
      </c>
      <c r="G46" s="10" t="str">
        <f aca="false">Config!$B$3</f>
        <v>2610_ff_lansare</v>
      </c>
      <c r="H46" s="10" t="str">
        <f aca="false">Config!$B$4</f>
        <v>general</v>
      </c>
      <c r="I46" s="10" t="str">
        <f aca="false">"https://"&amp;B46&amp;F46&amp;"?utm_source="&amp;D46&amp;"&amp;utm_medium="&amp;E46&amp;"&amp;utm_campaign="&amp;G46&amp;"&amp;utm_content="&amp;H46</f>
        <v>https://aiventure.ro/?utm_source=medium&amp;utm_medium=content&amp;utm_campaign=2610_ff_lansare&amp;utm_content=general</v>
      </c>
    </row>
    <row r="47" customFormat="false" ht="15" hidden="false" customHeight="false" outlineLevel="0" collapsed="false">
      <c r="A47" s="10" t="s">
        <v>49</v>
      </c>
      <c r="B47" s="10" t="str">
        <f aca="false">INDEX('Site-uri'!$B$2:$B$20,MATCH(A47,'Site-uri'!$A$2:$A$20,0))</f>
        <v>aiventure.ro</v>
      </c>
      <c r="C47" s="10" t="s">
        <v>164</v>
      </c>
      <c r="D47" s="10" t="str">
        <f aca="false">INDEX(Canale!$C$2:$C$30,MATCH(C47,Canale!$A$2:$A$30,0))</f>
        <v>crunchbase</v>
      </c>
      <c r="E47" s="10" t="str">
        <f aca="false">INDEX(Canale!$D$2:$D$30,MATCH(C47,Canale!$A$2:$A$30,0))</f>
        <v>referral</v>
      </c>
      <c r="F47" s="10" t="str">
        <f aca="false">INDEX('Site-uri'!$C$2:$C$20,MATCH(A47,'Site-uri'!$A$2:$A$20,0))</f>
        <v>/</v>
      </c>
      <c r="G47" s="10" t="str">
        <f aca="false">Config!$B$3</f>
        <v>2610_ff_lansare</v>
      </c>
      <c r="H47" s="10" t="str">
        <f aca="false">Config!$B$4</f>
        <v>general</v>
      </c>
      <c r="I47" s="10" t="str">
        <f aca="false">"https://"&amp;B47&amp;F47&amp;"?utm_source="&amp;D47&amp;"&amp;utm_medium="&amp;E47&amp;"&amp;utm_campaign="&amp;G47&amp;"&amp;utm_content="&amp;H47</f>
        <v>https://aiventure.ro/?utm_source=crunchbase&amp;utm_medium=referral&amp;utm_campaign=2610_ff_lansare&amp;utm_content=general</v>
      </c>
    </row>
    <row r="48" customFormat="false" ht="15" hidden="false" customHeight="false" outlineLevel="0" collapsed="false">
      <c r="A48" s="10" t="s">
        <v>49</v>
      </c>
      <c r="B48" s="10" t="str">
        <f aca="false">INDEX('Site-uri'!$B$2:$B$20,MATCH(A48,'Site-uri'!$A$2:$A$20,0))</f>
        <v>aiventure.ro</v>
      </c>
      <c r="C48" s="10" t="s">
        <v>169</v>
      </c>
      <c r="D48" s="10" t="str">
        <f aca="false">INDEX(Canale!$C$2:$C$30,MATCH(C48,Canale!$A$2:$A$30,0))</f>
        <v>zenodo</v>
      </c>
      <c r="E48" s="10" t="str">
        <f aca="false">INDEX(Canale!$D$2:$D$30,MATCH(C48,Canale!$A$2:$A$30,0))</f>
        <v>referral</v>
      </c>
      <c r="F48" s="10" t="str">
        <f aca="false">INDEX('Site-uri'!$C$2:$C$20,MATCH(A48,'Site-uri'!$A$2:$A$20,0))</f>
        <v>/</v>
      </c>
      <c r="G48" s="10" t="str">
        <f aca="false">Config!$B$3</f>
        <v>2610_ff_lansare</v>
      </c>
      <c r="H48" s="10" t="str">
        <f aca="false">Config!$B$4</f>
        <v>general</v>
      </c>
      <c r="I48" s="10" t="str">
        <f aca="false">"https://"&amp;B48&amp;F48&amp;"?utm_source="&amp;D48&amp;"&amp;utm_medium="&amp;E48&amp;"&amp;utm_campaign="&amp;G48&amp;"&amp;utm_content="&amp;H48</f>
        <v>https://aiventure.ro/?utm_source=zenodo&amp;utm_medium=referral&amp;utm_campaign=2610_ff_lansare&amp;utm_content=general</v>
      </c>
    </row>
    <row r="49" customFormat="false" ht="15" hidden="false" customHeight="false" outlineLevel="0" collapsed="false">
      <c r="A49" s="10" t="s">
        <v>49</v>
      </c>
      <c r="B49" s="10" t="str">
        <f aca="false">INDEX('Site-uri'!$B$2:$B$20,MATCH(A49,'Site-uri'!$A$2:$A$20,0))</f>
        <v>aiventure.ro</v>
      </c>
      <c r="C49" s="10" t="s">
        <v>172</v>
      </c>
      <c r="D49" s="10" t="str">
        <f aca="false">INDEX(Canale!$C$2:$C$30,MATCH(C49,Canale!$A$2:$A$30,0))</f>
        <v>orcid</v>
      </c>
      <c r="E49" s="10" t="str">
        <f aca="false">INDEX(Canale!$D$2:$D$30,MATCH(C49,Canale!$A$2:$A$30,0))</f>
        <v>referral</v>
      </c>
      <c r="F49" s="10" t="str">
        <f aca="false">INDEX('Site-uri'!$C$2:$C$20,MATCH(A49,'Site-uri'!$A$2:$A$20,0))</f>
        <v>/</v>
      </c>
      <c r="G49" s="10" t="str">
        <f aca="false">Config!$B$3</f>
        <v>2610_ff_lansare</v>
      </c>
      <c r="H49" s="10" t="str">
        <f aca="false">Config!$B$4</f>
        <v>general</v>
      </c>
      <c r="I49" s="10" t="str">
        <f aca="false">"https://"&amp;B49&amp;F49&amp;"?utm_source="&amp;D49&amp;"&amp;utm_medium="&amp;E49&amp;"&amp;utm_campaign="&amp;G49&amp;"&amp;utm_content="&amp;H49</f>
        <v>https://aiventure.ro/?utm_source=orcid&amp;utm_medium=referral&amp;utm_campaign=2610_ff_lansare&amp;utm_content=general</v>
      </c>
    </row>
    <row r="50" customFormat="false" ht="15" hidden="false" customHeight="false" outlineLevel="0" collapsed="false">
      <c r="A50" s="10" t="s">
        <v>49</v>
      </c>
      <c r="B50" s="10" t="str">
        <f aca="false">INDEX('Site-uri'!$B$2:$B$20,MATCH(A50,'Site-uri'!$A$2:$A$20,0))</f>
        <v>aiventure.ro</v>
      </c>
      <c r="C50" s="10" t="s">
        <v>175</v>
      </c>
      <c r="D50" s="10" t="str">
        <f aca="false">INDEX(Canale!$C$2:$C$30,MATCH(C50,Canale!$A$2:$A$30,0))</f>
        <v>github</v>
      </c>
      <c r="E50" s="10" t="str">
        <f aca="false">INDEX(Canale!$D$2:$D$30,MATCH(C50,Canale!$A$2:$A$30,0))</f>
        <v>referral</v>
      </c>
      <c r="F50" s="10" t="str">
        <f aca="false">INDEX('Site-uri'!$C$2:$C$20,MATCH(A50,'Site-uri'!$A$2:$A$20,0))</f>
        <v>/</v>
      </c>
      <c r="G50" s="10" t="str">
        <f aca="false">Config!$B$3</f>
        <v>2610_ff_lansare</v>
      </c>
      <c r="H50" s="10" t="str">
        <f aca="false">Config!$B$4</f>
        <v>general</v>
      </c>
      <c r="I50" s="10" t="str">
        <f aca="false">"https://"&amp;B50&amp;F50&amp;"?utm_source="&amp;D50&amp;"&amp;utm_medium="&amp;E50&amp;"&amp;utm_campaign="&amp;G50&amp;"&amp;utm_content="&amp;H50</f>
        <v>https://aiventure.ro/?utm_source=github&amp;utm_medium=referral&amp;utm_campaign=2610_ff_lansare&amp;utm_content=general</v>
      </c>
    </row>
    <row r="51" customFormat="false" ht="15" hidden="false" customHeight="false" outlineLevel="0" collapsed="false">
      <c r="A51" s="10" t="s">
        <v>49</v>
      </c>
      <c r="B51" s="10" t="str">
        <f aca="false">INDEX('Site-uri'!$B$2:$B$20,MATCH(A51,'Site-uri'!$A$2:$A$20,0))</f>
        <v>aiventure.ro</v>
      </c>
      <c r="C51" s="10" t="s">
        <v>178</v>
      </c>
      <c r="D51" s="10" t="str">
        <f aca="false">INDEX(Canale!$C$2:$C$30,MATCH(C51,Canale!$A$2:$A$30,0))</f>
        <v>kdp_book</v>
      </c>
      <c r="E51" s="10" t="str">
        <f aca="false">INDEX(Canale!$D$2:$D$30,MATCH(C51,Canale!$A$2:$A$30,0))</f>
        <v>book</v>
      </c>
      <c r="F51" s="10" t="str">
        <f aca="false">INDEX('Site-uri'!$C$2:$C$20,MATCH(A51,'Site-uri'!$A$2:$A$20,0))</f>
        <v>/</v>
      </c>
      <c r="G51" s="10" t="str">
        <f aca="false">Config!$B$3</f>
        <v>2610_ff_lansare</v>
      </c>
      <c r="H51" s="10" t="str">
        <f aca="false">Config!$B$4</f>
        <v>general</v>
      </c>
      <c r="I51" s="10" t="str">
        <f aca="false">"https://"&amp;B51&amp;F51&amp;"?utm_source="&amp;D51&amp;"&amp;utm_medium="&amp;E51&amp;"&amp;utm_campaign="&amp;G51&amp;"&amp;utm_content="&amp;H51</f>
        <v>https://aiventure.ro/?utm_source=kdp_book&amp;utm_medium=book&amp;utm_campaign=2610_ff_lansare&amp;utm_content=general</v>
      </c>
    </row>
    <row r="52" customFormat="false" ht="15" hidden="false" customHeight="false" outlineLevel="0" collapsed="false">
      <c r="A52" s="10" t="s">
        <v>49</v>
      </c>
      <c r="B52" s="10" t="str">
        <f aca="false">INDEX('Site-uri'!$B$2:$B$20,MATCH(A52,'Site-uri'!$A$2:$A$20,0))</f>
        <v>aiventure.ro</v>
      </c>
      <c r="C52" s="10" t="s">
        <v>183</v>
      </c>
      <c r="D52" s="10" t="str">
        <f aca="false">INDEX(Canale!$C$2:$C$30,MATCH(C52,Canale!$A$2:$A$30,0))</f>
        <v>udemy</v>
      </c>
      <c r="E52" s="10" t="str">
        <f aca="false">INDEX(Canale!$D$2:$D$30,MATCH(C52,Canale!$A$2:$A$30,0))</f>
        <v>course</v>
      </c>
      <c r="F52" s="10" t="str">
        <f aca="false">INDEX('Site-uri'!$C$2:$C$20,MATCH(A52,'Site-uri'!$A$2:$A$20,0))</f>
        <v>/</v>
      </c>
      <c r="G52" s="10" t="str">
        <f aca="false">Config!$B$3</f>
        <v>2610_ff_lansare</v>
      </c>
      <c r="H52" s="10" t="str">
        <f aca="false">Config!$B$4</f>
        <v>general</v>
      </c>
      <c r="I52" s="10" t="str">
        <f aca="false">"https://"&amp;B52&amp;F52&amp;"?utm_source="&amp;D52&amp;"&amp;utm_medium="&amp;E52&amp;"&amp;utm_campaign="&amp;G52&amp;"&amp;utm_content="&amp;H52</f>
        <v>https://aiventure.ro/?utm_source=udemy&amp;utm_medium=course&amp;utm_campaign=2610_ff_lansare&amp;utm_content=general</v>
      </c>
    </row>
    <row r="53" customFormat="false" ht="15" hidden="false" customHeight="false" outlineLevel="0" collapsed="false">
      <c r="A53" s="10" t="s">
        <v>49</v>
      </c>
      <c r="B53" s="10" t="str">
        <f aca="false">INDEX('Site-uri'!$B$2:$B$20,MATCH(A53,'Site-uri'!$A$2:$A$20,0))</f>
        <v>aiventure.ro</v>
      </c>
      <c r="C53" s="10" t="s">
        <v>186</v>
      </c>
      <c r="D53" s="10" t="str">
        <f aca="false">INDEX(Canale!$C$2:$C$30,MATCH(C53,Canale!$A$2:$A$30,0))</f>
        <v>directory</v>
      </c>
      <c r="E53" s="10" t="str">
        <f aca="false">INDEX(Canale!$D$2:$D$30,MATCH(C53,Canale!$A$2:$A$30,0))</f>
        <v>referral</v>
      </c>
      <c r="F53" s="10" t="str">
        <f aca="false">INDEX('Site-uri'!$C$2:$C$20,MATCH(A53,'Site-uri'!$A$2:$A$20,0))</f>
        <v>/</v>
      </c>
      <c r="G53" s="10" t="str">
        <f aca="false">Config!$B$3</f>
        <v>2610_ff_lansare</v>
      </c>
      <c r="H53" s="10" t="str">
        <f aca="false">Config!$B$4</f>
        <v>general</v>
      </c>
      <c r="I53" s="10" t="str">
        <f aca="false">"https://"&amp;B53&amp;F53&amp;"?utm_source="&amp;D53&amp;"&amp;utm_medium="&amp;E53&amp;"&amp;utm_campaign="&amp;G53&amp;"&amp;utm_content="&amp;H53</f>
        <v>https://aiventure.ro/?utm_source=directory&amp;utm_medium=referral&amp;utm_campaign=2610_ff_lansare&amp;utm_content=general</v>
      </c>
    </row>
    <row r="54" customFormat="false" ht="15" hidden="false" customHeight="false" outlineLevel="0" collapsed="false">
      <c r="A54" s="10" t="s">
        <v>49</v>
      </c>
      <c r="B54" s="10" t="str">
        <f aca="false">INDEX('Site-uri'!$B$2:$B$20,MATCH(A54,'Site-uri'!$A$2:$A$20,0))</f>
        <v>aiventure.ro</v>
      </c>
      <c r="C54" s="10" t="s">
        <v>190</v>
      </c>
      <c r="D54" s="10" t="str">
        <f aca="false">INDEX(Canale!$C$2:$C$30,MATCH(C54,Canale!$A$2:$A$30,0))</f>
        <v>partner</v>
      </c>
      <c r="E54" s="10" t="str">
        <f aca="false">INDEX(Canale!$D$2:$D$30,MATCH(C54,Canale!$A$2:$A$30,0))</f>
        <v>partner</v>
      </c>
      <c r="F54" s="10" t="str">
        <f aca="false">INDEX('Site-uri'!$C$2:$C$20,MATCH(A54,'Site-uri'!$A$2:$A$20,0))</f>
        <v>/</v>
      </c>
      <c r="G54" s="10" t="str">
        <f aca="false">Config!$B$3</f>
        <v>2610_ff_lansare</v>
      </c>
      <c r="H54" s="10" t="str">
        <f aca="false">Config!$B$4</f>
        <v>general</v>
      </c>
      <c r="I54" s="10" t="str">
        <f aca="false">"https://"&amp;B54&amp;F54&amp;"?utm_source="&amp;D54&amp;"&amp;utm_medium="&amp;E54&amp;"&amp;utm_campaign="&amp;G54&amp;"&amp;utm_content="&amp;H54</f>
        <v>https://aiventure.ro/?utm_source=partner&amp;utm_medium=partner&amp;utm_campaign=2610_ff_lansare&amp;utm_content=general</v>
      </c>
    </row>
    <row r="55" customFormat="false" ht="15" hidden="false" customHeight="false" outlineLevel="0" collapsed="false">
      <c r="A55" s="10" t="s">
        <v>49</v>
      </c>
      <c r="B55" s="10" t="str">
        <f aca="false">INDEX('Site-uri'!$B$2:$B$20,MATCH(A55,'Site-uri'!$A$2:$A$20,0))</f>
        <v>aiventure.ro</v>
      </c>
      <c r="C55" s="10" t="s">
        <v>192</v>
      </c>
      <c r="D55" s="10" t="str">
        <f aca="false">INDEX(Canale!$C$2:$C$30,MATCH(C55,Canale!$A$2:$A$30,0))</f>
        <v>pdf_proposal</v>
      </c>
      <c r="E55" s="10" t="str">
        <f aca="false">INDEX(Canale!$D$2:$D$30,MATCH(C55,Canale!$A$2:$A$30,0))</f>
        <v>document</v>
      </c>
      <c r="F55" s="10" t="str">
        <f aca="false">INDEX('Site-uri'!$C$2:$C$20,MATCH(A55,'Site-uri'!$A$2:$A$20,0))</f>
        <v>/</v>
      </c>
      <c r="G55" s="10" t="str">
        <f aca="false">Config!$B$3</f>
        <v>2610_ff_lansare</v>
      </c>
      <c r="H55" s="10" t="str">
        <f aca="false">Config!$B$4</f>
        <v>general</v>
      </c>
      <c r="I55" s="10" t="str">
        <f aca="false">"https://"&amp;B55&amp;F55&amp;"?utm_source="&amp;D55&amp;"&amp;utm_medium="&amp;E55&amp;"&amp;utm_campaign="&amp;G55&amp;"&amp;utm_content="&amp;H55</f>
        <v>https://aiventure.ro/?utm_source=pdf_proposal&amp;utm_medium=document&amp;utm_campaign=2610_ff_lansare&amp;utm_content=general</v>
      </c>
    </row>
    <row r="56" customFormat="false" ht="15" hidden="false" customHeight="false" outlineLevel="0" collapsed="false">
      <c r="A56" s="10" t="s">
        <v>49</v>
      </c>
      <c r="B56" s="10" t="str">
        <f aca="false">INDEX('Site-uri'!$B$2:$B$20,MATCH(A56,'Site-uri'!$A$2:$A$20,0))</f>
        <v>aiventure.ro</v>
      </c>
      <c r="C56" s="10" t="s">
        <v>197</v>
      </c>
      <c r="D56" s="10" t="str">
        <f aca="false">INDEX(Canale!$C$2:$C$30,MATCH(C56,Canale!$A$2:$A$30,0))</f>
        <v>qr_print</v>
      </c>
      <c r="E56" s="10" t="str">
        <f aca="false">INDEX(Canale!$D$2:$D$30,MATCH(C56,Canale!$A$2:$A$30,0))</f>
        <v>qr</v>
      </c>
      <c r="F56" s="10" t="str">
        <f aca="false">INDEX('Site-uri'!$C$2:$C$20,MATCH(A56,'Site-uri'!$A$2:$A$20,0))</f>
        <v>/</v>
      </c>
      <c r="G56" s="10" t="str">
        <f aca="false">Config!$B$3</f>
        <v>2610_ff_lansare</v>
      </c>
      <c r="H56" s="10" t="str">
        <f aca="false">Config!$B$4</f>
        <v>general</v>
      </c>
      <c r="I56" s="10" t="str">
        <f aca="false">"https://"&amp;B56&amp;F56&amp;"?utm_source="&amp;D56&amp;"&amp;utm_medium="&amp;E56&amp;"&amp;utm_campaign="&amp;G56&amp;"&amp;utm_content="&amp;H56</f>
        <v>https://aiventure.ro/?utm_source=qr_print&amp;utm_medium=qr&amp;utm_campaign=2610_ff_lansare&amp;utm_content=general</v>
      </c>
    </row>
    <row r="57" customFormat="false" ht="15" hidden="false" customHeight="false" outlineLevel="0" collapsed="false">
      <c r="A57" s="10" t="s">
        <v>49</v>
      </c>
      <c r="B57" s="10" t="str">
        <f aca="false">INDEX('Site-uri'!$B$2:$B$20,MATCH(A57,'Site-uri'!$A$2:$A$20,0))</f>
        <v>aiventure.ro</v>
      </c>
      <c r="C57" s="10" t="s">
        <v>201</v>
      </c>
      <c r="D57" s="10" t="str">
        <f aca="false">INDEX(Canale!$C$2:$C$30,MATCH(C57,Canale!$A$2:$A$30,0))</f>
        <v>event</v>
      </c>
      <c r="E57" s="10" t="str">
        <f aca="false">INDEX(Canale!$D$2:$D$30,MATCH(C57,Canale!$A$2:$A$30,0))</f>
        <v>event</v>
      </c>
      <c r="F57" s="10" t="str">
        <f aca="false">INDEX('Site-uri'!$C$2:$C$20,MATCH(A57,'Site-uri'!$A$2:$A$20,0))</f>
        <v>/</v>
      </c>
      <c r="G57" s="10" t="str">
        <f aca="false">Config!$B$3</f>
        <v>2610_ff_lansare</v>
      </c>
      <c r="H57" s="10" t="str">
        <f aca="false">Config!$B$4</f>
        <v>general</v>
      </c>
      <c r="I57" s="10" t="str">
        <f aca="false">"https://"&amp;B57&amp;F57&amp;"?utm_source="&amp;D57&amp;"&amp;utm_medium="&amp;E57&amp;"&amp;utm_campaign="&amp;G57&amp;"&amp;utm_content="&amp;H57</f>
        <v>https://aiventure.ro/?utm_source=event&amp;utm_medium=event&amp;utm_campaign=2610_ff_lansare&amp;utm_content=general</v>
      </c>
    </row>
    <row r="58" customFormat="false" ht="15" hidden="false" customHeight="false" outlineLevel="0" collapsed="false">
      <c r="A58" s="10" t="s">
        <v>49</v>
      </c>
      <c r="B58" s="10" t="str">
        <f aca="false">INDEX('Site-uri'!$B$2:$B$20,MATCH(A58,'Site-uri'!$A$2:$A$20,0))</f>
        <v>aiventure.ro</v>
      </c>
      <c r="C58" s="10" t="s">
        <v>203</v>
      </c>
      <c r="D58" s="10" t="str">
        <f aca="false">INDEX(Canale!$C$2:$C$30,MATCH(C58,Canale!$A$2:$A$30,0))</f>
        <v>a2a_agent_card</v>
      </c>
      <c r="E58" s="10" t="str">
        <f aca="false">INDEX(Canale!$D$2:$D$30,MATCH(C58,Canale!$A$2:$A$30,0))</f>
        <v>agent</v>
      </c>
      <c r="F58" s="10" t="str">
        <f aca="false">INDEX('Site-uri'!$C$2:$C$20,MATCH(A58,'Site-uri'!$A$2:$A$20,0))</f>
        <v>/</v>
      </c>
      <c r="G58" s="10" t="str">
        <f aca="false">Config!$B$3</f>
        <v>2610_ff_lansare</v>
      </c>
      <c r="H58" s="10" t="str">
        <f aca="false">Config!$B$4</f>
        <v>general</v>
      </c>
      <c r="I58" s="10" t="str">
        <f aca="false">"https://"&amp;B58&amp;F58&amp;"?utm_source="&amp;D58&amp;"&amp;utm_medium="&amp;E58&amp;"&amp;utm_campaign="&amp;G58&amp;"&amp;utm_content="&amp;H58</f>
        <v>https://aiventure.ro/?utm_source=a2a_agent_card&amp;utm_medium=agent&amp;utm_campaign=2610_ff_lansare&amp;utm_content=general</v>
      </c>
    </row>
    <row r="59" customFormat="false" ht="15" hidden="false" customHeight="false" outlineLevel="0" collapsed="false">
      <c r="A59" s="10" t="s">
        <v>49</v>
      </c>
      <c r="B59" s="10" t="str">
        <f aca="false">INDEX('Site-uri'!$B$2:$B$20,MATCH(A59,'Site-uri'!$A$2:$A$20,0))</f>
        <v>aiventure.ro</v>
      </c>
      <c r="C59" s="10" t="s">
        <v>208</v>
      </c>
      <c r="D59" s="10" t="str">
        <f aca="false">INDEX(Canale!$C$2:$C$30,MATCH(C59,Canale!$A$2:$A$30,0))</f>
        <v>llms_txt</v>
      </c>
      <c r="E59" s="10" t="str">
        <f aca="false">INDEX(Canale!$D$2:$D$30,MATCH(C59,Canale!$A$2:$A$30,0))</f>
        <v>ai_web</v>
      </c>
      <c r="F59" s="10" t="str">
        <f aca="false">INDEX('Site-uri'!$C$2:$C$20,MATCH(A59,'Site-uri'!$A$2:$A$20,0))</f>
        <v>/</v>
      </c>
      <c r="G59" s="10" t="str">
        <f aca="false">Config!$B$3</f>
        <v>2610_ff_lansare</v>
      </c>
      <c r="H59" s="10" t="str">
        <f aca="false">Config!$B$4</f>
        <v>general</v>
      </c>
      <c r="I59" s="10" t="str">
        <f aca="false">"https://"&amp;B59&amp;F59&amp;"?utm_source="&amp;D59&amp;"&amp;utm_medium="&amp;E59&amp;"&amp;utm_campaign="&amp;G59&amp;"&amp;utm_content="&amp;H59</f>
        <v>https://aiventure.ro/?utm_source=llms_txt&amp;utm_medium=ai_web&amp;utm_campaign=2610_ff_lansare&amp;utm_content=general</v>
      </c>
    </row>
    <row r="60" customFormat="false" ht="15" hidden="false" customHeight="false" outlineLevel="0" collapsed="false">
      <c r="A60" s="10" t="s">
        <v>52</v>
      </c>
      <c r="B60" s="10" t="str">
        <f aca="false">INDEX('Site-uri'!$B$2:$B$20,MATCH(A60,'Site-uri'!$A$2:$A$20,0))</f>
        <v>aiventure.uk</v>
      </c>
      <c r="C60" s="10" t="s">
        <v>103</v>
      </c>
      <c r="D60" s="10" t="str">
        <f aca="false">INDEX(Canale!$C$2:$C$30,MATCH(C60,Canale!$A$2:$A$30,0))</f>
        <v>linkedin_personal</v>
      </c>
      <c r="E60" s="10" t="str">
        <f aca="false">INDEX(Canale!$D$2:$D$30,MATCH(C60,Canale!$A$2:$A$30,0))</f>
        <v>social</v>
      </c>
      <c r="F60" s="10" t="str">
        <f aca="false">INDEX('Site-uri'!$C$2:$C$20,MATCH(A60,'Site-uri'!$A$2:$A$20,0))</f>
        <v>/</v>
      </c>
      <c r="G60" s="10" t="str">
        <f aca="false">Config!$B$3</f>
        <v>2610_ff_lansare</v>
      </c>
      <c r="H60" s="10" t="str">
        <f aca="false">Config!$B$4</f>
        <v>general</v>
      </c>
      <c r="I60" s="10" t="str">
        <f aca="false">"https://"&amp;B60&amp;F60&amp;"?utm_source="&amp;D60&amp;"&amp;utm_medium="&amp;E60&amp;"&amp;utm_campaign="&amp;G60&amp;"&amp;utm_content="&amp;H60</f>
        <v>https://aiventure.uk/?utm_source=linkedin_personal&amp;utm_medium=social&amp;utm_campaign=2610_ff_lansare&amp;utm_content=general</v>
      </c>
    </row>
    <row r="61" customFormat="false" ht="15" hidden="false" customHeight="false" outlineLevel="0" collapsed="false">
      <c r="A61" s="10" t="s">
        <v>52</v>
      </c>
      <c r="B61" s="10" t="str">
        <f aca="false">INDEX('Site-uri'!$B$2:$B$20,MATCH(A61,'Site-uri'!$A$2:$A$20,0))</f>
        <v>aiventure.uk</v>
      </c>
      <c r="C61" s="10" t="s">
        <v>108</v>
      </c>
      <c r="D61" s="10" t="str">
        <f aca="false">INDEX(Canale!$C$2:$C$30,MATCH(C61,Canale!$A$2:$A$30,0))</f>
        <v>linkedin_company</v>
      </c>
      <c r="E61" s="10" t="str">
        <f aca="false">INDEX(Canale!$D$2:$D$30,MATCH(C61,Canale!$A$2:$A$30,0))</f>
        <v>social</v>
      </c>
      <c r="F61" s="10" t="str">
        <f aca="false">INDEX('Site-uri'!$C$2:$C$20,MATCH(A61,'Site-uri'!$A$2:$A$20,0))</f>
        <v>/</v>
      </c>
      <c r="G61" s="10" t="str">
        <f aca="false">Config!$B$3</f>
        <v>2610_ff_lansare</v>
      </c>
      <c r="H61" s="10" t="str">
        <f aca="false">Config!$B$4</f>
        <v>general</v>
      </c>
      <c r="I61" s="10" t="str">
        <f aca="false">"https://"&amp;B61&amp;F61&amp;"?utm_source="&amp;D61&amp;"&amp;utm_medium="&amp;E61&amp;"&amp;utm_campaign="&amp;G61&amp;"&amp;utm_content="&amp;H61</f>
        <v>https://aiventure.uk/?utm_source=linkedin_company&amp;utm_medium=social&amp;utm_campaign=2610_ff_lansare&amp;utm_content=general</v>
      </c>
    </row>
    <row r="62" customFormat="false" ht="15" hidden="false" customHeight="false" outlineLevel="0" collapsed="false">
      <c r="A62" s="10" t="s">
        <v>52</v>
      </c>
      <c r="B62" s="10" t="str">
        <f aca="false">INDEX('Site-uri'!$B$2:$B$20,MATCH(A62,'Site-uri'!$A$2:$A$20,0))</f>
        <v>aiventure.uk</v>
      </c>
      <c r="C62" s="10" t="s">
        <v>111</v>
      </c>
      <c r="D62" s="10" t="str">
        <f aca="false">INDEX(Canale!$C$2:$C$30,MATCH(C62,Canale!$A$2:$A$30,0))</f>
        <v>linkedin_showcase</v>
      </c>
      <c r="E62" s="10" t="str">
        <f aca="false">INDEX(Canale!$D$2:$D$30,MATCH(C62,Canale!$A$2:$A$30,0))</f>
        <v>social</v>
      </c>
      <c r="F62" s="10" t="str">
        <f aca="false">INDEX('Site-uri'!$C$2:$C$20,MATCH(A62,'Site-uri'!$A$2:$A$20,0))</f>
        <v>/</v>
      </c>
      <c r="G62" s="10" t="str">
        <f aca="false">Config!$B$3</f>
        <v>2610_ff_lansare</v>
      </c>
      <c r="H62" s="10" t="str">
        <f aca="false">Config!$B$4</f>
        <v>general</v>
      </c>
      <c r="I62" s="10" t="str">
        <f aca="false">"https://"&amp;B62&amp;F62&amp;"?utm_source="&amp;D62&amp;"&amp;utm_medium="&amp;E62&amp;"&amp;utm_campaign="&amp;G62&amp;"&amp;utm_content="&amp;H62</f>
        <v>https://aiventure.uk/?utm_source=linkedin_showcase&amp;utm_medium=social&amp;utm_campaign=2610_ff_lansare&amp;utm_content=general</v>
      </c>
    </row>
    <row r="63" customFormat="false" ht="15" hidden="false" customHeight="false" outlineLevel="0" collapsed="false">
      <c r="A63" s="10" t="s">
        <v>52</v>
      </c>
      <c r="B63" s="10" t="str">
        <f aca="false">INDEX('Site-uri'!$B$2:$B$20,MATCH(A63,'Site-uri'!$A$2:$A$20,0))</f>
        <v>aiventure.uk</v>
      </c>
      <c r="C63" s="10" t="s">
        <v>114</v>
      </c>
      <c r="D63" s="10" t="str">
        <f aca="false">INDEX(Canale!$C$2:$C$30,MATCH(C63,Canale!$A$2:$A$30,0))</f>
        <v>linkedin_newsletter</v>
      </c>
      <c r="E63" s="10" t="str">
        <f aca="false">INDEX(Canale!$D$2:$D$30,MATCH(C63,Canale!$A$2:$A$30,0))</f>
        <v>social</v>
      </c>
      <c r="F63" s="10" t="str">
        <f aca="false">INDEX('Site-uri'!$C$2:$C$20,MATCH(A63,'Site-uri'!$A$2:$A$20,0))</f>
        <v>/</v>
      </c>
      <c r="G63" s="10" t="str">
        <f aca="false">Config!$B$3</f>
        <v>2610_ff_lansare</v>
      </c>
      <c r="H63" s="10" t="str">
        <f aca="false">Config!$B$4</f>
        <v>general</v>
      </c>
      <c r="I63" s="10" t="str">
        <f aca="false">"https://"&amp;B63&amp;F63&amp;"?utm_source="&amp;D63&amp;"&amp;utm_medium="&amp;E63&amp;"&amp;utm_campaign="&amp;G63&amp;"&amp;utm_content="&amp;H63</f>
        <v>https://aiventure.uk/?utm_source=linkedin_newsletter&amp;utm_medium=social&amp;utm_campaign=2610_ff_lansare&amp;utm_content=general</v>
      </c>
    </row>
    <row r="64" customFormat="false" ht="15" hidden="false" customHeight="false" outlineLevel="0" collapsed="false">
      <c r="A64" s="10" t="s">
        <v>52</v>
      </c>
      <c r="B64" s="10" t="str">
        <f aca="false">INDEX('Site-uri'!$B$2:$B$20,MATCH(A64,'Site-uri'!$A$2:$A$20,0))</f>
        <v>aiventure.uk</v>
      </c>
      <c r="C64" s="10" t="s">
        <v>117</v>
      </c>
      <c r="D64" s="10" t="str">
        <f aca="false">INDEX(Canale!$C$2:$C$30,MATCH(C64,Canale!$A$2:$A$30,0))</f>
        <v>linkedin_ads</v>
      </c>
      <c r="E64" s="10" t="str">
        <f aca="false">INDEX(Canale!$D$2:$D$30,MATCH(C64,Canale!$A$2:$A$30,0))</f>
        <v>paid_social</v>
      </c>
      <c r="F64" s="10" t="str">
        <f aca="false">INDEX('Site-uri'!$C$2:$C$20,MATCH(A64,'Site-uri'!$A$2:$A$20,0))</f>
        <v>/</v>
      </c>
      <c r="G64" s="10" t="str">
        <f aca="false">Config!$B$3</f>
        <v>2610_ff_lansare</v>
      </c>
      <c r="H64" s="10" t="str">
        <f aca="false">Config!$B$4</f>
        <v>general</v>
      </c>
      <c r="I64" s="10" t="str">
        <f aca="false">"https://"&amp;B64&amp;F64&amp;"?utm_source="&amp;D64&amp;"&amp;utm_medium="&amp;E64&amp;"&amp;utm_campaign="&amp;G64&amp;"&amp;utm_content="&amp;H64</f>
        <v>https://aiventure.uk/?utm_source=linkedin_ads&amp;utm_medium=paid_social&amp;utm_campaign=2610_ff_lansare&amp;utm_content=general</v>
      </c>
    </row>
    <row r="65" customFormat="false" ht="15" hidden="false" customHeight="false" outlineLevel="0" collapsed="false">
      <c r="A65" s="10" t="s">
        <v>52</v>
      </c>
      <c r="B65" s="10" t="str">
        <f aca="false">INDEX('Site-uri'!$B$2:$B$20,MATCH(A65,'Site-uri'!$A$2:$A$20,0))</f>
        <v>aiventure.uk</v>
      </c>
      <c r="C65" s="10" t="s">
        <v>121</v>
      </c>
      <c r="D65" s="10" t="str">
        <f aca="false">INDEX(Canale!$C$2:$C$30,MATCH(C65,Canale!$A$2:$A$30,0))</f>
        <v>linkedin_dm</v>
      </c>
      <c r="E65" s="10" t="str">
        <f aca="false">INDEX(Canale!$D$2:$D$30,MATCH(C65,Canale!$A$2:$A$30,0))</f>
        <v>dm</v>
      </c>
      <c r="F65" s="10" t="str">
        <f aca="false">INDEX('Site-uri'!$C$2:$C$20,MATCH(A65,'Site-uri'!$A$2:$A$20,0))</f>
        <v>/</v>
      </c>
      <c r="G65" s="10" t="str">
        <f aca="false">Config!$B$3</f>
        <v>2610_ff_lansare</v>
      </c>
      <c r="H65" s="10" t="str">
        <f aca="false">Config!$B$4</f>
        <v>general</v>
      </c>
      <c r="I65" s="10" t="str">
        <f aca="false">"https://"&amp;B65&amp;F65&amp;"?utm_source="&amp;D65&amp;"&amp;utm_medium="&amp;E65&amp;"&amp;utm_campaign="&amp;G65&amp;"&amp;utm_content="&amp;H65</f>
        <v>https://aiventure.uk/?utm_source=linkedin_dm&amp;utm_medium=dm&amp;utm_campaign=2610_ff_lansare&amp;utm_content=general</v>
      </c>
    </row>
    <row r="66" customFormat="false" ht="15" hidden="false" customHeight="false" outlineLevel="0" collapsed="false">
      <c r="A66" s="10" t="s">
        <v>52</v>
      </c>
      <c r="B66" s="10" t="str">
        <f aca="false">INDEX('Site-uri'!$B$2:$B$20,MATCH(A66,'Site-uri'!$A$2:$A$20,0))</f>
        <v>aiventure.uk</v>
      </c>
      <c r="C66" s="10" t="s">
        <v>125</v>
      </c>
      <c r="D66" s="10" t="str">
        <f aca="false">INDEX(Canale!$C$2:$C$30,MATCH(C66,Canale!$A$2:$A$30,0))</f>
        <v>email_outreach</v>
      </c>
      <c r="E66" s="10" t="str">
        <f aca="false">INDEX(Canale!$D$2:$D$30,MATCH(C66,Canale!$A$2:$A$30,0))</f>
        <v>email</v>
      </c>
      <c r="F66" s="10" t="str">
        <f aca="false">INDEX('Site-uri'!$C$2:$C$20,MATCH(A66,'Site-uri'!$A$2:$A$20,0))</f>
        <v>/</v>
      </c>
      <c r="G66" s="10" t="str">
        <f aca="false">Config!$B$3</f>
        <v>2610_ff_lansare</v>
      </c>
      <c r="H66" s="10" t="str">
        <f aca="false">Config!$B$4</f>
        <v>general</v>
      </c>
      <c r="I66" s="10" t="str">
        <f aca="false">"https://"&amp;B66&amp;F66&amp;"?utm_source="&amp;D66&amp;"&amp;utm_medium="&amp;E66&amp;"&amp;utm_campaign="&amp;G66&amp;"&amp;utm_content="&amp;H66</f>
        <v>https://aiventure.uk/?utm_source=email_outreach&amp;utm_medium=email&amp;utm_campaign=2610_ff_lansare&amp;utm_content=general</v>
      </c>
    </row>
    <row r="67" customFormat="false" ht="15" hidden="false" customHeight="false" outlineLevel="0" collapsed="false">
      <c r="A67" s="10" t="s">
        <v>52</v>
      </c>
      <c r="B67" s="10" t="str">
        <f aca="false">INDEX('Site-uri'!$B$2:$B$20,MATCH(A67,'Site-uri'!$A$2:$A$20,0))</f>
        <v>aiventure.uk</v>
      </c>
      <c r="C67" s="10" t="s">
        <v>130</v>
      </c>
      <c r="D67" s="10" t="str">
        <f aca="false">INDEX(Canale!$C$2:$C$30,MATCH(C67,Canale!$A$2:$A$30,0))</f>
        <v>newsletter</v>
      </c>
      <c r="E67" s="10" t="str">
        <f aca="false">INDEX(Canale!$D$2:$D$30,MATCH(C67,Canale!$A$2:$A$30,0))</f>
        <v>email</v>
      </c>
      <c r="F67" s="10" t="str">
        <f aca="false">INDEX('Site-uri'!$C$2:$C$20,MATCH(A67,'Site-uri'!$A$2:$A$20,0))</f>
        <v>/</v>
      </c>
      <c r="G67" s="10" t="str">
        <f aca="false">Config!$B$3</f>
        <v>2610_ff_lansare</v>
      </c>
      <c r="H67" s="10" t="str">
        <f aca="false">Config!$B$4</f>
        <v>general</v>
      </c>
      <c r="I67" s="10" t="str">
        <f aca="false">"https://"&amp;B67&amp;F67&amp;"?utm_source="&amp;D67&amp;"&amp;utm_medium="&amp;E67&amp;"&amp;utm_campaign="&amp;G67&amp;"&amp;utm_content="&amp;H67</f>
        <v>https://aiventure.uk/?utm_source=newsletter&amp;utm_medium=email&amp;utm_campaign=2610_ff_lansare&amp;utm_content=general</v>
      </c>
    </row>
    <row r="68" customFormat="false" ht="15" hidden="false" customHeight="false" outlineLevel="0" collapsed="false">
      <c r="A68" s="10" t="s">
        <v>52</v>
      </c>
      <c r="B68" s="10" t="str">
        <f aca="false">INDEX('Site-uri'!$B$2:$B$20,MATCH(A68,'Site-uri'!$A$2:$A$20,0))</f>
        <v>aiventure.uk</v>
      </c>
      <c r="C68" s="10" t="s">
        <v>133</v>
      </c>
      <c r="D68" s="10" t="str">
        <f aca="false">INDEX(Canale!$C$2:$C$30,MATCH(C68,Canale!$A$2:$A$30,0))</f>
        <v>email_signature</v>
      </c>
      <c r="E68" s="10" t="str">
        <f aca="false">INDEX(Canale!$D$2:$D$30,MATCH(C68,Canale!$A$2:$A$30,0))</f>
        <v>email</v>
      </c>
      <c r="F68" s="10" t="str">
        <f aca="false">INDEX('Site-uri'!$C$2:$C$20,MATCH(A68,'Site-uri'!$A$2:$A$20,0))</f>
        <v>/</v>
      </c>
      <c r="G68" s="10" t="str">
        <f aca="false">Config!$B$3</f>
        <v>2610_ff_lansare</v>
      </c>
      <c r="H68" s="10" t="str">
        <f aca="false">Config!$B$4</f>
        <v>general</v>
      </c>
      <c r="I68" s="10" t="str">
        <f aca="false">"https://"&amp;B68&amp;F68&amp;"?utm_source="&amp;D68&amp;"&amp;utm_medium="&amp;E68&amp;"&amp;utm_campaign="&amp;G68&amp;"&amp;utm_content="&amp;H68</f>
        <v>https://aiventure.uk/?utm_source=email_signature&amp;utm_medium=email&amp;utm_campaign=2610_ff_lansare&amp;utm_content=general</v>
      </c>
    </row>
    <row r="69" customFormat="false" ht="15" hidden="false" customHeight="false" outlineLevel="0" collapsed="false">
      <c r="A69" s="10" t="s">
        <v>52</v>
      </c>
      <c r="B69" s="10" t="str">
        <f aca="false">INDEX('Site-uri'!$B$2:$B$20,MATCH(A69,'Site-uri'!$A$2:$A$20,0))</f>
        <v>aiventure.uk</v>
      </c>
      <c r="C69" s="10" t="s">
        <v>136</v>
      </c>
      <c r="D69" s="10" t="str">
        <f aca="false">INDEX(Canale!$C$2:$C$30,MATCH(C69,Canale!$A$2:$A$30,0))</f>
        <v>whatsapp</v>
      </c>
      <c r="E69" s="10" t="str">
        <f aca="false">INDEX(Canale!$D$2:$D$30,MATCH(C69,Canale!$A$2:$A$30,0))</f>
        <v>dm</v>
      </c>
      <c r="F69" s="10" t="str">
        <f aca="false">INDEX('Site-uri'!$C$2:$C$20,MATCH(A69,'Site-uri'!$A$2:$A$20,0))</f>
        <v>/</v>
      </c>
      <c r="G69" s="10" t="str">
        <f aca="false">Config!$B$3</f>
        <v>2610_ff_lansare</v>
      </c>
      <c r="H69" s="10" t="str">
        <f aca="false">Config!$B$4</f>
        <v>general</v>
      </c>
      <c r="I69" s="10" t="str">
        <f aca="false">"https://"&amp;B69&amp;F69&amp;"?utm_source="&amp;D69&amp;"&amp;utm_medium="&amp;E69&amp;"&amp;utm_campaign="&amp;G69&amp;"&amp;utm_content="&amp;H69</f>
        <v>https://aiventure.uk/?utm_source=whatsapp&amp;utm_medium=dm&amp;utm_campaign=2610_ff_lansare&amp;utm_content=general</v>
      </c>
    </row>
    <row r="70" customFormat="false" ht="15" hidden="false" customHeight="false" outlineLevel="0" collapsed="false">
      <c r="A70" s="10" t="s">
        <v>52</v>
      </c>
      <c r="B70" s="10" t="str">
        <f aca="false">INDEX('Site-uri'!$B$2:$B$20,MATCH(A70,'Site-uri'!$A$2:$A$20,0))</f>
        <v>aiventure.uk</v>
      </c>
      <c r="C70" s="10" t="s">
        <v>140</v>
      </c>
      <c r="D70" s="10" t="str">
        <f aca="false">INDEX(Canale!$C$2:$C$30,MATCH(C70,Canale!$A$2:$A$30,0))</f>
        <v>google</v>
      </c>
      <c r="E70" s="10" t="str">
        <f aca="false">INDEX(Canale!$D$2:$D$30,MATCH(C70,Canale!$A$2:$A$30,0))</f>
        <v>cpc</v>
      </c>
      <c r="F70" s="10" t="str">
        <f aca="false">INDEX('Site-uri'!$C$2:$C$20,MATCH(A70,'Site-uri'!$A$2:$A$20,0))</f>
        <v>/</v>
      </c>
      <c r="G70" s="10" t="str">
        <f aca="false">Config!$B$3</f>
        <v>2610_ff_lansare</v>
      </c>
      <c r="H70" s="10" t="str">
        <f aca="false">Config!$B$4</f>
        <v>general</v>
      </c>
      <c r="I70" s="10" t="str">
        <f aca="false">"https://"&amp;B70&amp;F70&amp;"?utm_source="&amp;D70&amp;"&amp;utm_medium="&amp;E70&amp;"&amp;utm_campaign="&amp;G70&amp;"&amp;utm_content="&amp;H70</f>
        <v>https://aiventure.uk/?utm_source=google&amp;utm_medium=cpc&amp;utm_campaign=2610_ff_lansare&amp;utm_content=general</v>
      </c>
    </row>
    <row r="71" customFormat="false" ht="15" hidden="false" customHeight="false" outlineLevel="0" collapsed="false">
      <c r="A71" s="10" t="s">
        <v>52</v>
      </c>
      <c r="B71" s="10" t="str">
        <f aca="false">INDEX('Site-uri'!$B$2:$B$20,MATCH(A71,'Site-uri'!$A$2:$A$20,0))</f>
        <v>aiventure.uk</v>
      </c>
      <c r="C71" s="10" t="s">
        <v>145</v>
      </c>
      <c r="D71" s="10" t="str">
        <f aca="false">INDEX(Canale!$C$2:$C$30,MATCH(C71,Canale!$A$2:$A$30,0))</f>
        <v>bing</v>
      </c>
      <c r="E71" s="10" t="str">
        <f aca="false">INDEX(Canale!$D$2:$D$30,MATCH(C71,Canale!$A$2:$A$30,0))</f>
        <v>cpc</v>
      </c>
      <c r="F71" s="10" t="str">
        <f aca="false">INDEX('Site-uri'!$C$2:$C$20,MATCH(A71,'Site-uri'!$A$2:$A$20,0))</f>
        <v>/</v>
      </c>
      <c r="G71" s="10" t="str">
        <f aca="false">Config!$B$3</f>
        <v>2610_ff_lansare</v>
      </c>
      <c r="H71" s="10" t="str">
        <f aca="false">Config!$B$4</f>
        <v>general</v>
      </c>
      <c r="I71" s="10" t="str">
        <f aca="false">"https://"&amp;B71&amp;F71&amp;"?utm_source="&amp;D71&amp;"&amp;utm_medium="&amp;E71&amp;"&amp;utm_campaign="&amp;G71&amp;"&amp;utm_content="&amp;H71</f>
        <v>https://aiventure.uk/?utm_source=bing&amp;utm_medium=cpc&amp;utm_campaign=2610_ff_lansare&amp;utm_content=general</v>
      </c>
    </row>
    <row r="72" customFormat="false" ht="15" hidden="false" customHeight="false" outlineLevel="0" collapsed="false">
      <c r="A72" s="10" t="s">
        <v>52</v>
      </c>
      <c r="B72" s="10" t="str">
        <f aca="false">INDEX('Site-uri'!$B$2:$B$20,MATCH(A72,'Site-uri'!$A$2:$A$20,0))</f>
        <v>aiventure.uk</v>
      </c>
      <c r="C72" s="10" t="s">
        <v>148</v>
      </c>
      <c r="D72" s="10" t="str">
        <f aca="false">INDEX(Canale!$C$2:$C$30,MATCH(C72,Canale!$A$2:$A$30,0))</f>
        <v>facebook</v>
      </c>
      <c r="E72" s="10" t="str">
        <f aca="false">INDEX(Canale!$D$2:$D$30,MATCH(C72,Canale!$A$2:$A$30,0))</f>
        <v>social</v>
      </c>
      <c r="F72" s="10" t="str">
        <f aca="false">INDEX('Site-uri'!$C$2:$C$20,MATCH(A72,'Site-uri'!$A$2:$A$20,0))</f>
        <v>/</v>
      </c>
      <c r="G72" s="10" t="str">
        <f aca="false">Config!$B$3</f>
        <v>2610_ff_lansare</v>
      </c>
      <c r="H72" s="10" t="str">
        <f aca="false">Config!$B$4</f>
        <v>general</v>
      </c>
      <c r="I72" s="10" t="str">
        <f aca="false">"https://"&amp;B72&amp;F72&amp;"?utm_source="&amp;D72&amp;"&amp;utm_medium="&amp;E72&amp;"&amp;utm_campaign="&amp;G72&amp;"&amp;utm_content="&amp;H72</f>
        <v>https://aiventure.uk/?utm_source=facebook&amp;utm_medium=social&amp;utm_campaign=2610_ff_lansare&amp;utm_content=general</v>
      </c>
    </row>
    <row r="73" customFormat="false" ht="15" hidden="false" customHeight="false" outlineLevel="0" collapsed="false">
      <c r="A73" s="10" t="s">
        <v>52</v>
      </c>
      <c r="B73" s="10" t="str">
        <f aca="false">INDEX('Site-uri'!$B$2:$B$20,MATCH(A73,'Site-uri'!$A$2:$A$20,0))</f>
        <v>aiventure.uk</v>
      </c>
      <c r="C73" s="10" t="s">
        <v>152</v>
      </c>
      <c r="D73" s="10" t="str">
        <f aca="false">INDEX(Canale!$C$2:$C$30,MATCH(C73,Canale!$A$2:$A$30,0))</f>
        <v>x</v>
      </c>
      <c r="E73" s="10" t="str">
        <f aca="false">INDEX(Canale!$D$2:$D$30,MATCH(C73,Canale!$A$2:$A$30,0))</f>
        <v>social</v>
      </c>
      <c r="F73" s="10" t="str">
        <f aca="false">INDEX('Site-uri'!$C$2:$C$20,MATCH(A73,'Site-uri'!$A$2:$A$20,0))</f>
        <v>/</v>
      </c>
      <c r="G73" s="10" t="str">
        <f aca="false">Config!$B$3</f>
        <v>2610_ff_lansare</v>
      </c>
      <c r="H73" s="10" t="str">
        <f aca="false">Config!$B$4</f>
        <v>general</v>
      </c>
      <c r="I73" s="10" t="str">
        <f aca="false">"https://"&amp;B73&amp;F73&amp;"?utm_source="&amp;D73&amp;"&amp;utm_medium="&amp;E73&amp;"&amp;utm_campaign="&amp;G73&amp;"&amp;utm_content="&amp;H73</f>
        <v>https://aiventure.uk/?utm_source=x&amp;utm_medium=social&amp;utm_campaign=2610_ff_lansare&amp;utm_content=general</v>
      </c>
    </row>
    <row r="74" customFormat="false" ht="15" hidden="false" customHeight="false" outlineLevel="0" collapsed="false">
      <c r="A74" s="10" t="s">
        <v>52</v>
      </c>
      <c r="B74" s="10" t="str">
        <f aca="false">INDEX('Site-uri'!$B$2:$B$20,MATCH(A74,'Site-uri'!$A$2:$A$20,0))</f>
        <v>aiventure.uk</v>
      </c>
      <c r="C74" s="10" t="s">
        <v>154</v>
      </c>
      <c r="D74" s="10" t="str">
        <f aca="false">INDEX(Canale!$C$2:$C$30,MATCH(C74,Canale!$A$2:$A$30,0))</f>
        <v>youtube</v>
      </c>
      <c r="E74" s="10" t="str">
        <f aca="false">INDEX(Canale!$D$2:$D$30,MATCH(C74,Canale!$A$2:$A$30,0))</f>
        <v>video</v>
      </c>
      <c r="F74" s="10" t="str">
        <f aca="false">INDEX('Site-uri'!$C$2:$C$20,MATCH(A74,'Site-uri'!$A$2:$A$20,0))</f>
        <v>/</v>
      </c>
      <c r="G74" s="10" t="str">
        <f aca="false">Config!$B$3</f>
        <v>2610_ff_lansare</v>
      </c>
      <c r="H74" s="10" t="str">
        <f aca="false">Config!$B$4</f>
        <v>general</v>
      </c>
      <c r="I74" s="10" t="str">
        <f aca="false">"https://"&amp;B74&amp;F74&amp;"?utm_source="&amp;D74&amp;"&amp;utm_medium="&amp;E74&amp;"&amp;utm_campaign="&amp;G74&amp;"&amp;utm_content="&amp;H74</f>
        <v>https://aiventure.uk/?utm_source=youtube&amp;utm_medium=video&amp;utm_campaign=2610_ff_lansare&amp;utm_content=general</v>
      </c>
    </row>
    <row r="75" customFormat="false" ht="15" hidden="false" customHeight="false" outlineLevel="0" collapsed="false">
      <c r="A75" s="10" t="s">
        <v>52</v>
      </c>
      <c r="B75" s="10" t="str">
        <f aca="false">INDEX('Site-uri'!$B$2:$B$20,MATCH(A75,'Site-uri'!$A$2:$A$20,0))</f>
        <v>aiventure.uk</v>
      </c>
      <c r="C75" s="10" t="s">
        <v>159</v>
      </c>
      <c r="D75" s="10" t="str">
        <f aca="false">INDEX(Canale!$C$2:$C$30,MATCH(C75,Canale!$A$2:$A$30,0))</f>
        <v>medium</v>
      </c>
      <c r="E75" s="10" t="str">
        <f aca="false">INDEX(Canale!$D$2:$D$30,MATCH(C75,Canale!$A$2:$A$30,0))</f>
        <v>content</v>
      </c>
      <c r="F75" s="10" t="str">
        <f aca="false">INDEX('Site-uri'!$C$2:$C$20,MATCH(A75,'Site-uri'!$A$2:$A$20,0))</f>
        <v>/</v>
      </c>
      <c r="G75" s="10" t="str">
        <f aca="false">Config!$B$3</f>
        <v>2610_ff_lansare</v>
      </c>
      <c r="H75" s="10" t="str">
        <f aca="false">Config!$B$4</f>
        <v>general</v>
      </c>
      <c r="I75" s="10" t="str">
        <f aca="false">"https://"&amp;B75&amp;F75&amp;"?utm_source="&amp;D75&amp;"&amp;utm_medium="&amp;E75&amp;"&amp;utm_campaign="&amp;G75&amp;"&amp;utm_content="&amp;H75</f>
        <v>https://aiventure.uk/?utm_source=medium&amp;utm_medium=content&amp;utm_campaign=2610_ff_lansare&amp;utm_content=general</v>
      </c>
    </row>
    <row r="76" customFormat="false" ht="15" hidden="false" customHeight="false" outlineLevel="0" collapsed="false">
      <c r="A76" s="10" t="s">
        <v>52</v>
      </c>
      <c r="B76" s="10" t="str">
        <f aca="false">INDEX('Site-uri'!$B$2:$B$20,MATCH(A76,'Site-uri'!$A$2:$A$20,0))</f>
        <v>aiventure.uk</v>
      </c>
      <c r="C76" s="10" t="s">
        <v>164</v>
      </c>
      <c r="D76" s="10" t="str">
        <f aca="false">INDEX(Canale!$C$2:$C$30,MATCH(C76,Canale!$A$2:$A$30,0))</f>
        <v>crunchbase</v>
      </c>
      <c r="E76" s="10" t="str">
        <f aca="false">INDEX(Canale!$D$2:$D$30,MATCH(C76,Canale!$A$2:$A$30,0))</f>
        <v>referral</v>
      </c>
      <c r="F76" s="10" t="str">
        <f aca="false">INDEX('Site-uri'!$C$2:$C$20,MATCH(A76,'Site-uri'!$A$2:$A$20,0))</f>
        <v>/</v>
      </c>
      <c r="G76" s="10" t="str">
        <f aca="false">Config!$B$3</f>
        <v>2610_ff_lansare</v>
      </c>
      <c r="H76" s="10" t="str">
        <f aca="false">Config!$B$4</f>
        <v>general</v>
      </c>
      <c r="I76" s="10" t="str">
        <f aca="false">"https://"&amp;B76&amp;F76&amp;"?utm_source="&amp;D76&amp;"&amp;utm_medium="&amp;E76&amp;"&amp;utm_campaign="&amp;G76&amp;"&amp;utm_content="&amp;H76</f>
        <v>https://aiventure.uk/?utm_source=crunchbase&amp;utm_medium=referral&amp;utm_campaign=2610_ff_lansare&amp;utm_content=general</v>
      </c>
    </row>
    <row r="77" customFormat="false" ht="15" hidden="false" customHeight="false" outlineLevel="0" collapsed="false">
      <c r="A77" s="10" t="s">
        <v>52</v>
      </c>
      <c r="B77" s="10" t="str">
        <f aca="false">INDEX('Site-uri'!$B$2:$B$20,MATCH(A77,'Site-uri'!$A$2:$A$20,0))</f>
        <v>aiventure.uk</v>
      </c>
      <c r="C77" s="10" t="s">
        <v>169</v>
      </c>
      <c r="D77" s="10" t="str">
        <f aca="false">INDEX(Canale!$C$2:$C$30,MATCH(C77,Canale!$A$2:$A$30,0))</f>
        <v>zenodo</v>
      </c>
      <c r="E77" s="10" t="str">
        <f aca="false">INDEX(Canale!$D$2:$D$30,MATCH(C77,Canale!$A$2:$A$30,0))</f>
        <v>referral</v>
      </c>
      <c r="F77" s="10" t="str">
        <f aca="false">INDEX('Site-uri'!$C$2:$C$20,MATCH(A77,'Site-uri'!$A$2:$A$20,0))</f>
        <v>/</v>
      </c>
      <c r="G77" s="10" t="str">
        <f aca="false">Config!$B$3</f>
        <v>2610_ff_lansare</v>
      </c>
      <c r="H77" s="10" t="str">
        <f aca="false">Config!$B$4</f>
        <v>general</v>
      </c>
      <c r="I77" s="10" t="str">
        <f aca="false">"https://"&amp;B77&amp;F77&amp;"?utm_source="&amp;D77&amp;"&amp;utm_medium="&amp;E77&amp;"&amp;utm_campaign="&amp;G77&amp;"&amp;utm_content="&amp;H77</f>
        <v>https://aiventure.uk/?utm_source=zenodo&amp;utm_medium=referral&amp;utm_campaign=2610_ff_lansare&amp;utm_content=general</v>
      </c>
    </row>
    <row r="78" customFormat="false" ht="15" hidden="false" customHeight="false" outlineLevel="0" collapsed="false">
      <c r="A78" s="10" t="s">
        <v>52</v>
      </c>
      <c r="B78" s="10" t="str">
        <f aca="false">INDEX('Site-uri'!$B$2:$B$20,MATCH(A78,'Site-uri'!$A$2:$A$20,0))</f>
        <v>aiventure.uk</v>
      </c>
      <c r="C78" s="10" t="s">
        <v>172</v>
      </c>
      <c r="D78" s="10" t="str">
        <f aca="false">INDEX(Canale!$C$2:$C$30,MATCH(C78,Canale!$A$2:$A$30,0))</f>
        <v>orcid</v>
      </c>
      <c r="E78" s="10" t="str">
        <f aca="false">INDEX(Canale!$D$2:$D$30,MATCH(C78,Canale!$A$2:$A$30,0))</f>
        <v>referral</v>
      </c>
      <c r="F78" s="10" t="str">
        <f aca="false">INDEX('Site-uri'!$C$2:$C$20,MATCH(A78,'Site-uri'!$A$2:$A$20,0))</f>
        <v>/</v>
      </c>
      <c r="G78" s="10" t="str">
        <f aca="false">Config!$B$3</f>
        <v>2610_ff_lansare</v>
      </c>
      <c r="H78" s="10" t="str">
        <f aca="false">Config!$B$4</f>
        <v>general</v>
      </c>
      <c r="I78" s="10" t="str">
        <f aca="false">"https://"&amp;B78&amp;F78&amp;"?utm_source="&amp;D78&amp;"&amp;utm_medium="&amp;E78&amp;"&amp;utm_campaign="&amp;G78&amp;"&amp;utm_content="&amp;H78</f>
        <v>https://aiventure.uk/?utm_source=orcid&amp;utm_medium=referral&amp;utm_campaign=2610_ff_lansare&amp;utm_content=general</v>
      </c>
    </row>
    <row r="79" customFormat="false" ht="15" hidden="false" customHeight="false" outlineLevel="0" collapsed="false">
      <c r="A79" s="10" t="s">
        <v>52</v>
      </c>
      <c r="B79" s="10" t="str">
        <f aca="false">INDEX('Site-uri'!$B$2:$B$20,MATCH(A79,'Site-uri'!$A$2:$A$20,0))</f>
        <v>aiventure.uk</v>
      </c>
      <c r="C79" s="10" t="s">
        <v>175</v>
      </c>
      <c r="D79" s="10" t="str">
        <f aca="false">INDEX(Canale!$C$2:$C$30,MATCH(C79,Canale!$A$2:$A$30,0))</f>
        <v>github</v>
      </c>
      <c r="E79" s="10" t="str">
        <f aca="false">INDEX(Canale!$D$2:$D$30,MATCH(C79,Canale!$A$2:$A$30,0))</f>
        <v>referral</v>
      </c>
      <c r="F79" s="10" t="str">
        <f aca="false">INDEX('Site-uri'!$C$2:$C$20,MATCH(A79,'Site-uri'!$A$2:$A$20,0))</f>
        <v>/</v>
      </c>
      <c r="G79" s="10" t="str">
        <f aca="false">Config!$B$3</f>
        <v>2610_ff_lansare</v>
      </c>
      <c r="H79" s="10" t="str">
        <f aca="false">Config!$B$4</f>
        <v>general</v>
      </c>
      <c r="I79" s="10" t="str">
        <f aca="false">"https://"&amp;B79&amp;F79&amp;"?utm_source="&amp;D79&amp;"&amp;utm_medium="&amp;E79&amp;"&amp;utm_campaign="&amp;G79&amp;"&amp;utm_content="&amp;H79</f>
        <v>https://aiventure.uk/?utm_source=github&amp;utm_medium=referral&amp;utm_campaign=2610_ff_lansare&amp;utm_content=general</v>
      </c>
    </row>
    <row r="80" customFormat="false" ht="15" hidden="false" customHeight="false" outlineLevel="0" collapsed="false">
      <c r="A80" s="10" t="s">
        <v>52</v>
      </c>
      <c r="B80" s="10" t="str">
        <f aca="false">INDEX('Site-uri'!$B$2:$B$20,MATCH(A80,'Site-uri'!$A$2:$A$20,0))</f>
        <v>aiventure.uk</v>
      </c>
      <c r="C80" s="10" t="s">
        <v>178</v>
      </c>
      <c r="D80" s="10" t="str">
        <f aca="false">INDEX(Canale!$C$2:$C$30,MATCH(C80,Canale!$A$2:$A$30,0))</f>
        <v>kdp_book</v>
      </c>
      <c r="E80" s="10" t="str">
        <f aca="false">INDEX(Canale!$D$2:$D$30,MATCH(C80,Canale!$A$2:$A$30,0))</f>
        <v>book</v>
      </c>
      <c r="F80" s="10" t="str">
        <f aca="false">INDEX('Site-uri'!$C$2:$C$20,MATCH(A80,'Site-uri'!$A$2:$A$20,0))</f>
        <v>/</v>
      </c>
      <c r="G80" s="10" t="str">
        <f aca="false">Config!$B$3</f>
        <v>2610_ff_lansare</v>
      </c>
      <c r="H80" s="10" t="str">
        <f aca="false">Config!$B$4</f>
        <v>general</v>
      </c>
      <c r="I80" s="10" t="str">
        <f aca="false">"https://"&amp;B80&amp;F80&amp;"?utm_source="&amp;D80&amp;"&amp;utm_medium="&amp;E80&amp;"&amp;utm_campaign="&amp;G80&amp;"&amp;utm_content="&amp;H80</f>
        <v>https://aiventure.uk/?utm_source=kdp_book&amp;utm_medium=book&amp;utm_campaign=2610_ff_lansare&amp;utm_content=general</v>
      </c>
    </row>
    <row r="81" customFormat="false" ht="15" hidden="false" customHeight="false" outlineLevel="0" collapsed="false">
      <c r="A81" s="10" t="s">
        <v>52</v>
      </c>
      <c r="B81" s="10" t="str">
        <f aca="false">INDEX('Site-uri'!$B$2:$B$20,MATCH(A81,'Site-uri'!$A$2:$A$20,0))</f>
        <v>aiventure.uk</v>
      </c>
      <c r="C81" s="10" t="s">
        <v>183</v>
      </c>
      <c r="D81" s="10" t="str">
        <f aca="false">INDEX(Canale!$C$2:$C$30,MATCH(C81,Canale!$A$2:$A$30,0))</f>
        <v>udemy</v>
      </c>
      <c r="E81" s="10" t="str">
        <f aca="false">INDEX(Canale!$D$2:$D$30,MATCH(C81,Canale!$A$2:$A$30,0))</f>
        <v>course</v>
      </c>
      <c r="F81" s="10" t="str">
        <f aca="false">INDEX('Site-uri'!$C$2:$C$20,MATCH(A81,'Site-uri'!$A$2:$A$20,0))</f>
        <v>/</v>
      </c>
      <c r="G81" s="10" t="str">
        <f aca="false">Config!$B$3</f>
        <v>2610_ff_lansare</v>
      </c>
      <c r="H81" s="10" t="str">
        <f aca="false">Config!$B$4</f>
        <v>general</v>
      </c>
      <c r="I81" s="10" t="str">
        <f aca="false">"https://"&amp;B81&amp;F81&amp;"?utm_source="&amp;D81&amp;"&amp;utm_medium="&amp;E81&amp;"&amp;utm_campaign="&amp;G81&amp;"&amp;utm_content="&amp;H81</f>
        <v>https://aiventure.uk/?utm_source=udemy&amp;utm_medium=course&amp;utm_campaign=2610_ff_lansare&amp;utm_content=general</v>
      </c>
    </row>
    <row r="82" customFormat="false" ht="15" hidden="false" customHeight="false" outlineLevel="0" collapsed="false">
      <c r="A82" s="10" t="s">
        <v>52</v>
      </c>
      <c r="B82" s="10" t="str">
        <f aca="false">INDEX('Site-uri'!$B$2:$B$20,MATCH(A82,'Site-uri'!$A$2:$A$20,0))</f>
        <v>aiventure.uk</v>
      </c>
      <c r="C82" s="10" t="s">
        <v>186</v>
      </c>
      <c r="D82" s="10" t="str">
        <f aca="false">INDEX(Canale!$C$2:$C$30,MATCH(C82,Canale!$A$2:$A$30,0))</f>
        <v>directory</v>
      </c>
      <c r="E82" s="10" t="str">
        <f aca="false">INDEX(Canale!$D$2:$D$30,MATCH(C82,Canale!$A$2:$A$30,0))</f>
        <v>referral</v>
      </c>
      <c r="F82" s="10" t="str">
        <f aca="false">INDEX('Site-uri'!$C$2:$C$20,MATCH(A82,'Site-uri'!$A$2:$A$20,0))</f>
        <v>/</v>
      </c>
      <c r="G82" s="10" t="str">
        <f aca="false">Config!$B$3</f>
        <v>2610_ff_lansare</v>
      </c>
      <c r="H82" s="10" t="str">
        <f aca="false">Config!$B$4</f>
        <v>general</v>
      </c>
      <c r="I82" s="10" t="str">
        <f aca="false">"https://"&amp;B82&amp;F82&amp;"?utm_source="&amp;D82&amp;"&amp;utm_medium="&amp;E82&amp;"&amp;utm_campaign="&amp;G82&amp;"&amp;utm_content="&amp;H82</f>
        <v>https://aiventure.uk/?utm_source=directory&amp;utm_medium=referral&amp;utm_campaign=2610_ff_lansare&amp;utm_content=general</v>
      </c>
    </row>
    <row r="83" customFormat="false" ht="15" hidden="false" customHeight="false" outlineLevel="0" collapsed="false">
      <c r="A83" s="10" t="s">
        <v>52</v>
      </c>
      <c r="B83" s="10" t="str">
        <f aca="false">INDEX('Site-uri'!$B$2:$B$20,MATCH(A83,'Site-uri'!$A$2:$A$20,0))</f>
        <v>aiventure.uk</v>
      </c>
      <c r="C83" s="10" t="s">
        <v>190</v>
      </c>
      <c r="D83" s="10" t="str">
        <f aca="false">INDEX(Canale!$C$2:$C$30,MATCH(C83,Canale!$A$2:$A$30,0))</f>
        <v>partner</v>
      </c>
      <c r="E83" s="10" t="str">
        <f aca="false">INDEX(Canale!$D$2:$D$30,MATCH(C83,Canale!$A$2:$A$30,0))</f>
        <v>partner</v>
      </c>
      <c r="F83" s="10" t="str">
        <f aca="false">INDEX('Site-uri'!$C$2:$C$20,MATCH(A83,'Site-uri'!$A$2:$A$20,0))</f>
        <v>/</v>
      </c>
      <c r="G83" s="10" t="str">
        <f aca="false">Config!$B$3</f>
        <v>2610_ff_lansare</v>
      </c>
      <c r="H83" s="10" t="str">
        <f aca="false">Config!$B$4</f>
        <v>general</v>
      </c>
      <c r="I83" s="10" t="str">
        <f aca="false">"https://"&amp;B83&amp;F83&amp;"?utm_source="&amp;D83&amp;"&amp;utm_medium="&amp;E83&amp;"&amp;utm_campaign="&amp;G83&amp;"&amp;utm_content="&amp;H83</f>
        <v>https://aiventure.uk/?utm_source=partner&amp;utm_medium=partner&amp;utm_campaign=2610_ff_lansare&amp;utm_content=general</v>
      </c>
    </row>
    <row r="84" customFormat="false" ht="15" hidden="false" customHeight="false" outlineLevel="0" collapsed="false">
      <c r="A84" s="10" t="s">
        <v>52</v>
      </c>
      <c r="B84" s="10" t="str">
        <f aca="false">INDEX('Site-uri'!$B$2:$B$20,MATCH(A84,'Site-uri'!$A$2:$A$20,0))</f>
        <v>aiventure.uk</v>
      </c>
      <c r="C84" s="10" t="s">
        <v>192</v>
      </c>
      <c r="D84" s="10" t="str">
        <f aca="false">INDEX(Canale!$C$2:$C$30,MATCH(C84,Canale!$A$2:$A$30,0))</f>
        <v>pdf_proposal</v>
      </c>
      <c r="E84" s="10" t="str">
        <f aca="false">INDEX(Canale!$D$2:$D$30,MATCH(C84,Canale!$A$2:$A$30,0))</f>
        <v>document</v>
      </c>
      <c r="F84" s="10" t="str">
        <f aca="false">INDEX('Site-uri'!$C$2:$C$20,MATCH(A84,'Site-uri'!$A$2:$A$20,0))</f>
        <v>/</v>
      </c>
      <c r="G84" s="10" t="str">
        <f aca="false">Config!$B$3</f>
        <v>2610_ff_lansare</v>
      </c>
      <c r="H84" s="10" t="str">
        <f aca="false">Config!$B$4</f>
        <v>general</v>
      </c>
      <c r="I84" s="10" t="str">
        <f aca="false">"https://"&amp;B84&amp;F84&amp;"?utm_source="&amp;D84&amp;"&amp;utm_medium="&amp;E84&amp;"&amp;utm_campaign="&amp;G84&amp;"&amp;utm_content="&amp;H84</f>
        <v>https://aiventure.uk/?utm_source=pdf_proposal&amp;utm_medium=document&amp;utm_campaign=2610_ff_lansare&amp;utm_content=general</v>
      </c>
    </row>
    <row r="85" customFormat="false" ht="15" hidden="false" customHeight="false" outlineLevel="0" collapsed="false">
      <c r="A85" s="10" t="s">
        <v>52</v>
      </c>
      <c r="B85" s="10" t="str">
        <f aca="false">INDEX('Site-uri'!$B$2:$B$20,MATCH(A85,'Site-uri'!$A$2:$A$20,0))</f>
        <v>aiventure.uk</v>
      </c>
      <c r="C85" s="10" t="s">
        <v>197</v>
      </c>
      <c r="D85" s="10" t="str">
        <f aca="false">INDEX(Canale!$C$2:$C$30,MATCH(C85,Canale!$A$2:$A$30,0))</f>
        <v>qr_print</v>
      </c>
      <c r="E85" s="10" t="str">
        <f aca="false">INDEX(Canale!$D$2:$D$30,MATCH(C85,Canale!$A$2:$A$30,0))</f>
        <v>qr</v>
      </c>
      <c r="F85" s="10" t="str">
        <f aca="false">INDEX('Site-uri'!$C$2:$C$20,MATCH(A85,'Site-uri'!$A$2:$A$20,0))</f>
        <v>/</v>
      </c>
      <c r="G85" s="10" t="str">
        <f aca="false">Config!$B$3</f>
        <v>2610_ff_lansare</v>
      </c>
      <c r="H85" s="10" t="str">
        <f aca="false">Config!$B$4</f>
        <v>general</v>
      </c>
      <c r="I85" s="10" t="str">
        <f aca="false">"https://"&amp;B85&amp;F85&amp;"?utm_source="&amp;D85&amp;"&amp;utm_medium="&amp;E85&amp;"&amp;utm_campaign="&amp;G85&amp;"&amp;utm_content="&amp;H85</f>
        <v>https://aiventure.uk/?utm_source=qr_print&amp;utm_medium=qr&amp;utm_campaign=2610_ff_lansare&amp;utm_content=general</v>
      </c>
    </row>
    <row r="86" customFormat="false" ht="15" hidden="false" customHeight="false" outlineLevel="0" collapsed="false">
      <c r="A86" s="10" t="s">
        <v>52</v>
      </c>
      <c r="B86" s="10" t="str">
        <f aca="false">INDEX('Site-uri'!$B$2:$B$20,MATCH(A86,'Site-uri'!$A$2:$A$20,0))</f>
        <v>aiventure.uk</v>
      </c>
      <c r="C86" s="10" t="s">
        <v>201</v>
      </c>
      <c r="D86" s="10" t="str">
        <f aca="false">INDEX(Canale!$C$2:$C$30,MATCH(C86,Canale!$A$2:$A$30,0))</f>
        <v>event</v>
      </c>
      <c r="E86" s="10" t="str">
        <f aca="false">INDEX(Canale!$D$2:$D$30,MATCH(C86,Canale!$A$2:$A$30,0))</f>
        <v>event</v>
      </c>
      <c r="F86" s="10" t="str">
        <f aca="false">INDEX('Site-uri'!$C$2:$C$20,MATCH(A86,'Site-uri'!$A$2:$A$20,0))</f>
        <v>/</v>
      </c>
      <c r="G86" s="10" t="str">
        <f aca="false">Config!$B$3</f>
        <v>2610_ff_lansare</v>
      </c>
      <c r="H86" s="10" t="str">
        <f aca="false">Config!$B$4</f>
        <v>general</v>
      </c>
      <c r="I86" s="10" t="str">
        <f aca="false">"https://"&amp;B86&amp;F86&amp;"?utm_source="&amp;D86&amp;"&amp;utm_medium="&amp;E86&amp;"&amp;utm_campaign="&amp;G86&amp;"&amp;utm_content="&amp;H86</f>
        <v>https://aiventure.uk/?utm_source=event&amp;utm_medium=event&amp;utm_campaign=2610_ff_lansare&amp;utm_content=general</v>
      </c>
    </row>
    <row r="87" customFormat="false" ht="15" hidden="false" customHeight="false" outlineLevel="0" collapsed="false">
      <c r="A87" s="10" t="s">
        <v>52</v>
      </c>
      <c r="B87" s="10" t="str">
        <f aca="false">INDEX('Site-uri'!$B$2:$B$20,MATCH(A87,'Site-uri'!$A$2:$A$20,0))</f>
        <v>aiventure.uk</v>
      </c>
      <c r="C87" s="10" t="s">
        <v>203</v>
      </c>
      <c r="D87" s="10" t="str">
        <f aca="false">INDEX(Canale!$C$2:$C$30,MATCH(C87,Canale!$A$2:$A$30,0))</f>
        <v>a2a_agent_card</v>
      </c>
      <c r="E87" s="10" t="str">
        <f aca="false">INDEX(Canale!$D$2:$D$30,MATCH(C87,Canale!$A$2:$A$30,0))</f>
        <v>agent</v>
      </c>
      <c r="F87" s="10" t="str">
        <f aca="false">INDEX('Site-uri'!$C$2:$C$20,MATCH(A87,'Site-uri'!$A$2:$A$20,0))</f>
        <v>/</v>
      </c>
      <c r="G87" s="10" t="str">
        <f aca="false">Config!$B$3</f>
        <v>2610_ff_lansare</v>
      </c>
      <c r="H87" s="10" t="str">
        <f aca="false">Config!$B$4</f>
        <v>general</v>
      </c>
      <c r="I87" s="10" t="str">
        <f aca="false">"https://"&amp;B87&amp;F87&amp;"?utm_source="&amp;D87&amp;"&amp;utm_medium="&amp;E87&amp;"&amp;utm_campaign="&amp;G87&amp;"&amp;utm_content="&amp;H87</f>
        <v>https://aiventure.uk/?utm_source=a2a_agent_card&amp;utm_medium=agent&amp;utm_campaign=2610_ff_lansare&amp;utm_content=general</v>
      </c>
    </row>
    <row r="88" customFormat="false" ht="15" hidden="false" customHeight="false" outlineLevel="0" collapsed="false">
      <c r="A88" s="10" t="s">
        <v>52</v>
      </c>
      <c r="B88" s="10" t="str">
        <f aca="false">INDEX('Site-uri'!$B$2:$B$20,MATCH(A88,'Site-uri'!$A$2:$A$20,0))</f>
        <v>aiventure.uk</v>
      </c>
      <c r="C88" s="10" t="s">
        <v>208</v>
      </c>
      <c r="D88" s="10" t="str">
        <f aca="false">INDEX(Canale!$C$2:$C$30,MATCH(C88,Canale!$A$2:$A$30,0))</f>
        <v>llms_txt</v>
      </c>
      <c r="E88" s="10" t="str">
        <f aca="false">INDEX(Canale!$D$2:$D$30,MATCH(C88,Canale!$A$2:$A$30,0))</f>
        <v>ai_web</v>
      </c>
      <c r="F88" s="10" t="str">
        <f aca="false">INDEX('Site-uri'!$C$2:$C$20,MATCH(A88,'Site-uri'!$A$2:$A$20,0))</f>
        <v>/</v>
      </c>
      <c r="G88" s="10" t="str">
        <f aca="false">Config!$B$3</f>
        <v>2610_ff_lansare</v>
      </c>
      <c r="H88" s="10" t="str">
        <f aca="false">Config!$B$4</f>
        <v>general</v>
      </c>
      <c r="I88" s="10" t="str">
        <f aca="false">"https://"&amp;B88&amp;F88&amp;"?utm_source="&amp;D88&amp;"&amp;utm_medium="&amp;E88&amp;"&amp;utm_campaign="&amp;G88&amp;"&amp;utm_content="&amp;H88</f>
        <v>https://aiventure.uk/?utm_source=llms_txt&amp;utm_medium=ai_web&amp;utm_campaign=2610_ff_lansare&amp;utm_content=general</v>
      </c>
    </row>
    <row r="89" customFormat="false" ht="15" hidden="false" customHeight="false" outlineLevel="0" collapsed="false">
      <c r="A89" s="10" t="s">
        <v>55</v>
      </c>
      <c r="B89" s="10" t="str">
        <f aca="false">INDEX('Site-uri'!$B$2:$B$20,MATCH(A89,'Site-uri'!$A$2:$A$20,0))</f>
        <v>3webobs.com</v>
      </c>
      <c r="C89" s="10" t="s">
        <v>103</v>
      </c>
      <c r="D89" s="10" t="str">
        <f aca="false">INDEX(Canale!$C$2:$C$30,MATCH(C89,Canale!$A$2:$A$30,0))</f>
        <v>linkedin_personal</v>
      </c>
      <c r="E89" s="10" t="str">
        <f aca="false">INDEX(Canale!$D$2:$D$30,MATCH(C89,Canale!$A$2:$A$30,0))</f>
        <v>social</v>
      </c>
      <c r="F89" s="10" t="str">
        <f aca="false">INDEX('Site-uri'!$C$2:$C$20,MATCH(A89,'Site-uri'!$A$2:$A$20,0))</f>
        <v>/</v>
      </c>
      <c r="G89" s="10" t="str">
        <f aca="false">Config!$B$3</f>
        <v>2610_ff_lansare</v>
      </c>
      <c r="H89" s="10" t="str">
        <f aca="false">Config!$B$4</f>
        <v>general</v>
      </c>
      <c r="I89" s="10" t="str">
        <f aca="false">"https://"&amp;B89&amp;F89&amp;"?utm_source="&amp;D89&amp;"&amp;utm_medium="&amp;E89&amp;"&amp;utm_campaign="&amp;G89&amp;"&amp;utm_content="&amp;H89</f>
        <v>https://3webobs.com/?utm_source=linkedin_personal&amp;utm_medium=social&amp;utm_campaign=2610_ff_lansare&amp;utm_content=general</v>
      </c>
    </row>
    <row r="90" customFormat="false" ht="15" hidden="false" customHeight="false" outlineLevel="0" collapsed="false">
      <c r="A90" s="10" t="s">
        <v>55</v>
      </c>
      <c r="B90" s="10" t="str">
        <f aca="false">INDEX('Site-uri'!$B$2:$B$20,MATCH(A90,'Site-uri'!$A$2:$A$20,0))</f>
        <v>3webobs.com</v>
      </c>
      <c r="C90" s="10" t="s">
        <v>108</v>
      </c>
      <c r="D90" s="10" t="str">
        <f aca="false">INDEX(Canale!$C$2:$C$30,MATCH(C90,Canale!$A$2:$A$30,0))</f>
        <v>linkedin_company</v>
      </c>
      <c r="E90" s="10" t="str">
        <f aca="false">INDEX(Canale!$D$2:$D$30,MATCH(C90,Canale!$A$2:$A$30,0))</f>
        <v>social</v>
      </c>
      <c r="F90" s="10" t="str">
        <f aca="false">INDEX('Site-uri'!$C$2:$C$20,MATCH(A90,'Site-uri'!$A$2:$A$20,0))</f>
        <v>/</v>
      </c>
      <c r="G90" s="10" t="str">
        <f aca="false">Config!$B$3</f>
        <v>2610_ff_lansare</v>
      </c>
      <c r="H90" s="10" t="str">
        <f aca="false">Config!$B$4</f>
        <v>general</v>
      </c>
      <c r="I90" s="10" t="str">
        <f aca="false">"https://"&amp;B90&amp;F90&amp;"?utm_source="&amp;D90&amp;"&amp;utm_medium="&amp;E90&amp;"&amp;utm_campaign="&amp;G90&amp;"&amp;utm_content="&amp;H90</f>
        <v>https://3webobs.com/?utm_source=linkedin_company&amp;utm_medium=social&amp;utm_campaign=2610_ff_lansare&amp;utm_content=general</v>
      </c>
    </row>
    <row r="91" customFormat="false" ht="15" hidden="false" customHeight="false" outlineLevel="0" collapsed="false">
      <c r="A91" s="10" t="s">
        <v>55</v>
      </c>
      <c r="B91" s="10" t="str">
        <f aca="false">INDEX('Site-uri'!$B$2:$B$20,MATCH(A91,'Site-uri'!$A$2:$A$20,0))</f>
        <v>3webobs.com</v>
      </c>
      <c r="C91" s="10" t="s">
        <v>111</v>
      </c>
      <c r="D91" s="10" t="str">
        <f aca="false">INDEX(Canale!$C$2:$C$30,MATCH(C91,Canale!$A$2:$A$30,0))</f>
        <v>linkedin_showcase</v>
      </c>
      <c r="E91" s="10" t="str">
        <f aca="false">INDEX(Canale!$D$2:$D$30,MATCH(C91,Canale!$A$2:$A$30,0))</f>
        <v>social</v>
      </c>
      <c r="F91" s="10" t="str">
        <f aca="false">INDEX('Site-uri'!$C$2:$C$20,MATCH(A91,'Site-uri'!$A$2:$A$20,0))</f>
        <v>/</v>
      </c>
      <c r="G91" s="10" t="str">
        <f aca="false">Config!$B$3</f>
        <v>2610_ff_lansare</v>
      </c>
      <c r="H91" s="10" t="str">
        <f aca="false">Config!$B$4</f>
        <v>general</v>
      </c>
      <c r="I91" s="10" t="str">
        <f aca="false">"https://"&amp;B91&amp;F91&amp;"?utm_source="&amp;D91&amp;"&amp;utm_medium="&amp;E91&amp;"&amp;utm_campaign="&amp;G91&amp;"&amp;utm_content="&amp;H91</f>
        <v>https://3webobs.com/?utm_source=linkedin_showcase&amp;utm_medium=social&amp;utm_campaign=2610_ff_lansare&amp;utm_content=general</v>
      </c>
    </row>
    <row r="92" customFormat="false" ht="15" hidden="false" customHeight="false" outlineLevel="0" collapsed="false">
      <c r="A92" s="10" t="s">
        <v>55</v>
      </c>
      <c r="B92" s="10" t="str">
        <f aca="false">INDEX('Site-uri'!$B$2:$B$20,MATCH(A92,'Site-uri'!$A$2:$A$20,0))</f>
        <v>3webobs.com</v>
      </c>
      <c r="C92" s="10" t="s">
        <v>114</v>
      </c>
      <c r="D92" s="10" t="str">
        <f aca="false">INDEX(Canale!$C$2:$C$30,MATCH(C92,Canale!$A$2:$A$30,0))</f>
        <v>linkedin_newsletter</v>
      </c>
      <c r="E92" s="10" t="str">
        <f aca="false">INDEX(Canale!$D$2:$D$30,MATCH(C92,Canale!$A$2:$A$30,0))</f>
        <v>social</v>
      </c>
      <c r="F92" s="10" t="str">
        <f aca="false">INDEX('Site-uri'!$C$2:$C$20,MATCH(A92,'Site-uri'!$A$2:$A$20,0))</f>
        <v>/</v>
      </c>
      <c r="G92" s="10" t="str">
        <f aca="false">Config!$B$3</f>
        <v>2610_ff_lansare</v>
      </c>
      <c r="H92" s="10" t="str">
        <f aca="false">Config!$B$4</f>
        <v>general</v>
      </c>
      <c r="I92" s="10" t="str">
        <f aca="false">"https://"&amp;B92&amp;F92&amp;"?utm_source="&amp;D92&amp;"&amp;utm_medium="&amp;E92&amp;"&amp;utm_campaign="&amp;G92&amp;"&amp;utm_content="&amp;H92</f>
        <v>https://3webobs.com/?utm_source=linkedin_newsletter&amp;utm_medium=social&amp;utm_campaign=2610_ff_lansare&amp;utm_content=general</v>
      </c>
    </row>
    <row r="93" customFormat="false" ht="15" hidden="false" customHeight="false" outlineLevel="0" collapsed="false">
      <c r="A93" s="10" t="s">
        <v>55</v>
      </c>
      <c r="B93" s="10" t="str">
        <f aca="false">INDEX('Site-uri'!$B$2:$B$20,MATCH(A93,'Site-uri'!$A$2:$A$20,0))</f>
        <v>3webobs.com</v>
      </c>
      <c r="C93" s="10" t="s">
        <v>117</v>
      </c>
      <c r="D93" s="10" t="str">
        <f aca="false">INDEX(Canale!$C$2:$C$30,MATCH(C93,Canale!$A$2:$A$30,0))</f>
        <v>linkedin_ads</v>
      </c>
      <c r="E93" s="10" t="str">
        <f aca="false">INDEX(Canale!$D$2:$D$30,MATCH(C93,Canale!$A$2:$A$30,0))</f>
        <v>paid_social</v>
      </c>
      <c r="F93" s="10" t="str">
        <f aca="false">INDEX('Site-uri'!$C$2:$C$20,MATCH(A93,'Site-uri'!$A$2:$A$20,0))</f>
        <v>/</v>
      </c>
      <c r="G93" s="10" t="str">
        <f aca="false">Config!$B$3</f>
        <v>2610_ff_lansare</v>
      </c>
      <c r="H93" s="10" t="str">
        <f aca="false">Config!$B$4</f>
        <v>general</v>
      </c>
      <c r="I93" s="10" t="str">
        <f aca="false">"https://"&amp;B93&amp;F93&amp;"?utm_source="&amp;D93&amp;"&amp;utm_medium="&amp;E93&amp;"&amp;utm_campaign="&amp;G93&amp;"&amp;utm_content="&amp;H93</f>
        <v>https://3webobs.com/?utm_source=linkedin_ads&amp;utm_medium=paid_social&amp;utm_campaign=2610_ff_lansare&amp;utm_content=general</v>
      </c>
    </row>
    <row r="94" customFormat="false" ht="15" hidden="false" customHeight="false" outlineLevel="0" collapsed="false">
      <c r="A94" s="10" t="s">
        <v>55</v>
      </c>
      <c r="B94" s="10" t="str">
        <f aca="false">INDEX('Site-uri'!$B$2:$B$20,MATCH(A94,'Site-uri'!$A$2:$A$20,0))</f>
        <v>3webobs.com</v>
      </c>
      <c r="C94" s="10" t="s">
        <v>121</v>
      </c>
      <c r="D94" s="10" t="str">
        <f aca="false">INDEX(Canale!$C$2:$C$30,MATCH(C94,Canale!$A$2:$A$30,0))</f>
        <v>linkedin_dm</v>
      </c>
      <c r="E94" s="10" t="str">
        <f aca="false">INDEX(Canale!$D$2:$D$30,MATCH(C94,Canale!$A$2:$A$30,0))</f>
        <v>dm</v>
      </c>
      <c r="F94" s="10" t="str">
        <f aca="false">INDEX('Site-uri'!$C$2:$C$20,MATCH(A94,'Site-uri'!$A$2:$A$20,0))</f>
        <v>/</v>
      </c>
      <c r="G94" s="10" t="str">
        <f aca="false">Config!$B$3</f>
        <v>2610_ff_lansare</v>
      </c>
      <c r="H94" s="10" t="str">
        <f aca="false">Config!$B$4</f>
        <v>general</v>
      </c>
      <c r="I94" s="10" t="str">
        <f aca="false">"https://"&amp;B94&amp;F94&amp;"?utm_source="&amp;D94&amp;"&amp;utm_medium="&amp;E94&amp;"&amp;utm_campaign="&amp;G94&amp;"&amp;utm_content="&amp;H94</f>
        <v>https://3webobs.com/?utm_source=linkedin_dm&amp;utm_medium=dm&amp;utm_campaign=2610_ff_lansare&amp;utm_content=general</v>
      </c>
    </row>
    <row r="95" customFormat="false" ht="15" hidden="false" customHeight="false" outlineLevel="0" collapsed="false">
      <c r="A95" s="10" t="s">
        <v>55</v>
      </c>
      <c r="B95" s="10" t="str">
        <f aca="false">INDEX('Site-uri'!$B$2:$B$20,MATCH(A95,'Site-uri'!$A$2:$A$20,0))</f>
        <v>3webobs.com</v>
      </c>
      <c r="C95" s="10" t="s">
        <v>125</v>
      </c>
      <c r="D95" s="10" t="str">
        <f aca="false">INDEX(Canale!$C$2:$C$30,MATCH(C95,Canale!$A$2:$A$30,0))</f>
        <v>email_outreach</v>
      </c>
      <c r="E95" s="10" t="str">
        <f aca="false">INDEX(Canale!$D$2:$D$30,MATCH(C95,Canale!$A$2:$A$30,0))</f>
        <v>email</v>
      </c>
      <c r="F95" s="10" t="str">
        <f aca="false">INDEX('Site-uri'!$C$2:$C$20,MATCH(A95,'Site-uri'!$A$2:$A$20,0))</f>
        <v>/</v>
      </c>
      <c r="G95" s="10" t="str">
        <f aca="false">Config!$B$3</f>
        <v>2610_ff_lansare</v>
      </c>
      <c r="H95" s="10" t="str">
        <f aca="false">Config!$B$4</f>
        <v>general</v>
      </c>
      <c r="I95" s="10" t="str">
        <f aca="false">"https://"&amp;B95&amp;F95&amp;"?utm_source="&amp;D95&amp;"&amp;utm_medium="&amp;E95&amp;"&amp;utm_campaign="&amp;G95&amp;"&amp;utm_content="&amp;H95</f>
        <v>https://3webobs.com/?utm_source=email_outreach&amp;utm_medium=email&amp;utm_campaign=2610_ff_lansare&amp;utm_content=general</v>
      </c>
    </row>
    <row r="96" customFormat="false" ht="15" hidden="false" customHeight="false" outlineLevel="0" collapsed="false">
      <c r="A96" s="10" t="s">
        <v>55</v>
      </c>
      <c r="B96" s="10" t="str">
        <f aca="false">INDEX('Site-uri'!$B$2:$B$20,MATCH(A96,'Site-uri'!$A$2:$A$20,0))</f>
        <v>3webobs.com</v>
      </c>
      <c r="C96" s="10" t="s">
        <v>130</v>
      </c>
      <c r="D96" s="10" t="str">
        <f aca="false">INDEX(Canale!$C$2:$C$30,MATCH(C96,Canale!$A$2:$A$30,0))</f>
        <v>newsletter</v>
      </c>
      <c r="E96" s="10" t="str">
        <f aca="false">INDEX(Canale!$D$2:$D$30,MATCH(C96,Canale!$A$2:$A$30,0))</f>
        <v>email</v>
      </c>
      <c r="F96" s="10" t="str">
        <f aca="false">INDEX('Site-uri'!$C$2:$C$20,MATCH(A96,'Site-uri'!$A$2:$A$20,0))</f>
        <v>/</v>
      </c>
      <c r="G96" s="10" t="str">
        <f aca="false">Config!$B$3</f>
        <v>2610_ff_lansare</v>
      </c>
      <c r="H96" s="10" t="str">
        <f aca="false">Config!$B$4</f>
        <v>general</v>
      </c>
      <c r="I96" s="10" t="str">
        <f aca="false">"https://"&amp;B96&amp;F96&amp;"?utm_source="&amp;D96&amp;"&amp;utm_medium="&amp;E96&amp;"&amp;utm_campaign="&amp;G96&amp;"&amp;utm_content="&amp;H96</f>
        <v>https://3webobs.com/?utm_source=newsletter&amp;utm_medium=email&amp;utm_campaign=2610_ff_lansare&amp;utm_content=general</v>
      </c>
    </row>
    <row r="97" customFormat="false" ht="15" hidden="false" customHeight="false" outlineLevel="0" collapsed="false">
      <c r="A97" s="10" t="s">
        <v>55</v>
      </c>
      <c r="B97" s="10" t="str">
        <f aca="false">INDEX('Site-uri'!$B$2:$B$20,MATCH(A97,'Site-uri'!$A$2:$A$20,0))</f>
        <v>3webobs.com</v>
      </c>
      <c r="C97" s="10" t="s">
        <v>133</v>
      </c>
      <c r="D97" s="10" t="str">
        <f aca="false">INDEX(Canale!$C$2:$C$30,MATCH(C97,Canale!$A$2:$A$30,0))</f>
        <v>email_signature</v>
      </c>
      <c r="E97" s="10" t="str">
        <f aca="false">INDEX(Canale!$D$2:$D$30,MATCH(C97,Canale!$A$2:$A$30,0))</f>
        <v>email</v>
      </c>
      <c r="F97" s="10" t="str">
        <f aca="false">INDEX('Site-uri'!$C$2:$C$20,MATCH(A97,'Site-uri'!$A$2:$A$20,0))</f>
        <v>/</v>
      </c>
      <c r="G97" s="10" t="str">
        <f aca="false">Config!$B$3</f>
        <v>2610_ff_lansare</v>
      </c>
      <c r="H97" s="10" t="str">
        <f aca="false">Config!$B$4</f>
        <v>general</v>
      </c>
      <c r="I97" s="10" t="str">
        <f aca="false">"https://"&amp;B97&amp;F97&amp;"?utm_source="&amp;D97&amp;"&amp;utm_medium="&amp;E97&amp;"&amp;utm_campaign="&amp;G97&amp;"&amp;utm_content="&amp;H97</f>
        <v>https://3webobs.com/?utm_source=email_signature&amp;utm_medium=email&amp;utm_campaign=2610_ff_lansare&amp;utm_content=general</v>
      </c>
    </row>
    <row r="98" customFormat="false" ht="15" hidden="false" customHeight="false" outlineLevel="0" collapsed="false">
      <c r="A98" s="10" t="s">
        <v>55</v>
      </c>
      <c r="B98" s="10" t="str">
        <f aca="false">INDEX('Site-uri'!$B$2:$B$20,MATCH(A98,'Site-uri'!$A$2:$A$20,0))</f>
        <v>3webobs.com</v>
      </c>
      <c r="C98" s="10" t="s">
        <v>136</v>
      </c>
      <c r="D98" s="10" t="str">
        <f aca="false">INDEX(Canale!$C$2:$C$30,MATCH(C98,Canale!$A$2:$A$30,0))</f>
        <v>whatsapp</v>
      </c>
      <c r="E98" s="10" t="str">
        <f aca="false">INDEX(Canale!$D$2:$D$30,MATCH(C98,Canale!$A$2:$A$30,0))</f>
        <v>dm</v>
      </c>
      <c r="F98" s="10" t="str">
        <f aca="false">INDEX('Site-uri'!$C$2:$C$20,MATCH(A98,'Site-uri'!$A$2:$A$20,0))</f>
        <v>/</v>
      </c>
      <c r="G98" s="10" t="str">
        <f aca="false">Config!$B$3</f>
        <v>2610_ff_lansare</v>
      </c>
      <c r="H98" s="10" t="str">
        <f aca="false">Config!$B$4</f>
        <v>general</v>
      </c>
      <c r="I98" s="10" t="str">
        <f aca="false">"https://"&amp;B98&amp;F98&amp;"?utm_source="&amp;D98&amp;"&amp;utm_medium="&amp;E98&amp;"&amp;utm_campaign="&amp;G98&amp;"&amp;utm_content="&amp;H98</f>
        <v>https://3webobs.com/?utm_source=whatsapp&amp;utm_medium=dm&amp;utm_campaign=2610_ff_lansare&amp;utm_content=general</v>
      </c>
    </row>
    <row r="99" customFormat="false" ht="15" hidden="false" customHeight="false" outlineLevel="0" collapsed="false">
      <c r="A99" s="10" t="s">
        <v>55</v>
      </c>
      <c r="B99" s="10" t="str">
        <f aca="false">INDEX('Site-uri'!$B$2:$B$20,MATCH(A99,'Site-uri'!$A$2:$A$20,0))</f>
        <v>3webobs.com</v>
      </c>
      <c r="C99" s="10" t="s">
        <v>140</v>
      </c>
      <c r="D99" s="10" t="str">
        <f aca="false">INDEX(Canale!$C$2:$C$30,MATCH(C99,Canale!$A$2:$A$30,0))</f>
        <v>google</v>
      </c>
      <c r="E99" s="10" t="str">
        <f aca="false">INDEX(Canale!$D$2:$D$30,MATCH(C99,Canale!$A$2:$A$30,0))</f>
        <v>cpc</v>
      </c>
      <c r="F99" s="10" t="str">
        <f aca="false">INDEX('Site-uri'!$C$2:$C$20,MATCH(A99,'Site-uri'!$A$2:$A$20,0))</f>
        <v>/</v>
      </c>
      <c r="G99" s="10" t="str">
        <f aca="false">Config!$B$3</f>
        <v>2610_ff_lansare</v>
      </c>
      <c r="H99" s="10" t="str">
        <f aca="false">Config!$B$4</f>
        <v>general</v>
      </c>
      <c r="I99" s="10" t="str">
        <f aca="false">"https://"&amp;B99&amp;F99&amp;"?utm_source="&amp;D99&amp;"&amp;utm_medium="&amp;E99&amp;"&amp;utm_campaign="&amp;G99&amp;"&amp;utm_content="&amp;H99</f>
        <v>https://3webobs.com/?utm_source=google&amp;utm_medium=cpc&amp;utm_campaign=2610_ff_lansare&amp;utm_content=general</v>
      </c>
    </row>
    <row r="100" customFormat="false" ht="15" hidden="false" customHeight="false" outlineLevel="0" collapsed="false">
      <c r="A100" s="10" t="s">
        <v>55</v>
      </c>
      <c r="B100" s="10" t="str">
        <f aca="false">INDEX('Site-uri'!$B$2:$B$20,MATCH(A100,'Site-uri'!$A$2:$A$20,0))</f>
        <v>3webobs.com</v>
      </c>
      <c r="C100" s="10" t="s">
        <v>145</v>
      </c>
      <c r="D100" s="10" t="str">
        <f aca="false">INDEX(Canale!$C$2:$C$30,MATCH(C100,Canale!$A$2:$A$30,0))</f>
        <v>bing</v>
      </c>
      <c r="E100" s="10" t="str">
        <f aca="false">INDEX(Canale!$D$2:$D$30,MATCH(C100,Canale!$A$2:$A$30,0))</f>
        <v>cpc</v>
      </c>
      <c r="F100" s="10" t="str">
        <f aca="false">INDEX('Site-uri'!$C$2:$C$20,MATCH(A100,'Site-uri'!$A$2:$A$20,0))</f>
        <v>/</v>
      </c>
      <c r="G100" s="10" t="str">
        <f aca="false">Config!$B$3</f>
        <v>2610_ff_lansare</v>
      </c>
      <c r="H100" s="10" t="str">
        <f aca="false">Config!$B$4</f>
        <v>general</v>
      </c>
      <c r="I100" s="10" t="str">
        <f aca="false">"https://"&amp;B100&amp;F100&amp;"?utm_source="&amp;D100&amp;"&amp;utm_medium="&amp;E100&amp;"&amp;utm_campaign="&amp;G100&amp;"&amp;utm_content="&amp;H100</f>
        <v>https://3webobs.com/?utm_source=bing&amp;utm_medium=cpc&amp;utm_campaign=2610_ff_lansare&amp;utm_content=general</v>
      </c>
    </row>
    <row r="101" customFormat="false" ht="15" hidden="false" customHeight="false" outlineLevel="0" collapsed="false">
      <c r="A101" s="10" t="s">
        <v>55</v>
      </c>
      <c r="B101" s="10" t="str">
        <f aca="false">INDEX('Site-uri'!$B$2:$B$20,MATCH(A101,'Site-uri'!$A$2:$A$20,0))</f>
        <v>3webobs.com</v>
      </c>
      <c r="C101" s="10" t="s">
        <v>148</v>
      </c>
      <c r="D101" s="10" t="str">
        <f aca="false">INDEX(Canale!$C$2:$C$30,MATCH(C101,Canale!$A$2:$A$30,0))</f>
        <v>facebook</v>
      </c>
      <c r="E101" s="10" t="str">
        <f aca="false">INDEX(Canale!$D$2:$D$30,MATCH(C101,Canale!$A$2:$A$30,0))</f>
        <v>social</v>
      </c>
      <c r="F101" s="10" t="str">
        <f aca="false">INDEX('Site-uri'!$C$2:$C$20,MATCH(A101,'Site-uri'!$A$2:$A$20,0))</f>
        <v>/</v>
      </c>
      <c r="G101" s="10" t="str">
        <f aca="false">Config!$B$3</f>
        <v>2610_ff_lansare</v>
      </c>
      <c r="H101" s="10" t="str">
        <f aca="false">Config!$B$4</f>
        <v>general</v>
      </c>
      <c r="I101" s="10" t="str">
        <f aca="false">"https://"&amp;B101&amp;F101&amp;"?utm_source="&amp;D101&amp;"&amp;utm_medium="&amp;E101&amp;"&amp;utm_campaign="&amp;G101&amp;"&amp;utm_content="&amp;H101</f>
        <v>https://3webobs.com/?utm_source=facebook&amp;utm_medium=social&amp;utm_campaign=2610_ff_lansare&amp;utm_content=general</v>
      </c>
    </row>
    <row r="102" customFormat="false" ht="15" hidden="false" customHeight="false" outlineLevel="0" collapsed="false">
      <c r="A102" s="10" t="s">
        <v>55</v>
      </c>
      <c r="B102" s="10" t="str">
        <f aca="false">INDEX('Site-uri'!$B$2:$B$20,MATCH(A102,'Site-uri'!$A$2:$A$20,0))</f>
        <v>3webobs.com</v>
      </c>
      <c r="C102" s="10" t="s">
        <v>152</v>
      </c>
      <c r="D102" s="10" t="str">
        <f aca="false">INDEX(Canale!$C$2:$C$30,MATCH(C102,Canale!$A$2:$A$30,0))</f>
        <v>x</v>
      </c>
      <c r="E102" s="10" t="str">
        <f aca="false">INDEX(Canale!$D$2:$D$30,MATCH(C102,Canale!$A$2:$A$30,0))</f>
        <v>social</v>
      </c>
      <c r="F102" s="10" t="str">
        <f aca="false">INDEX('Site-uri'!$C$2:$C$20,MATCH(A102,'Site-uri'!$A$2:$A$20,0))</f>
        <v>/</v>
      </c>
      <c r="G102" s="10" t="str">
        <f aca="false">Config!$B$3</f>
        <v>2610_ff_lansare</v>
      </c>
      <c r="H102" s="10" t="str">
        <f aca="false">Config!$B$4</f>
        <v>general</v>
      </c>
      <c r="I102" s="10" t="str">
        <f aca="false">"https://"&amp;B102&amp;F102&amp;"?utm_source="&amp;D102&amp;"&amp;utm_medium="&amp;E102&amp;"&amp;utm_campaign="&amp;G102&amp;"&amp;utm_content="&amp;H102</f>
        <v>https://3webobs.com/?utm_source=x&amp;utm_medium=social&amp;utm_campaign=2610_ff_lansare&amp;utm_content=general</v>
      </c>
    </row>
    <row r="103" customFormat="false" ht="15" hidden="false" customHeight="false" outlineLevel="0" collapsed="false">
      <c r="A103" s="10" t="s">
        <v>55</v>
      </c>
      <c r="B103" s="10" t="str">
        <f aca="false">INDEX('Site-uri'!$B$2:$B$20,MATCH(A103,'Site-uri'!$A$2:$A$20,0))</f>
        <v>3webobs.com</v>
      </c>
      <c r="C103" s="10" t="s">
        <v>154</v>
      </c>
      <c r="D103" s="10" t="str">
        <f aca="false">INDEX(Canale!$C$2:$C$30,MATCH(C103,Canale!$A$2:$A$30,0))</f>
        <v>youtube</v>
      </c>
      <c r="E103" s="10" t="str">
        <f aca="false">INDEX(Canale!$D$2:$D$30,MATCH(C103,Canale!$A$2:$A$30,0))</f>
        <v>video</v>
      </c>
      <c r="F103" s="10" t="str">
        <f aca="false">INDEX('Site-uri'!$C$2:$C$20,MATCH(A103,'Site-uri'!$A$2:$A$20,0))</f>
        <v>/</v>
      </c>
      <c r="G103" s="10" t="str">
        <f aca="false">Config!$B$3</f>
        <v>2610_ff_lansare</v>
      </c>
      <c r="H103" s="10" t="str">
        <f aca="false">Config!$B$4</f>
        <v>general</v>
      </c>
      <c r="I103" s="10" t="str">
        <f aca="false">"https://"&amp;B103&amp;F103&amp;"?utm_source="&amp;D103&amp;"&amp;utm_medium="&amp;E103&amp;"&amp;utm_campaign="&amp;G103&amp;"&amp;utm_content="&amp;H103</f>
        <v>https://3webobs.com/?utm_source=youtube&amp;utm_medium=video&amp;utm_campaign=2610_ff_lansare&amp;utm_content=general</v>
      </c>
    </row>
    <row r="104" customFormat="false" ht="15" hidden="false" customHeight="false" outlineLevel="0" collapsed="false">
      <c r="A104" s="10" t="s">
        <v>55</v>
      </c>
      <c r="B104" s="10" t="str">
        <f aca="false">INDEX('Site-uri'!$B$2:$B$20,MATCH(A104,'Site-uri'!$A$2:$A$20,0))</f>
        <v>3webobs.com</v>
      </c>
      <c r="C104" s="10" t="s">
        <v>159</v>
      </c>
      <c r="D104" s="10" t="str">
        <f aca="false">INDEX(Canale!$C$2:$C$30,MATCH(C104,Canale!$A$2:$A$30,0))</f>
        <v>medium</v>
      </c>
      <c r="E104" s="10" t="str">
        <f aca="false">INDEX(Canale!$D$2:$D$30,MATCH(C104,Canale!$A$2:$A$30,0))</f>
        <v>content</v>
      </c>
      <c r="F104" s="10" t="str">
        <f aca="false">INDEX('Site-uri'!$C$2:$C$20,MATCH(A104,'Site-uri'!$A$2:$A$20,0))</f>
        <v>/</v>
      </c>
      <c r="G104" s="10" t="str">
        <f aca="false">Config!$B$3</f>
        <v>2610_ff_lansare</v>
      </c>
      <c r="H104" s="10" t="str">
        <f aca="false">Config!$B$4</f>
        <v>general</v>
      </c>
      <c r="I104" s="10" t="str">
        <f aca="false">"https://"&amp;B104&amp;F104&amp;"?utm_source="&amp;D104&amp;"&amp;utm_medium="&amp;E104&amp;"&amp;utm_campaign="&amp;G104&amp;"&amp;utm_content="&amp;H104</f>
        <v>https://3webobs.com/?utm_source=medium&amp;utm_medium=content&amp;utm_campaign=2610_ff_lansare&amp;utm_content=general</v>
      </c>
    </row>
    <row r="105" customFormat="false" ht="15" hidden="false" customHeight="false" outlineLevel="0" collapsed="false">
      <c r="A105" s="10" t="s">
        <v>55</v>
      </c>
      <c r="B105" s="10" t="str">
        <f aca="false">INDEX('Site-uri'!$B$2:$B$20,MATCH(A105,'Site-uri'!$A$2:$A$20,0))</f>
        <v>3webobs.com</v>
      </c>
      <c r="C105" s="10" t="s">
        <v>164</v>
      </c>
      <c r="D105" s="10" t="str">
        <f aca="false">INDEX(Canale!$C$2:$C$30,MATCH(C105,Canale!$A$2:$A$30,0))</f>
        <v>crunchbase</v>
      </c>
      <c r="E105" s="10" t="str">
        <f aca="false">INDEX(Canale!$D$2:$D$30,MATCH(C105,Canale!$A$2:$A$30,0))</f>
        <v>referral</v>
      </c>
      <c r="F105" s="10" t="str">
        <f aca="false">INDEX('Site-uri'!$C$2:$C$20,MATCH(A105,'Site-uri'!$A$2:$A$20,0))</f>
        <v>/</v>
      </c>
      <c r="G105" s="10" t="str">
        <f aca="false">Config!$B$3</f>
        <v>2610_ff_lansare</v>
      </c>
      <c r="H105" s="10" t="str">
        <f aca="false">Config!$B$4</f>
        <v>general</v>
      </c>
      <c r="I105" s="10" t="str">
        <f aca="false">"https://"&amp;B105&amp;F105&amp;"?utm_source="&amp;D105&amp;"&amp;utm_medium="&amp;E105&amp;"&amp;utm_campaign="&amp;G105&amp;"&amp;utm_content="&amp;H105</f>
        <v>https://3webobs.com/?utm_source=crunchbase&amp;utm_medium=referral&amp;utm_campaign=2610_ff_lansare&amp;utm_content=general</v>
      </c>
    </row>
    <row r="106" customFormat="false" ht="15" hidden="false" customHeight="false" outlineLevel="0" collapsed="false">
      <c r="A106" s="10" t="s">
        <v>55</v>
      </c>
      <c r="B106" s="10" t="str">
        <f aca="false">INDEX('Site-uri'!$B$2:$B$20,MATCH(A106,'Site-uri'!$A$2:$A$20,0))</f>
        <v>3webobs.com</v>
      </c>
      <c r="C106" s="10" t="s">
        <v>169</v>
      </c>
      <c r="D106" s="10" t="str">
        <f aca="false">INDEX(Canale!$C$2:$C$30,MATCH(C106,Canale!$A$2:$A$30,0))</f>
        <v>zenodo</v>
      </c>
      <c r="E106" s="10" t="str">
        <f aca="false">INDEX(Canale!$D$2:$D$30,MATCH(C106,Canale!$A$2:$A$30,0))</f>
        <v>referral</v>
      </c>
      <c r="F106" s="10" t="str">
        <f aca="false">INDEX('Site-uri'!$C$2:$C$20,MATCH(A106,'Site-uri'!$A$2:$A$20,0))</f>
        <v>/</v>
      </c>
      <c r="G106" s="10" t="str">
        <f aca="false">Config!$B$3</f>
        <v>2610_ff_lansare</v>
      </c>
      <c r="H106" s="10" t="str">
        <f aca="false">Config!$B$4</f>
        <v>general</v>
      </c>
      <c r="I106" s="10" t="str">
        <f aca="false">"https://"&amp;B106&amp;F106&amp;"?utm_source="&amp;D106&amp;"&amp;utm_medium="&amp;E106&amp;"&amp;utm_campaign="&amp;G106&amp;"&amp;utm_content="&amp;H106</f>
        <v>https://3webobs.com/?utm_source=zenodo&amp;utm_medium=referral&amp;utm_campaign=2610_ff_lansare&amp;utm_content=general</v>
      </c>
    </row>
    <row r="107" customFormat="false" ht="15" hidden="false" customHeight="false" outlineLevel="0" collapsed="false">
      <c r="A107" s="10" t="s">
        <v>55</v>
      </c>
      <c r="B107" s="10" t="str">
        <f aca="false">INDEX('Site-uri'!$B$2:$B$20,MATCH(A107,'Site-uri'!$A$2:$A$20,0))</f>
        <v>3webobs.com</v>
      </c>
      <c r="C107" s="10" t="s">
        <v>172</v>
      </c>
      <c r="D107" s="10" t="str">
        <f aca="false">INDEX(Canale!$C$2:$C$30,MATCH(C107,Canale!$A$2:$A$30,0))</f>
        <v>orcid</v>
      </c>
      <c r="E107" s="10" t="str">
        <f aca="false">INDEX(Canale!$D$2:$D$30,MATCH(C107,Canale!$A$2:$A$30,0))</f>
        <v>referral</v>
      </c>
      <c r="F107" s="10" t="str">
        <f aca="false">INDEX('Site-uri'!$C$2:$C$20,MATCH(A107,'Site-uri'!$A$2:$A$20,0))</f>
        <v>/</v>
      </c>
      <c r="G107" s="10" t="str">
        <f aca="false">Config!$B$3</f>
        <v>2610_ff_lansare</v>
      </c>
      <c r="H107" s="10" t="str">
        <f aca="false">Config!$B$4</f>
        <v>general</v>
      </c>
      <c r="I107" s="10" t="str">
        <f aca="false">"https://"&amp;B107&amp;F107&amp;"?utm_source="&amp;D107&amp;"&amp;utm_medium="&amp;E107&amp;"&amp;utm_campaign="&amp;G107&amp;"&amp;utm_content="&amp;H107</f>
        <v>https://3webobs.com/?utm_source=orcid&amp;utm_medium=referral&amp;utm_campaign=2610_ff_lansare&amp;utm_content=general</v>
      </c>
    </row>
    <row r="108" customFormat="false" ht="15" hidden="false" customHeight="false" outlineLevel="0" collapsed="false">
      <c r="A108" s="10" t="s">
        <v>55</v>
      </c>
      <c r="B108" s="10" t="str">
        <f aca="false">INDEX('Site-uri'!$B$2:$B$20,MATCH(A108,'Site-uri'!$A$2:$A$20,0))</f>
        <v>3webobs.com</v>
      </c>
      <c r="C108" s="10" t="s">
        <v>175</v>
      </c>
      <c r="D108" s="10" t="str">
        <f aca="false">INDEX(Canale!$C$2:$C$30,MATCH(C108,Canale!$A$2:$A$30,0))</f>
        <v>github</v>
      </c>
      <c r="E108" s="10" t="str">
        <f aca="false">INDEX(Canale!$D$2:$D$30,MATCH(C108,Canale!$A$2:$A$30,0))</f>
        <v>referral</v>
      </c>
      <c r="F108" s="10" t="str">
        <f aca="false">INDEX('Site-uri'!$C$2:$C$20,MATCH(A108,'Site-uri'!$A$2:$A$20,0))</f>
        <v>/</v>
      </c>
      <c r="G108" s="10" t="str">
        <f aca="false">Config!$B$3</f>
        <v>2610_ff_lansare</v>
      </c>
      <c r="H108" s="10" t="str">
        <f aca="false">Config!$B$4</f>
        <v>general</v>
      </c>
      <c r="I108" s="10" t="str">
        <f aca="false">"https://"&amp;B108&amp;F108&amp;"?utm_source="&amp;D108&amp;"&amp;utm_medium="&amp;E108&amp;"&amp;utm_campaign="&amp;G108&amp;"&amp;utm_content="&amp;H108</f>
        <v>https://3webobs.com/?utm_source=github&amp;utm_medium=referral&amp;utm_campaign=2610_ff_lansare&amp;utm_content=general</v>
      </c>
    </row>
    <row r="109" customFormat="false" ht="15" hidden="false" customHeight="false" outlineLevel="0" collapsed="false">
      <c r="A109" s="10" t="s">
        <v>55</v>
      </c>
      <c r="B109" s="10" t="str">
        <f aca="false">INDEX('Site-uri'!$B$2:$B$20,MATCH(A109,'Site-uri'!$A$2:$A$20,0))</f>
        <v>3webobs.com</v>
      </c>
      <c r="C109" s="10" t="s">
        <v>178</v>
      </c>
      <c r="D109" s="10" t="str">
        <f aca="false">INDEX(Canale!$C$2:$C$30,MATCH(C109,Canale!$A$2:$A$30,0))</f>
        <v>kdp_book</v>
      </c>
      <c r="E109" s="10" t="str">
        <f aca="false">INDEX(Canale!$D$2:$D$30,MATCH(C109,Canale!$A$2:$A$30,0))</f>
        <v>book</v>
      </c>
      <c r="F109" s="10" t="str">
        <f aca="false">INDEX('Site-uri'!$C$2:$C$20,MATCH(A109,'Site-uri'!$A$2:$A$20,0))</f>
        <v>/</v>
      </c>
      <c r="G109" s="10" t="str">
        <f aca="false">Config!$B$3</f>
        <v>2610_ff_lansare</v>
      </c>
      <c r="H109" s="10" t="str">
        <f aca="false">Config!$B$4</f>
        <v>general</v>
      </c>
      <c r="I109" s="10" t="str">
        <f aca="false">"https://"&amp;B109&amp;F109&amp;"?utm_source="&amp;D109&amp;"&amp;utm_medium="&amp;E109&amp;"&amp;utm_campaign="&amp;G109&amp;"&amp;utm_content="&amp;H109</f>
        <v>https://3webobs.com/?utm_source=kdp_book&amp;utm_medium=book&amp;utm_campaign=2610_ff_lansare&amp;utm_content=general</v>
      </c>
    </row>
    <row r="110" customFormat="false" ht="15" hidden="false" customHeight="false" outlineLevel="0" collapsed="false">
      <c r="A110" s="10" t="s">
        <v>55</v>
      </c>
      <c r="B110" s="10" t="str">
        <f aca="false">INDEX('Site-uri'!$B$2:$B$20,MATCH(A110,'Site-uri'!$A$2:$A$20,0))</f>
        <v>3webobs.com</v>
      </c>
      <c r="C110" s="10" t="s">
        <v>183</v>
      </c>
      <c r="D110" s="10" t="str">
        <f aca="false">INDEX(Canale!$C$2:$C$30,MATCH(C110,Canale!$A$2:$A$30,0))</f>
        <v>udemy</v>
      </c>
      <c r="E110" s="10" t="str">
        <f aca="false">INDEX(Canale!$D$2:$D$30,MATCH(C110,Canale!$A$2:$A$30,0))</f>
        <v>course</v>
      </c>
      <c r="F110" s="10" t="str">
        <f aca="false">INDEX('Site-uri'!$C$2:$C$20,MATCH(A110,'Site-uri'!$A$2:$A$20,0))</f>
        <v>/</v>
      </c>
      <c r="G110" s="10" t="str">
        <f aca="false">Config!$B$3</f>
        <v>2610_ff_lansare</v>
      </c>
      <c r="H110" s="10" t="str">
        <f aca="false">Config!$B$4</f>
        <v>general</v>
      </c>
      <c r="I110" s="10" t="str">
        <f aca="false">"https://"&amp;B110&amp;F110&amp;"?utm_source="&amp;D110&amp;"&amp;utm_medium="&amp;E110&amp;"&amp;utm_campaign="&amp;G110&amp;"&amp;utm_content="&amp;H110</f>
        <v>https://3webobs.com/?utm_source=udemy&amp;utm_medium=course&amp;utm_campaign=2610_ff_lansare&amp;utm_content=general</v>
      </c>
    </row>
    <row r="111" customFormat="false" ht="15" hidden="false" customHeight="false" outlineLevel="0" collapsed="false">
      <c r="A111" s="10" t="s">
        <v>55</v>
      </c>
      <c r="B111" s="10" t="str">
        <f aca="false">INDEX('Site-uri'!$B$2:$B$20,MATCH(A111,'Site-uri'!$A$2:$A$20,0))</f>
        <v>3webobs.com</v>
      </c>
      <c r="C111" s="10" t="s">
        <v>186</v>
      </c>
      <c r="D111" s="10" t="str">
        <f aca="false">INDEX(Canale!$C$2:$C$30,MATCH(C111,Canale!$A$2:$A$30,0))</f>
        <v>directory</v>
      </c>
      <c r="E111" s="10" t="str">
        <f aca="false">INDEX(Canale!$D$2:$D$30,MATCH(C111,Canale!$A$2:$A$30,0))</f>
        <v>referral</v>
      </c>
      <c r="F111" s="10" t="str">
        <f aca="false">INDEX('Site-uri'!$C$2:$C$20,MATCH(A111,'Site-uri'!$A$2:$A$20,0))</f>
        <v>/</v>
      </c>
      <c r="G111" s="10" t="str">
        <f aca="false">Config!$B$3</f>
        <v>2610_ff_lansare</v>
      </c>
      <c r="H111" s="10" t="str">
        <f aca="false">Config!$B$4</f>
        <v>general</v>
      </c>
      <c r="I111" s="10" t="str">
        <f aca="false">"https://"&amp;B111&amp;F111&amp;"?utm_source="&amp;D111&amp;"&amp;utm_medium="&amp;E111&amp;"&amp;utm_campaign="&amp;G111&amp;"&amp;utm_content="&amp;H111</f>
        <v>https://3webobs.com/?utm_source=directory&amp;utm_medium=referral&amp;utm_campaign=2610_ff_lansare&amp;utm_content=general</v>
      </c>
    </row>
    <row r="112" customFormat="false" ht="15" hidden="false" customHeight="false" outlineLevel="0" collapsed="false">
      <c r="A112" s="10" t="s">
        <v>55</v>
      </c>
      <c r="B112" s="10" t="str">
        <f aca="false">INDEX('Site-uri'!$B$2:$B$20,MATCH(A112,'Site-uri'!$A$2:$A$20,0))</f>
        <v>3webobs.com</v>
      </c>
      <c r="C112" s="10" t="s">
        <v>190</v>
      </c>
      <c r="D112" s="10" t="str">
        <f aca="false">INDEX(Canale!$C$2:$C$30,MATCH(C112,Canale!$A$2:$A$30,0))</f>
        <v>partner</v>
      </c>
      <c r="E112" s="10" t="str">
        <f aca="false">INDEX(Canale!$D$2:$D$30,MATCH(C112,Canale!$A$2:$A$30,0))</f>
        <v>partner</v>
      </c>
      <c r="F112" s="10" t="str">
        <f aca="false">INDEX('Site-uri'!$C$2:$C$20,MATCH(A112,'Site-uri'!$A$2:$A$20,0))</f>
        <v>/</v>
      </c>
      <c r="G112" s="10" t="str">
        <f aca="false">Config!$B$3</f>
        <v>2610_ff_lansare</v>
      </c>
      <c r="H112" s="10" t="str">
        <f aca="false">Config!$B$4</f>
        <v>general</v>
      </c>
      <c r="I112" s="10" t="str">
        <f aca="false">"https://"&amp;B112&amp;F112&amp;"?utm_source="&amp;D112&amp;"&amp;utm_medium="&amp;E112&amp;"&amp;utm_campaign="&amp;G112&amp;"&amp;utm_content="&amp;H112</f>
        <v>https://3webobs.com/?utm_source=partner&amp;utm_medium=partner&amp;utm_campaign=2610_ff_lansare&amp;utm_content=general</v>
      </c>
    </row>
    <row r="113" customFormat="false" ht="15" hidden="false" customHeight="false" outlineLevel="0" collapsed="false">
      <c r="A113" s="10" t="s">
        <v>55</v>
      </c>
      <c r="B113" s="10" t="str">
        <f aca="false">INDEX('Site-uri'!$B$2:$B$20,MATCH(A113,'Site-uri'!$A$2:$A$20,0))</f>
        <v>3webobs.com</v>
      </c>
      <c r="C113" s="10" t="s">
        <v>192</v>
      </c>
      <c r="D113" s="10" t="str">
        <f aca="false">INDEX(Canale!$C$2:$C$30,MATCH(C113,Canale!$A$2:$A$30,0))</f>
        <v>pdf_proposal</v>
      </c>
      <c r="E113" s="10" t="str">
        <f aca="false">INDEX(Canale!$D$2:$D$30,MATCH(C113,Canale!$A$2:$A$30,0))</f>
        <v>document</v>
      </c>
      <c r="F113" s="10" t="str">
        <f aca="false">INDEX('Site-uri'!$C$2:$C$20,MATCH(A113,'Site-uri'!$A$2:$A$20,0))</f>
        <v>/</v>
      </c>
      <c r="G113" s="10" t="str">
        <f aca="false">Config!$B$3</f>
        <v>2610_ff_lansare</v>
      </c>
      <c r="H113" s="10" t="str">
        <f aca="false">Config!$B$4</f>
        <v>general</v>
      </c>
      <c r="I113" s="10" t="str">
        <f aca="false">"https://"&amp;B113&amp;F113&amp;"?utm_source="&amp;D113&amp;"&amp;utm_medium="&amp;E113&amp;"&amp;utm_campaign="&amp;G113&amp;"&amp;utm_content="&amp;H113</f>
        <v>https://3webobs.com/?utm_source=pdf_proposal&amp;utm_medium=document&amp;utm_campaign=2610_ff_lansare&amp;utm_content=general</v>
      </c>
    </row>
    <row r="114" customFormat="false" ht="15" hidden="false" customHeight="false" outlineLevel="0" collapsed="false">
      <c r="A114" s="10" t="s">
        <v>55</v>
      </c>
      <c r="B114" s="10" t="str">
        <f aca="false">INDEX('Site-uri'!$B$2:$B$20,MATCH(A114,'Site-uri'!$A$2:$A$20,0))</f>
        <v>3webobs.com</v>
      </c>
      <c r="C114" s="10" t="s">
        <v>197</v>
      </c>
      <c r="D114" s="10" t="str">
        <f aca="false">INDEX(Canale!$C$2:$C$30,MATCH(C114,Canale!$A$2:$A$30,0))</f>
        <v>qr_print</v>
      </c>
      <c r="E114" s="10" t="str">
        <f aca="false">INDEX(Canale!$D$2:$D$30,MATCH(C114,Canale!$A$2:$A$30,0))</f>
        <v>qr</v>
      </c>
      <c r="F114" s="10" t="str">
        <f aca="false">INDEX('Site-uri'!$C$2:$C$20,MATCH(A114,'Site-uri'!$A$2:$A$20,0))</f>
        <v>/</v>
      </c>
      <c r="G114" s="10" t="str">
        <f aca="false">Config!$B$3</f>
        <v>2610_ff_lansare</v>
      </c>
      <c r="H114" s="10" t="str">
        <f aca="false">Config!$B$4</f>
        <v>general</v>
      </c>
      <c r="I114" s="10" t="str">
        <f aca="false">"https://"&amp;B114&amp;F114&amp;"?utm_source="&amp;D114&amp;"&amp;utm_medium="&amp;E114&amp;"&amp;utm_campaign="&amp;G114&amp;"&amp;utm_content="&amp;H114</f>
        <v>https://3webobs.com/?utm_source=qr_print&amp;utm_medium=qr&amp;utm_campaign=2610_ff_lansare&amp;utm_content=general</v>
      </c>
    </row>
    <row r="115" customFormat="false" ht="15" hidden="false" customHeight="false" outlineLevel="0" collapsed="false">
      <c r="A115" s="10" t="s">
        <v>55</v>
      </c>
      <c r="B115" s="10" t="str">
        <f aca="false">INDEX('Site-uri'!$B$2:$B$20,MATCH(A115,'Site-uri'!$A$2:$A$20,0))</f>
        <v>3webobs.com</v>
      </c>
      <c r="C115" s="10" t="s">
        <v>201</v>
      </c>
      <c r="D115" s="10" t="str">
        <f aca="false">INDEX(Canale!$C$2:$C$30,MATCH(C115,Canale!$A$2:$A$30,0))</f>
        <v>event</v>
      </c>
      <c r="E115" s="10" t="str">
        <f aca="false">INDEX(Canale!$D$2:$D$30,MATCH(C115,Canale!$A$2:$A$30,0))</f>
        <v>event</v>
      </c>
      <c r="F115" s="10" t="str">
        <f aca="false">INDEX('Site-uri'!$C$2:$C$20,MATCH(A115,'Site-uri'!$A$2:$A$20,0))</f>
        <v>/</v>
      </c>
      <c r="G115" s="10" t="str">
        <f aca="false">Config!$B$3</f>
        <v>2610_ff_lansare</v>
      </c>
      <c r="H115" s="10" t="str">
        <f aca="false">Config!$B$4</f>
        <v>general</v>
      </c>
      <c r="I115" s="10" t="str">
        <f aca="false">"https://"&amp;B115&amp;F115&amp;"?utm_source="&amp;D115&amp;"&amp;utm_medium="&amp;E115&amp;"&amp;utm_campaign="&amp;G115&amp;"&amp;utm_content="&amp;H115</f>
        <v>https://3webobs.com/?utm_source=event&amp;utm_medium=event&amp;utm_campaign=2610_ff_lansare&amp;utm_content=general</v>
      </c>
    </row>
    <row r="116" customFormat="false" ht="15" hidden="false" customHeight="false" outlineLevel="0" collapsed="false">
      <c r="A116" s="10" t="s">
        <v>55</v>
      </c>
      <c r="B116" s="10" t="str">
        <f aca="false">INDEX('Site-uri'!$B$2:$B$20,MATCH(A116,'Site-uri'!$A$2:$A$20,0))</f>
        <v>3webobs.com</v>
      </c>
      <c r="C116" s="10" t="s">
        <v>203</v>
      </c>
      <c r="D116" s="10" t="str">
        <f aca="false">INDEX(Canale!$C$2:$C$30,MATCH(C116,Canale!$A$2:$A$30,0))</f>
        <v>a2a_agent_card</v>
      </c>
      <c r="E116" s="10" t="str">
        <f aca="false">INDEX(Canale!$D$2:$D$30,MATCH(C116,Canale!$A$2:$A$30,0))</f>
        <v>agent</v>
      </c>
      <c r="F116" s="10" t="str">
        <f aca="false">INDEX('Site-uri'!$C$2:$C$20,MATCH(A116,'Site-uri'!$A$2:$A$20,0))</f>
        <v>/</v>
      </c>
      <c r="G116" s="10" t="str">
        <f aca="false">Config!$B$3</f>
        <v>2610_ff_lansare</v>
      </c>
      <c r="H116" s="10" t="str">
        <f aca="false">Config!$B$4</f>
        <v>general</v>
      </c>
      <c r="I116" s="10" t="str">
        <f aca="false">"https://"&amp;B116&amp;F116&amp;"?utm_source="&amp;D116&amp;"&amp;utm_medium="&amp;E116&amp;"&amp;utm_campaign="&amp;G116&amp;"&amp;utm_content="&amp;H116</f>
        <v>https://3webobs.com/?utm_source=a2a_agent_card&amp;utm_medium=agent&amp;utm_campaign=2610_ff_lansare&amp;utm_content=general</v>
      </c>
    </row>
    <row r="117" customFormat="false" ht="15" hidden="false" customHeight="false" outlineLevel="0" collapsed="false">
      <c r="A117" s="10" t="s">
        <v>55</v>
      </c>
      <c r="B117" s="10" t="str">
        <f aca="false">INDEX('Site-uri'!$B$2:$B$20,MATCH(A117,'Site-uri'!$A$2:$A$20,0))</f>
        <v>3webobs.com</v>
      </c>
      <c r="C117" s="10" t="s">
        <v>208</v>
      </c>
      <c r="D117" s="10" t="str">
        <f aca="false">INDEX(Canale!$C$2:$C$30,MATCH(C117,Canale!$A$2:$A$30,0))</f>
        <v>llms_txt</v>
      </c>
      <c r="E117" s="10" t="str">
        <f aca="false">INDEX(Canale!$D$2:$D$30,MATCH(C117,Canale!$A$2:$A$30,0))</f>
        <v>ai_web</v>
      </c>
      <c r="F117" s="10" t="str">
        <f aca="false">INDEX('Site-uri'!$C$2:$C$20,MATCH(A117,'Site-uri'!$A$2:$A$20,0))</f>
        <v>/</v>
      </c>
      <c r="G117" s="10" t="str">
        <f aca="false">Config!$B$3</f>
        <v>2610_ff_lansare</v>
      </c>
      <c r="H117" s="10" t="str">
        <f aca="false">Config!$B$4</f>
        <v>general</v>
      </c>
      <c r="I117" s="10" t="str">
        <f aca="false">"https://"&amp;B117&amp;F117&amp;"?utm_source="&amp;D117&amp;"&amp;utm_medium="&amp;E117&amp;"&amp;utm_campaign="&amp;G117&amp;"&amp;utm_content="&amp;H117</f>
        <v>https://3webobs.com/?utm_source=llms_txt&amp;utm_medium=ai_web&amp;utm_campaign=2610_ff_lansare&amp;utm_content=general</v>
      </c>
    </row>
    <row r="118" customFormat="false" ht="15" hidden="false" customHeight="false" outlineLevel="0" collapsed="false">
      <c r="A118" s="10" t="s">
        <v>58</v>
      </c>
      <c r="B118" s="10" t="str">
        <f aca="false">INDEX('Site-uri'!$B$2:$B$20,MATCH(A118,'Site-uri'!$A$2:$A$20,0))</f>
        <v>ai-lens.eu</v>
      </c>
      <c r="C118" s="10" t="s">
        <v>103</v>
      </c>
      <c r="D118" s="10" t="str">
        <f aca="false">INDEX(Canale!$C$2:$C$30,MATCH(C118,Canale!$A$2:$A$30,0))</f>
        <v>linkedin_personal</v>
      </c>
      <c r="E118" s="10" t="str">
        <f aca="false">INDEX(Canale!$D$2:$D$30,MATCH(C118,Canale!$A$2:$A$30,0))</f>
        <v>social</v>
      </c>
      <c r="F118" s="10" t="str">
        <f aca="false">INDEX('Site-uri'!$C$2:$C$20,MATCH(A118,'Site-uri'!$A$2:$A$20,0))</f>
        <v>/</v>
      </c>
      <c r="G118" s="10" t="str">
        <f aca="false">Config!$B$3</f>
        <v>2610_ff_lansare</v>
      </c>
      <c r="H118" s="10" t="str">
        <f aca="false">Config!$B$4</f>
        <v>general</v>
      </c>
      <c r="I118" s="10" t="str">
        <f aca="false">"https://"&amp;B118&amp;F118&amp;"?utm_source="&amp;D118&amp;"&amp;utm_medium="&amp;E118&amp;"&amp;utm_campaign="&amp;G118&amp;"&amp;utm_content="&amp;H118</f>
        <v>https://ai-lens.eu/?utm_source=linkedin_personal&amp;utm_medium=social&amp;utm_campaign=2610_ff_lansare&amp;utm_content=general</v>
      </c>
    </row>
    <row r="119" customFormat="false" ht="15" hidden="false" customHeight="false" outlineLevel="0" collapsed="false">
      <c r="A119" s="10" t="s">
        <v>58</v>
      </c>
      <c r="B119" s="10" t="str">
        <f aca="false">INDEX('Site-uri'!$B$2:$B$20,MATCH(A119,'Site-uri'!$A$2:$A$20,0))</f>
        <v>ai-lens.eu</v>
      </c>
      <c r="C119" s="10" t="s">
        <v>108</v>
      </c>
      <c r="D119" s="10" t="str">
        <f aca="false">INDEX(Canale!$C$2:$C$30,MATCH(C119,Canale!$A$2:$A$30,0))</f>
        <v>linkedin_company</v>
      </c>
      <c r="E119" s="10" t="str">
        <f aca="false">INDEX(Canale!$D$2:$D$30,MATCH(C119,Canale!$A$2:$A$30,0))</f>
        <v>social</v>
      </c>
      <c r="F119" s="10" t="str">
        <f aca="false">INDEX('Site-uri'!$C$2:$C$20,MATCH(A119,'Site-uri'!$A$2:$A$20,0))</f>
        <v>/</v>
      </c>
      <c r="G119" s="10" t="str">
        <f aca="false">Config!$B$3</f>
        <v>2610_ff_lansare</v>
      </c>
      <c r="H119" s="10" t="str">
        <f aca="false">Config!$B$4</f>
        <v>general</v>
      </c>
      <c r="I119" s="10" t="str">
        <f aca="false">"https://"&amp;B119&amp;F119&amp;"?utm_source="&amp;D119&amp;"&amp;utm_medium="&amp;E119&amp;"&amp;utm_campaign="&amp;G119&amp;"&amp;utm_content="&amp;H119</f>
        <v>https://ai-lens.eu/?utm_source=linkedin_company&amp;utm_medium=social&amp;utm_campaign=2610_ff_lansare&amp;utm_content=general</v>
      </c>
    </row>
    <row r="120" customFormat="false" ht="15" hidden="false" customHeight="false" outlineLevel="0" collapsed="false">
      <c r="A120" s="10" t="s">
        <v>58</v>
      </c>
      <c r="B120" s="10" t="str">
        <f aca="false">INDEX('Site-uri'!$B$2:$B$20,MATCH(A120,'Site-uri'!$A$2:$A$20,0))</f>
        <v>ai-lens.eu</v>
      </c>
      <c r="C120" s="10" t="s">
        <v>111</v>
      </c>
      <c r="D120" s="10" t="str">
        <f aca="false">INDEX(Canale!$C$2:$C$30,MATCH(C120,Canale!$A$2:$A$30,0))</f>
        <v>linkedin_showcase</v>
      </c>
      <c r="E120" s="10" t="str">
        <f aca="false">INDEX(Canale!$D$2:$D$30,MATCH(C120,Canale!$A$2:$A$30,0))</f>
        <v>social</v>
      </c>
      <c r="F120" s="10" t="str">
        <f aca="false">INDEX('Site-uri'!$C$2:$C$20,MATCH(A120,'Site-uri'!$A$2:$A$20,0))</f>
        <v>/</v>
      </c>
      <c r="G120" s="10" t="str">
        <f aca="false">Config!$B$3</f>
        <v>2610_ff_lansare</v>
      </c>
      <c r="H120" s="10" t="str">
        <f aca="false">Config!$B$4</f>
        <v>general</v>
      </c>
      <c r="I120" s="10" t="str">
        <f aca="false">"https://"&amp;B120&amp;F120&amp;"?utm_source="&amp;D120&amp;"&amp;utm_medium="&amp;E120&amp;"&amp;utm_campaign="&amp;G120&amp;"&amp;utm_content="&amp;H120</f>
        <v>https://ai-lens.eu/?utm_source=linkedin_showcase&amp;utm_medium=social&amp;utm_campaign=2610_ff_lansare&amp;utm_content=general</v>
      </c>
    </row>
    <row r="121" customFormat="false" ht="15" hidden="false" customHeight="false" outlineLevel="0" collapsed="false">
      <c r="A121" s="10" t="s">
        <v>58</v>
      </c>
      <c r="B121" s="10" t="str">
        <f aca="false">INDEX('Site-uri'!$B$2:$B$20,MATCH(A121,'Site-uri'!$A$2:$A$20,0))</f>
        <v>ai-lens.eu</v>
      </c>
      <c r="C121" s="10" t="s">
        <v>114</v>
      </c>
      <c r="D121" s="10" t="str">
        <f aca="false">INDEX(Canale!$C$2:$C$30,MATCH(C121,Canale!$A$2:$A$30,0))</f>
        <v>linkedin_newsletter</v>
      </c>
      <c r="E121" s="10" t="str">
        <f aca="false">INDEX(Canale!$D$2:$D$30,MATCH(C121,Canale!$A$2:$A$30,0))</f>
        <v>social</v>
      </c>
      <c r="F121" s="10" t="str">
        <f aca="false">INDEX('Site-uri'!$C$2:$C$20,MATCH(A121,'Site-uri'!$A$2:$A$20,0))</f>
        <v>/</v>
      </c>
      <c r="G121" s="10" t="str">
        <f aca="false">Config!$B$3</f>
        <v>2610_ff_lansare</v>
      </c>
      <c r="H121" s="10" t="str">
        <f aca="false">Config!$B$4</f>
        <v>general</v>
      </c>
      <c r="I121" s="10" t="str">
        <f aca="false">"https://"&amp;B121&amp;F121&amp;"?utm_source="&amp;D121&amp;"&amp;utm_medium="&amp;E121&amp;"&amp;utm_campaign="&amp;G121&amp;"&amp;utm_content="&amp;H121</f>
        <v>https://ai-lens.eu/?utm_source=linkedin_newsletter&amp;utm_medium=social&amp;utm_campaign=2610_ff_lansare&amp;utm_content=general</v>
      </c>
    </row>
    <row r="122" customFormat="false" ht="15" hidden="false" customHeight="false" outlineLevel="0" collapsed="false">
      <c r="A122" s="10" t="s">
        <v>58</v>
      </c>
      <c r="B122" s="10" t="str">
        <f aca="false">INDEX('Site-uri'!$B$2:$B$20,MATCH(A122,'Site-uri'!$A$2:$A$20,0))</f>
        <v>ai-lens.eu</v>
      </c>
      <c r="C122" s="10" t="s">
        <v>117</v>
      </c>
      <c r="D122" s="10" t="str">
        <f aca="false">INDEX(Canale!$C$2:$C$30,MATCH(C122,Canale!$A$2:$A$30,0))</f>
        <v>linkedin_ads</v>
      </c>
      <c r="E122" s="10" t="str">
        <f aca="false">INDEX(Canale!$D$2:$D$30,MATCH(C122,Canale!$A$2:$A$30,0))</f>
        <v>paid_social</v>
      </c>
      <c r="F122" s="10" t="str">
        <f aca="false">INDEX('Site-uri'!$C$2:$C$20,MATCH(A122,'Site-uri'!$A$2:$A$20,0))</f>
        <v>/</v>
      </c>
      <c r="G122" s="10" t="str">
        <f aca="false">Config!$B$3</f>
        <v>2610_ff_lansare</v>
      </c>
      <c r="H122" s="10" t="str">
        <f aca="false">Config!$B$4</f>
        <v>general</v>
      </c>
      <c r="I122" s="10" t="str">
        <f aca="false">"https://"&amp;B122&amp;F122&amp;"?utm_source="&amp;D122&amp;"&amp;utm_medium="&amp;E122&amp;"&amp;utm_campaign="&amp;G122&amp;"&amp;utm_content="&amp;H122</f>
        <v>https://ai-lens.eu/?utm_source=linkedin_ads&amp;utm_medium=paid_social&amp;utm_campaign=2610_ff_lansare&amp;utm_content=general</v>
      </c>
    </row>
    <row r="123" customFormat="false" ht="15" hidden="false" customHeight="false" outlineLevel="0" collapsed="false">
      <c r="A123" s="10" t="s">
        <v>58</v>
      </c>
      <c r="B123" s="10" t="str">
        <f aca="false">INDEX('Site-uri'!$B$2:$B$20,MATCH(A123,'Site-uri'!$A$2:$A$20,0))</f>
        <v>ai-lens.eu</v>
      </c>
      <c r="C123" s="10" t="s">
        <v>121</v>
      </c>
      <c r="D123" s="10" t="str">
        <f aca="false">INDEX(Canale!$C$2:$C$30,MATCH(C123,Canale!$A$2:$A$30,0))</f>
        <v>linkedin_dm</v>
      </c>
      <c r="E123" s="10" t="str">
        <f aca="false">INDEX(Canale!$D$2:$D$30,MATCH(C123,Canale!$A$2:$A$30,0))</f>
        <v>dm</v>
      </c>
      <c r="F123" s="10" t="str">
        <f aca="false">INDEX('Site-uri'!$C$2:$C$20,MATCH(A123,'Site-uri'!$A$2:$A$20,0))</f>
        <v>/</v>
      </c>
      <c r="G123" s="10" t="str">
        <f aca="false">Config!$B$3</f>
        <v>2610_ff_lansare</v>
      </c>
      <c r="H123" s="10" t="str">
        <f aca="false">Config!$B$4</f>
        <v>general</v>
      </c>
      <c r="I123" s="10" t="str">
        <f aca="false">"https://"&amp;B123&amp;F123&amp;"?utm_source="&amp;D123&amp;"&amp;utm_medium="&amp;E123&amp;"&amp;utm_campaign="&amp;G123&amp;"&amp;utm_content="&amp;H123</f>
        <v>https://ai-lens.eu/?utm_source=linkedin_dm&amp;utm_medium=dm&amp;utm_campaign=2610_ff_lansare&amp;utm_content=general</v>
      </c>
    </row>
    <row r="124" customFormat="false" ht="15" hidden="false" customHeight="false" outlineLevel="0" collapsed="false">
      <c r="A124" s="10" t="s">
        <v>58</v>
      </c>
      <c r="B124" s="10" t="str">
        <f aca="false">INDEX('Site-uri'!$B$2:$B$20,MATCH(A124,'Site-uri'!$A$2:$A$20,0))</f>
        <v>ai-lens.eu</v>
      </c>
      <c r="C124" s="10" t="s">
        <v>125</v>
      </c>
      <c r="D124" s="10" t="str">
        <f aca="false">INDEX(Canale!$C$2:$C$30,MATCH(C124,Canale!$A$2:$A$30,0))</f>
        <v>email_outreach</v>
      </c>
      <c r="E124" s="10" t="str">
        <f aca="false">INDEX(Canale!$D$2:$D$30,MATCH(C124,Canale!$A$2:$A$30,0))</f>
        <v>email</v>
      </c>
      <c r="F124" s="10" t="str">
        <f aca="false">INDEX('Site-uri'!$C$2:$C$20,MATCH(A124,'Site-uri'!$A$2:$A$20,0))</f>
        <v>/</v>
      </c>
      <c r="G124" s="10" t="str">
        <f aca="false">Config!$B$3</f>
        <v>2610_ff_lansare</v>
      </c>
      <c r="H124" s="10" t="str">
        <f aca="false">Config!$B$4</f>
        <v>general</v>
      </c>
      <c r="I124" s="10" t="str">
        <f aca="false">"https://"&amp;B124&amp;F124&amp;"?utm_source="&amp;D124&amp;"&amp;utm_medium="&amp;E124&amp;"&amp;utm_campaign="&amp;G124&amp;"&amp;utm_content="&amp;H124</f>
        <v>https://ai-lens.eu/?utm_source=email_outreach&amp;utm_medium=email&amp;utm_campaign=2610_ff_lansare&amp;utm_content=general</v>
      </c>
    </row>
    <row r="125" customFormat="false" ht="15" hidden="false" customHeight="false" outlineLevel="0" collapsed="false">
      <c r="A125" s="10" t="s">
        <v>58</v>
      </c>
      <c r="B125" s="10" t="str">
        <f aca="false">INDEX('Site-uri'!$B$2:$B$20,MATCH(A125,'Site-uri'!$A$2:$A$20,0))</f>
        <v>ai-lens.eu</v>
      </c>
      <c r="C125" s="10" t="s">
        <v>130</v>
      </c>
      <c r="D125" s="10" t="str">
        <f aca="false">INDEX(Canale!$C$2:$C$30,MATCH(C125,Canale!$A$2:$A$30,0))</f>
        <v>newsletter</v>
      </c>
      <c r="E125" s="10" t="str">
        <f aca="false">INDEX(Canale!$D$2:$D$30,MATCH(C125,Canale!$A$2:$A$30,0))</f>
        <v>email</v>
      </c>
      <c r="F125" s="10" t="str">
        <f aca="false">INDEX('Site-uri'!$C$2:$C$20,MATCH(A125,'Site-uri'!$A$2:$A$20,0))</f>
        <v>/</v>
      </c>
      <c r="G125" s="10" t="str">
        <f aca="false">Config!$B$3</f>
        <v>2610_ff_lansare</v>
      </c>
      <c r="H125" s="10" t="str">
        <f aca="false">Config!$B$4</f>
        <v>general</v>
      </c>
      <c r="I125" s="10" t="str">
        <f aca="false">"https://"&amp;B125&amp;F125&amp;"?utm_source="&amp;D125&amp;"&amp;utm_medium="&amp;E125&amp;"&amp;utm_campaign="&amp;G125&amp;"&amp;utm_content="&amp;H125</f>
        <v>https://ai-lens.eu/?utm_source=newsletter&amp;utm_medium=email&amp;utm_campaign=2610_ff_lansare&amp;utm_content=general</v>
      </c>
    </row>
    <row r="126" customFormat="false" ht="15" hidden="false" customHeight="false" outlineLevel="0" collapsed="false">
      <c r="A126" s="10" t="s">
        <v>58</v>
      </c>
      <c r="B126" s="10" t="str">
        <f aca="false">INDEX('Site-uri'!$B$2:$B$20,MATCH(A126,'Site-uri'!$A$2:$A$20,0))</f>
        <v>ai-lens.eu</v>
      </c>
      <c r="C126" s="10" t="s">
        <v>133</v>
      </c>
      <c r="D126" s="10" t="str">
        <f aca="false">INDEX(Canale!$C$2:$C$30,MATCH(C126,Canale!$A$2:$A$30,0))</f>
        <v>email_signature</v>
      </c>
      <c r="E126" s="10" t="str">
        <f aca="false">INDEX(Canale!$D$2:$D$30,MATCH(C126,Canale!$A$2:$A$30,0))</f>
        <v>email</v>
      </c>
      <c r="F126" s="10" t="str">
        <f aca="false">INDEX('Site-uri'!$C$2:$C$20,MATCH(A126,'Site-uri'!$A$2:$A$20,0))</f>
        <v>/</v>
      </c>
      <c r="G126" s="10" t="str">
        <f aca="false">Config!$B$3</f>
        <v>2610_ff_lansare</v>
      </c>
      <c r="H126" s="10" t="str">
        <f aca="false">Config!$B$4</f>
        <v>general</v>
      </c>
      <c r="I126" s="10" t="str">
        <f aca="false">"https://"&amp;B126&amp;F126&amp;"?utm_source="&amp;D126&amp;"&amp;utm_medium="&amp;E126&amp;"&amp;utm_campaign="&amp;G126&amp;"&amp;utm_content="&amp;H126</f>
        <v>https://ai-lens.eu/?utm_source=email_signature&amp;utm_medium=email&amp;utm_campaign=2610_ff_lansare&amp;utm_content=general</v>
      </c>
    </row>
    <row r="127" customFormat="false" ht="15" hidden="false" customHeight="false" outlineLevel="0" collapsed="false">
      <c r="A127" s="10" t="s">
        <v>58</v>
      </c>
      <c r="B127" s="10" t="str">
        <f aca="false">INDEX('Site-uri'!$B$2:$B$20,MATCH(A127,'Site-uri'!$A$2:$A$20,0))</f>
        <v>ai-lens.eu</v>
      </c>
      <c r="C127" s="10" t="s">
        <v>136</v>
      </c>
      <c r="D127" s="10" t="str">
        <f aca="false">INDEX(Canale!$C$2:$C$30,MATCH(C127,Canale!$A$2:$A$30,0))</f>
        <v>whatsapp</v>
      </c>
      <c r="E127" s="10" t="str">
        <f aca="false">INDEX(Canale!$D$2:$D$30,MATCH(C127,Canale!$A$2:$A$30,0))</f>
        <v>dm</v>
      </c>
      <c r="F127" s="10" t="str">
        <f aca="false">INDEX('Site-uri'!$C$2:$C$20,MATCH(A127,'Site-uri'!$A$2:$A$20,0))</f>
        <v>/</v>
      </c>
      <c r="G127" s="10" t="str">
        <f aca="false">Config!$B$3</f>
        <v>2610_ff_lansare</v>
      </c>
      <c r="H127" s="10" t="str">
        <f aca="false">Config!$B$4</f>
        <v>general</v>
      </c>
      <c r="I127" s="10" t="str">
        <f aca="false">"https://"&amp;B127&amp;F127&amp;"?utm_source="&amp;D127&amp;"&amp;utm_medium="&amp;E127&amp;"&amp;utm_campaign="&amp;G127&amp;"&amp;utm_content="&amp;H127</f>
        <v>https://ai-lens.eu/?utm_source=whatsapp&amp;utm_medium=dm&amp;utm_campaign=2610_ff_lansare&amp;utm_content=general</v>
      </c>
    </row>
    <row r="128" customFormat="false" ht="15" hidden="false" customHeight="false" outlineLevel="0" collapsed="false">
      <c r="A128" s="10" t="s">
        <v>58</v>
      </c>
      <c r="B128" s="10" t="str">
        <f aca="false">INDEX('Site-uri'!$B$2:$B$20,MATCH(A128,'Site-uri'!$A$2:$A$20,0))</f>
        <v>ai-lens.eu</v>
      </c>
      <c r="C128" s="10" t="s">
        <v>140</v>
      </c>
      <c r="D128" s="10" t="str">
        <f aca="false">INDEX(Canale!$C$2:$C$30,MATCH(C128,Canale!$A$2:$A$30,0))</f>
        <v>google</v>
      </c>
      <c r="E128" s="10" t="str">
        <f aca="false">INDEX(Canale!$D$2:$D$30,MATCH(C128,Canale!$A$2:$A$30,0))</f>
        <v>cpc</v>
      </c>
      <c r="F128" s="10" t="str">
        <f aca="false">INDEX('Site-uri'!$C$2:$C$20,MATCH(A128,'Site-uri'!$A$2:$A$20,0))</f>
        <v>/</v>
      </c>
      <c r="G128" s="10" t="str">
        <f aca="false">Config!$B$3</f>
        <v>2610_ff_lansare</v>
      </c>
      <c r="H128" s="10" t="str">
        <f aca="false">Config!$B$4</f>
        <v>general</v>
      </c>
      <c r="I128" s="10" t="str">
        <f aca="false">"https://"&amp;B128&amp;F128&amp;"?utm_source="&amp;D128&amp;"&amp;utm_medium="&amp;E128&amp;"&amp;utm_campaign="&amp;G128&amp;"&amp;utm_content="&amp;H128</f>
        <v>https://ai-lens.eu/?utm_source=google&amp;utm_medium=cpc&amp;utm_campaign=2610_ff_lansare&amp;utm_content=general</v>
      </c>
    </row>
    <row r="129" customFormat="false" ht="15" hidden="false" customHeight="false" outlineLevel="0" collapsed="false">
      <c r="A129" s="10" t="s">
        <v>58</v>
      </c>
      <c r="B129" s="10" t="str">
        <f aca="false">INDEX('Site-uri'!$B$2:$B$20,MATCH(A129,'Site-uri'!$A$2:$A$20,0))</f>
        <v>ai-lens.eu</v>
      </c>
      <c r="C129" s="10" t="s">
        <v>145</v>
      </c>
      <c r="D129" s="10" t="str">
        <f aca="false">INDEX(Canale!$C$2:$C$30,MATCH(C129,Canale!$A$2:$A$30,0))</f>
        <v>bing</v>
      </c>
      <c r="E129" s="10" t="str">
        <f aca="false">INDEX(Canale!$D$2:$D$30,MATCH(C129,Canale!$A$2:$A$30,0))</f>
        <v>cpc</v>
      </c>
      <c r="F129" s="10" t="str">
        <f aca="false">INDEX('Site-uri'!$C$2:$C$20,MATCH(A129,'Site-uri'!$A$2:$A$20,0))</f>
        <v>/</v>
      </c>
      <c r="G129" s="10" t="str">
        <f aca="false">Config!$B$3</f>
        <v>2610_ff_lansare</v>
      </c>
      <c r="H129" s="10" t="str">
        <f aca="false">Config!$B$4</f>
        <v>general</v>
      </c>
      <c r="I129" s="10" t="str">
        <f aca="false">"https://"&amp;B129&amp;F129&amp;"?utm_source="&amp;D129&amp;"&amp;utm_medium="&amp;E129&amp;"&amp;utm_campaign="&amp;G129&amp;"&amp;utm_content="&amp;H129</f>
        <v>https://ai-lens.eu/?utm_source=bing&amp;utm_medium=cpc&amp;utm_campaign=2610_ff_lansare&amp;utm_content=general</v>
      </c>
    </row>
    <row r="130" customFormat="false" ht="15" hidden="false" customHeight="false" outlineLevel="0" collapsed="false">
      <c r="A130" s="10" t="s">
        <v>58</v>
      </c>
      <c r="B130" s="10" t="str">
        <f aca="false">INDEX('Site-uri'!$B$2:$B$20,MATCH(A130,'Site-uri'!$A$2:$A$20,0))</f>
        <v>ai-lens.eu</v>
      </c>
      <c r="C130" s="10" t="s">
        <v>148</v>
      </c>
      <c r="D130" s="10" t="str">
        <f aca="false">INDEX(Canale!$C$2:$C$30,MATCH(C130,Canale!$A$2:$A$30,0))</f>
        <v>facebook</v>
      </c>
      <c r="E130" s="10" t="str">
        <f aca="false">INDEX(Canale!$D$2:$D$30,MATCH(C130,Canale!$A$2:$A$30,0))</f>
        <v>social</v>
      </c>
      <c r="F130" s="10" t="str">
        <f aca="false">INDEX('Site-uri'!$C$2:$C$20,MATCH(A130,'Site-uri'!$A$2:$A$20,0))</f>
        <v>/</v>
      </c>
      <c r="G130" s="10" t="str">
        <f aca="false">Config!$B$3</f>
        <v>2610_ff_lansare</v>
      </c>
      <c r="H130" s="10" t="str">
        <f aca="false">Config!$B$4</f>
        <v>general</v>
      </c>
      <c r="I130" s="10" t="str">
        <f aca="false">"https://"&amp;B130&amp;F130&amp;"?utm_source="&amp;D130&amp;"&amp;utm_medium="&amp;E130&amp;"&amp;utm_campaign="&amp;G130&amp;"&amp;utm_content="&amp;H130</f>
        <v>https://ai-lens.eu/?utm_source=facebook&amp;utm_medium=social&amp;utm_campaign=2610_ff_lansare&amp;utm_content=general</v>
      </c>
    </row>
    <row r="131" customFormat="false" ht="15" hidden="false" customHeight="false" outlineLevel="0" collapsed="false">
      <c r="A131" s="10" t="s">
        <v>58</v>
      </c>
      <c r="B131" s="10" t="str">
        <f aca="false">INDEX('Site-uri'!$B$2:$B$20,MATCH(A131,'Site-uri'!$A$2:$A$20,0))</f>
        <v>ai-lens.eu</v>
      </c>
      <c r="C131" s="10" t="s">
        <v>152</v>
      </c>
      <c r="D131" s="10" t="str">
        <f aca="false">INDEX(Canale!$C$2:$C$30,MATCH(C131,Canale!$A$2:$A$30,0))</f>
        <v>x</v>
      </c>
      <c r="E131" s="10" t="str">
        <f aca="false">INDEX(Canale!$D$2:$D$30,MATCH(C131,Canale!$A$2:$A$30,0))</f>
        <v>social</v>
      </c>
      <c r="F131" s="10" t="str">
        <f aca="false">INDEX('Site-uri'!$C$2:$C$20,MATCH(A131,'Site-uri'!$A$2:$A$20,0))</f>
        <v>/</v>
      </c>
      <c r="G131" s="10" t="str">
        <f aca="false">Config!$B$3</f>
        <v>2610_ff_lansare</v>
      </c>
      <c r="H131" s="10" t="str">
        <f aca="false">Config!$B$4</f>
        <v>general</v>
      </c>
      <c r="I131" s="10" t="str">
        <f aca="false">"https://"&amp;B131&amp;F131&amp;"?utm_source="&amp;D131&amp;"&amp;utm_medium="&amp;E131&amp;"&amp;utm_campaign="&amp;G131&amp;"&amp;utm_content="&amp;H131</f>
        <v>https://ai-lens.eu/?utm_source=x&amp;utm_medium=social&amp;utm_campaign=2610_ff_lansare&amp;utm_content=general</v>
      </c>
    </row>
    <row r="132" customFormat="false" ht="15" hidden="false" customHeight="false" outlineLevel="0" collapsed="false">
      <c r="A132" s="10" t="s">
        <v>58</v>
      </c>
      <c r="B132" s="10" t="str">
        <f aca="false">INDEX('Site-uri'!$B$2:$B$20,MATCH(A132,'Site-uri'!$A$2:$A$20,0))</f>
        <v>ai-lens.eu</v>
      </c>
      <c r="C132" s="10" t="s">
        <v>154</v>
      </c>
      <c r="D132" s="10" t="str">
        <f aca="false">INDEX(Canale!$C$2:$C$30,MATCH(C132,Canale!$A$2:$A$30,0))</f>
        <v>youtube</v>
      </c>
      <c r="E132" s="10" t="str">
        <f aca="false">INDEX(Canale!$D$2:$D$30,MATCH(C132,Canale!$A$2:$A$30,0))</f>
        <v>video</v>
      </c>
      <c r="F132" s="10" t="str">
        <f aca="false">INDEX('Site-uri'!$C$2:$C$20,MATCH(A132,'Site-uri'!$A$2:$A$20,0))</f>
        <v>/</v>
      </c>
      <c r="G132" s="10" t="str">
        <f aca="false">Config!$B$3</f>
        <v>2610_ff_lansare</v>
      </c>
      <c r="H132" s="10" t="str">
        <f aca="false">Config!$B$4</f>
        <v>general</v>
      </c>
      <c r="I132" s="10" t="str">
        <f aca="false">"https://"&amp;B132&amp;F132&amp;"?utm_source="&amp;D132&amp;"&amp;utm_medium="&amp;E132&amp;"&amp;utm_campaign="&amp;G132&amp;"&amp;utm_content="&amp;H132</f>
        <v>https://ai-lens.eu/?utm_source=youtube&amp;utm_medium=video&amp;utm_campaign=2610_ff_lansare&amp;utm_content=general</v>
      </c>
    </row>
    <row r="133" customFormat="false" ht="15" hidden="false" customHeight="false" outlineLevel="0" collapsed="false">
      <c r="A133" s="10" t="s">
        <v>58</v>
      </c>
      <c r="B133" s="10" t="str">
        <f aca="false">INDEX('Site-uri'!$B$2:$B$20,MATCH(A133,'Site-uri'!$A$2:$A$20,0))</f>
        <v>ai-lens.eu</v>
      </c>
      <c r="C133" s="10" t="s">
        <v>159</v>
      </c>
      <c r="D133" s="10" t="str">
        <f aca="false">INDEX(Canale!$C$2:$C$30,MATCH(C133,Canale!$A$2:$A$30,0))</f>
        <v>medium</v>
      </c>
      <c r="E133" s="10" t="str">
        <f aca="false">INDEX(Canale!$D$2:$D$30,MATCH(C133,Canale!$A$2:$A$30,0))</f>
        <v>content</v>
      </c>
      <c r="F133" s="10" t="str">
        <f aca="false">INDEX('Site-uri'!$C$2:$C$20,MATCH(A133,'Site-uri'!$A$2:$A$20,0))</f>
        <v>/</v>
      </c>
      <c r="G133" s="10" t="str">
        <f aca="false">Config!$B$3</f>
        <v>2610_ff_lansare</v>
      </c>
      <c r="H133" s="10" t="str">
        <f aca="false">Config!$B$4</f>
        <v>general</v>
      </c>
      <c r="I133" s="10" t="str">
        <f aca="false">"https://"&amp;B133&amp;F133&amp;"?utm_source="&amp;D133&amp;"&amp;utm_medium="&amp;E133&amp;"&amp;utm_campaign="&amp;G133&amp;"&amp;utm_content="&amp;H133</f>
        <v>https://ai-lens.eu/?utm_source=medium&amp;utm_medium=content&amp;utm_campaign=2610_ff_lansare&amp;utm_content=general</v>
      </c>
    </row>
    <row r="134" customFormat="false" ht="15" hidden="false" customHeight="false" outlineLevel="0" collapsed="false">
      <c r="A134" s="10" t="s">
        <v>58</v>
      </c>
      <c r="B134" s="10" t="str">
        <f aca="false">INDEX('Site-uri'!$B$2:$B$20,MATCH(A134,'Site-uri'!$A$2:$A$20,0))</f>
        <v>ai-lens.eu</v>
      </c>
      <c r="C134" s="10" t="s">
        <v>164</v>
      </c>
      <c r="D134" s="10" t="str">
        <f aca="false">INDEX(Canale!$C$2:$C$30,MATCH(C134,Canale!$A$2:$A$30,0))</f>
        <v>crunchbase</v>
      </c>
      <c r="E134" s="10" t="str">
        <f aca="false">INDEX(Canale!$D$2:$D$30,MATCH(C134,Canale!$A$2:$A$30,0))</f>
        <v>referral</v>
      </c>
      <c r="F134" s="10" t="str">
        <f aca="false">INDEX('Site-uri'!$C$2:$C$20,MATCH(A134,'Site-uri'!$A$2:$A$20,0))</f>
        <v>/</v>
      </c>
      <c r="G134" s="10" t="str">
        <f aca="false">Config!$B$3</f>
        <v>2610_ff_lansare</v>
      </c>
      <c r="H134" s="10" t="str">
        <f aca="false">Config!$B$4</f>
        <v>general</v>
      </c>
      <c r="I134" s="10" t="str">
        <f aca="false">"https://"&amp;B134&amp;F134&amp;"?utm_source="&amp;D134&amp;"&amp;utm_medium="&amp;E134&amp;"&amp;utm_campaign="&amp;G134&amp;"&amp;utm_content="&amp;H134</f>
        <v>https://ai-lens.eu/?utm_source=crunchbase&amp;utm_medium=referral&amp;utm_campaign=2610_ff_lansare&amp;utm_content=general</v>
      </c>
    </row>
    <row r="135" customFormat="false" ht="15" hidden="false" customHeight="false" outlineLevel="0" collapsed="false">
      <c r="A135" s="10" t="s">
        <v>58</v>
      </c>
      <c r="B135" s="10" t="str">
        <f aca="false">INDEX('Site-uri'!$B$2:$B$20,MATCH(A135,'Site-uri'!$A$2:$A$20,0))</f>
        <v>ai-lens.eu</v>
      </c>
      <c r="C135" s="10" t="s">
        <v>169</v>
      </c>
      <c r="D135" s="10" t="str">
        <f aca="false">INDEX(Canale!$C$2:$C$30,MATCH(C135,Canale!$A$2:$A$30,0))</f>
        <v>zenodo</v>
      </c>
      <c r="E135" s="10" t="str">
        <f aca="false">INDEX(Canale!$D$2:$D$30,MATCH(C135,Canale!$A$2:$A$30,0))</f>
        <v>referral</v>
      </c>
      <c r="F135" s="10" t="str">
        <f aca="false">INDEX('Site-uri'!$C$2:$C$20,MATCH(A135,'Site-uri'!$A$2:$A$20,0))</f>
        <v>/</v>
      </c>
      <c r="G135" s="10" t="str">
        <f aca="false">Config!$B$3</f>
        <v>2610_ff_lansare</v>
      </c>
      <c r="H135" s="10" t="str">
        <f aca="false">Config!$B$4</f>
        <v>general</v>
      </c>
      <c r="I135" s="10" t="str">
        <f aca="false">"https://"&amp;B135&amp;F135&amp;"?utm_source="&amp;D135&amp;"&amp;utm_medium="&amp;E135&amp;"&amp;utm_campaign="&amp;G135&amp;"&amp;utm_content="&amp;H135</f>
        <v>https://ai-lens.eu/?utm_source=zenodo&amp;utm_medium=referral&amp;utm_campaign=2610_ff_lansare&amp;utm_content=general</v>
      </c>
    </row>
    <row r="136" customFormat="false" ht="15" hidden="false" customHeight="false" outlineLevel="0" collapsed="false">
      <c r="A136" s="10" t="s">
        <v>58</v>
      </c>
      <c r="B136" s="10" t="str">
        <f aca="false">INDEX('Site-uri'!$B$2:$B$20,MATCH(A136,'Site-uri'!$A$2:$A$20,0))</f>
        <v>ai-lens.eu</v>
      </c>
      <c r="C136" s="10" t="s">
        <v>172</v>
      </c>
      <c r="D136" s="10" t="str">
        <f aca="false">INDEX(Canale!$C$2:$C$30,MATCH(C136,Canale!$A$2:$A$30,0))</f>
        <v>orcid</v>
      </c>
      <c r="E136" s="10" t="str">
        <f aca="false">INDEX(Canale!$D$2:$D$30,MATCH(C136,Canale!$A$2:$A$30,0))</f>
        <v>referral</v>
      </c>
      <c r="F136" s="10" t="str">
        <f aca="false">INDEX('Site-uri'!$C$2:$C$20,MATCH(A136,'Site-uri'!$A$2:$A$20,0))</f>
        <v>/</v>
      </c>
      <c r="G136" s="10" t="str">
        <f aca="false">Config!$B$3</f>
        <v>2610_ff_lansare</v>
      </c>
      <c r="H136" s="10" t="str">
        <f aca="false">Config!$B$4</f>
        <v>general</v>
      </c>
      <c r="I136" s="10" t="str">
        <f aca="false">"https://"&amp;B136&amp;F136&amp;"?utm_source="&amp;D136&amp;"&amp;utm_medium="&amp;E136&amp;"&amp;utm_campaign="&amp;G136&amp;"&amp;utm_content="&amp;H136</f>
        <v>https://ai-lens.eu/?utm_source=orcid&amp;utm_medium=referral&amp;utm_campaign=2610_ff_lansare&amp;utm_content=general</v>
      </c>
    </row>
    <row r="137" customFormat="false" ht="15" hidden="false" customHeight="false" outlineLevel="0" collapsed="false">
      <c r="A137" s="10" t="s">
        <v>58</v>
      </c>
      <c r="B137" s="10" t="str">
        <f aca="false">INDEX('Site-uri'!$B$2:$B$20,MATCH(A137,'Site-uri'!$A$2:$A$20,0))</f>
        <v>ai-lens.eu</v>
      </c>
      <c r="C137" s="10" t="s">
        <v>175</v>
      </c>
      <c r="D137" s="10" t="str">
        <f aca="false">INDEX(Canale!$C$2:$C$30,MATCH(C137,Canale!$A$2:$A$30,0))</f>
        <v>github</v>
      </c>
      <c r="E137" s="10" t="str">
        <f aca="false">INDEX(Canale!$D$2:$D$30,MATCH(C137,Canale!$A$2:$A$30,0))</f>
        <v>referral</v>
      </c>
      <c r="F137" s="10" t="str">
        <f aca="false">INDEX('Site-uri'!$C$2:$C$20,MATCH(A137,'Site-uri'!$A$2:$A$20,0))</f>
        <v>/</v>
      </c>
      <c r="G137" s="10" t="str">
        <f aca="false">Config!$B$3</f>
        <v>2610_ff_lansare</v>
      </c>
      <c r="H137" s="10" t="str">
        <f aca="false">Config!$B$4</f>
        <v>general</v>
      </c>
      <c r="I137" s="10" t="str">
        <f aca="false">"https://"&amp;B137&amp;F137&amp;"?utm_source="&amp;D137&amp;"&amp;utm_medium="&amp;E137&amp;"&amp;utm_campaign="&amp;G137&amp;"&amp;utm_content="&amp;H137</f>
        <v>https://ai-lens.eu/?utm_source=github&amp;utm_medium=referral&amp;utm_campaign=2610_ff_lansare&amp;utm_content=general</v>
      </c>
    </row>
    <row r="138" customFormat="false" ht="15" hidden="false" customHeight="false" outlineLevel="0" collapsed="false">
      <c r="A138" s="10" t="s">
        <v>58</v>
      </c>
      <c r="B138" s="10" t="str">
        <f aca="false">INDEX('Site-uri'!$B$2:$B$20,MATCH(A138,'Site-uri'!$A$2:$A$20,0))</f>
        <v>ai-lens.eu</v>
      </c>
      <c r="C138" s="10" t="s">
        <v>178</v>
      </c>
      <c r="D138" s="10" t="str">
        <f aca="false">INDEX(Canale!$C$2:$C$30,MATCH(C138,Canale!$A$2:$A$30,0))</f>
        <v>kdp_book</v>
      </c>
      <c r="E138" s="10" t="str">
        <f aca="false">INDEX(Canale!$D$2:$D$30,MATCH(C138,Canale!$A$2:$A$30,0))</f>
        <v>book</v>
      </c>
      <c r="F138" s="10" t="str">
        <f aca="false">INDEX('Site-uri'!$C$2:$C$20,MATCH(A138,'Site-uri'!$A$2:$A$20,0))</f>
        <v>/</v>
      </c>
      <c r="G138" s="10" t="str">
        <f aca="false">Config!$B$3</f>
        <v>2610_ff_lansare</v>
      </c>
      <c r="H138" s="10" t="str">
        <f aca="false">Config!$B$4</f>
        <v>general</v>
      </c>
      <c r="I138" s="10" t="str">
        <f aca="false">"https://"&amp;B138&amp;F138&amp;"?utm_source="&amp;D138&amp;"&amp;utm_medium="&amp;E138&amp;"&amp;utm_campaign="&amp;G138&amp;"&amp;utm_content="&amp;H138</f>
        <v>https://ai-lens.eu/?utm_source=kdp_book&amp;utm_medium=book&amp;utm_campaign=2610_ff_lansare&amp;utm_content=general</v>
      </c>
    </row>
    <row r="139" customFormat="false" ht="15" hidden="false" customHeight="false" outlineLevel="0" collapsed="false">
      <c r="A139" s="10" t="s">
        <v>58</v>
      </c>
      <c r="B139" s="10" t="str">
        <f aca="false">INDEX('Site-uri'!$B$2:$B$20,MATCH(A139,'Site-uri'!$A$2:$A$20,0))</f>
        <v>ai-lens.eu</v>
      </c>
      <c r="C139" s="10" t="s">
        <v>183</v>
      </c>
      <c r="D139" s="10" t="str">
        <f aca="false">INDEX(Canale!$C$2:$C$30,MATCH(C139,Canale!$A$2:$A$30,0))</f>
        <v>udemy</v>
      </c>
      <c r="E139" s="10" t="str">
        <f aca="false">INDEX(Canale!$D$2:$D$30,MATCH(C139,Canale!$A$2:$A$30,0))</f>
        <v>course</v>
      </c>
      <c r="F139" s="10" t="str">
        <f aca="false">INDEX('Site-uri'!$C$2:$C$20,MATCH(A139,'Site-uri'!$A$2:$A$20,0))</f>
        <v>/</v>
      </c>
      <c r="G139" s="10" t="str">
        <f aca="false">Config!$B$3</f>
        <v>2610_ff_lansare</v>
      </c>
      <c r="H139" s="10" t="str">
        <f aca="false">Config!$B$4</f>
        <v>general</v>
      </c>
      <c r="I139" s="10" t="str">
        <f aca="false">"https://"&amp;B139&amp;F139&amp;"?utm_source="&amp;D139&amp;"&amp;utm_medium="&amp;E139&amp;"&amp;utm_campaign="&amp;G139&amp;"&amp;utm_content="&amp;H139</f>
        <v>https://ai-lens.eu/?utm_source=udemy&amp;utm_medium=course&amp;utm_campaign=2610_ff_lansare&amp;utm_content=general</v>
      </c>
    </row>
    <row r="140" customFormat="false" ht="15" hidden="false" customHeight="false" outlineLevel="0" collapsed="false">
      <c r="A140" s="10" t="s">
        <v>58</v>
      </c>
      <c r="B140" s="10" t="str">
        <f aca="false">INDEX('Site-uri'!$B$2:$B$20,MATCH(A140,'Site-uri'!$A$2:$A$20,0))</f>
        <v>ai-lens.eu</v>
      </c>
      <c r="C140" s="10" t="s">
        <v>186</v>
      </c>
      <c r="D140" s="10" t="str">
        <f aca="false">INDEX(Canale!$C$2:$C$30,MATCH(C140,Canale!$A$2:$A$30,0))</f>
        <v>directory</v>
      </c>
      <c r="E140" s="10" t="str">
        <f aca="false">INDEX(Canale!$D$2:$D$30,MATCH(C140,Canale!$A$2:$A$30,0))</f>
        <v>referral</v>
      </c>
      <c r="F140" s="10" t="str">
        <f aca="false">INDEX('Site-uri'!$C$2:$C$20,MATCH(A140,'Site-uri'!$A$2:$A$20,0))</f>
        <v>/</v>
      </c>
      <c r="G140" s="10" t="str">
        <f aca="false">Config!$B$3</f>
        <v>2610_ff_lansare</v>
      </c>
      <c r="H140" s="10" t="str">
        <f aca="false">Config!$B$4</f>
        <v>general</v>
      </c>
      <c r="I140" s="10" t="str">
        <f aca="false">"https://"&amp;B140&amp;F140&amp;"?utm_source="&amp;D140&amp;"&amp;utm_medium="&amp;E140&amp;"&amp;utm_campaign="&amp;G140&amp;"&amp;utm_content="&amp;H140</f>
        <v>https://ai-lens.eu/?utm_source=directory&amp;utm_medium=referral&amp;utm_campaign=2610_ff_lansare&amp;utm_content=general</v>
      </c>
    </row>
    <row r="141" customFormat="false" ht="15" hidden="false" customHeight="false" outlineLevel="0" collapsed="false">
      <c r="A141" s="10" t="s">
        <v>58</v>
      </c>
      <c r="B141" s="10" t="str">
        <f aca="false">INDEX('Site-uri'!$B$2:$B$20,MATCH(A141,'Site-uri'!$A$2:$A$20,0))</f>
        <v>ai-lens.eu</v>
      </c>
      <c r="C141" s="10" t="s">
        <v>190</v>
      </c>
      <c r="D141" s="10" t="str">
        <f aca="false">INDEX(Canale!$C$2:$C$30,MATCH(C141,Canale!$A$2:$A$30,0))</f>
        <v>partner</v>
      </c>
      <c r="E141" s="10" t="str">
        <f aca="false">INDEX(Canale!$D$2:$D$30,MATCH(C141,Canale!$A$2:$A$30,0))</f>
        <v>partner</v>
      </c>
      <c r="F141" s="10" t="str">
        <f aca="false">INDEX('Site-uri'!$C$2:$C$20,MATCH(A141,'Site-uri'!$A$2:$A$20,0))</f>
        <v>/</v>
      </c>
      <c r="G141" s="10" t="str">
        <f aca="false">Config!$B$3</f>
        <v>2610_ff_lansare</v>
      </c>
      <c r="H141" s="10" t="str">
        <f aca="false">Config!$B$4</f>
        <v>general</v>
      </c>
      <c r="I141" s="10" t="str">
        <f aca="false">"https://"&amp;B141&amp;F141&amp;"?utm_source="&amp;D141&amp;"&amp;utm_medium="&amp;E141&amp;"&amp;utm_campaign="&amp;G141&amp;"&amp;utm_content="&amp;H141</f>
        <v>https://ai-lens.eu/?utm_source=partner&amp;utm_medium=partner&amp;utm_campaign=2610_ff_lansare&amp;utm_content=general</v>
      </c>
    </row>
    <row r="142" customFormat="false" ht="15" hidden="false" customHeight="false" outlineLevel="0" collapsed="false">
      <c r="A142" s="10" t="s">
        <v>58</v>
      </c>
      <c r="B142" s="10" t="str">
        <f aca="false">INDEX('Site-uri'!$B$2:$B$20,MATCH(A142,'Site-uri'!$A$2:$A$20,0))</f>
        <v>ai-lens.eu</v>
      </c>
      <c r="C142" s="10" t="s">
        <v>192</v>
      </c>
      <c r="D142" s="10" t="str">
        <f aca="false">INDEX(Canale!$C$2:$C$30,MATCH(C142,Canale!$A$2:$A$30,0))</f>
        <v>pdf_proposal</v>
      </c>
      <c r="E142" s="10" t="str">
        <f aca="false">INDEX(Canale!$D$2:$D$30,MATCH(C142,Canale!$A$2:$A$30,0))</f>
        <v>document</v>
      </c>
      <c r="F142" s="10" t="str">
        <f aca="false">INDEX('Site-uri'!$C$2:$C$20,MATCH(A142,'Site-uri'!$A$2:$A$20,0))</f>
        <v>/</v>
      </c>
      <c r="G142" s="10" t="str">
        <f aca="false">Config!$B$3</f>
        <v>2610_ff_lansare</v>
      </c>
      <c r="H142" s="10" t="str">
        <f aca="false">Config!$B$4</f>
        <v>general</v>
      </c>
      <c r="I142" s="10" t="str">
        <f aca="false">"https://"&amp;B142&amp;F142&amp;"?utm_source="&amp;D142&amp;"&amp;utm_medium="&amp;E142&amp;"&amp;utm_campaign="&amp;G142&amp;"&amp;utm_content="&amp;H142</f>
        <v>https://ai-lens.eu/?utm_source=pdf_proposal&amp;utm_medium=document&amp;utm_campaign=2610_ff_lansare&amp;utm_content=general</v>
      </c>
    </row>
    <row r="143" customFormat="false" ht="15" hidden="false" customHeight="false" outlineLevel="0" collapsed="false">
      <c r="A143" s="10" t="s">
        <v>58</v>
      </c>
      <c r="B143" s="10" t="str">
        <f aca="false">INDEX('Site-uri'!$B$2:$B$20,MATCH(A143,'Site-uri'!$A$2:$A$20,0))</f>
        <v>ai-lens.eu</v>
      </c>
      <c r="C143" s="10" t="s">
        <v>197</v>
      </c>
      <c r="D143" s="10" t="str">
        <f aca="false">INDEX(Canale!$C$2:$C$30,MATCH(C143,Canale!$A$2:$A$30,0))</f>
        <v>qr_print</v>
      </c>
      <c r="E143" s="10" t="str">
        <f aca="false">INDEX(Canale!$D$2:$D$30,MATCH(C143,Canale!$A$2:$A$30,0))</f>
        <v>qr</v>
      </c>
      <c r="F143" s="10" t="str">
        <f aca="false">INDEX('Site-uri'!$C$2:$C$20,MATCH(A143,'Site-uri'!$A$2:$A$20,0))</f>
        <v>/</v>
      </c>
      <c r="G143" s="10" t="str">
        <f aca="false">Config!$B$3</f>
        <v>2610_ff_lansare</v>
      </c>
      <c r="H143" s="10" t="str">
        <f aca="false">Config!$B$4</f>
        <v>general</v>
      </c>
      <c r="I143" s="10" t="str">
        <f aca="false">"https://"&amp;B143&amp;F143&amp;"?utm_source="&amp;D143&amp;"&amp;utm_medium="&amp;E143&amp;"&amp;utm_campaign="&amp;G143&amp;"&amp;utm_content="&amp;H143</f>
        <v>https://ai-lens.eu/?utm_source=qr_print&amp;utm_medium=qr&amp;utm_campaign=2610_ff_lansare&amp;utm_content=general</v>
      </c>
    </row>
    <row r="144" customFormat="false" ht="15" hidden="false" customHeight="false" outlineLevel="0" collapsed="false">
      <c r="A144" s="10" t="s">
        <v>58</v>
      </c>
      <c r="B144" s="10" t="str">
        <f aca="false">INDEX('Site-uri'!$B$2:$B$20,MATCH(A144,'Site-uri'!$A$2:$A$20,0))</f>
        <v>ai-lens.eu</v>
      </c>
      <c r="C144" s="10" t="s">
        <v>201</v>
      </c>
      <c r="D144" s="10" t="str">
        <f aca="false">INDEX(Canale!$C$2:$C$30,MATCH(C144,Canale!$A$2:$A$30,0))</f>
        <v>event</v>
      </c>
      <c r="E144" s="10" t="str">
        <f aca="false">INDEX(Canale!$D$2:$D$30,MATCH(C144,Canale!$A$2:$A$30,0))</f>
        <v>event</v>
      </c>
      <c r="F144" s="10" t="str">
        <f aca="false">INDEX('Site-uri'!$C$2:$C$20,MATCH(A144,'Site-uri'!$A$2:$A$20,0))</f>
        <v>/</v>
      </c>
      <c r="G144" s="10" t="str">
        <f aca="false">Config!$B$3</f>
        <v>2610_ff_lansare</v>
      </c>
      <c r="H144" s="10" t="str">
        <f aca="false">Config!$B$4</f>
        <v>general</v>
      </c>
      <c r="I144" s="10" t="str">
        <f aca="false">"https://"&amp;B144&amp;F144&amp;"?utm_source="&amp;D144&amp;"&amp;utm_medium="&amp;E144&amp;"&amp;utm_campaign="&amp;G144&amp;"&amp;utm_content="&amp;H144</f>
        <v>https://ai-lens.eu/?utm_source=event&amp;utm_medium=event&amp;utm_campaign=2610_ff_lansare&amp;utm_content=general</v>
      </c>
    </row>
    <row r="145" customFormat="false" ht="15" hidden="false" customHeight="false" outlineLevel="0" collapsed="false">
      <c r="A145" s="10" t="s">
        <v>58</v>
      </c>
      <c r="B145" s="10" t="str">
        <f aca="false">INDEX('Site-uri'!$B$2:$B$20,MATCH(A145,'Site-uri'!$A$2:$A$20,0))</f>
        <v>ai-lens.eu</v>
      </c>
      <c r="C145" s="10" t="s">
        <v>203</v>
      </c>
      <c r="D145" s="10" t="str">
        <f aca="false">INDEX(Canale!$C$2:$C$30,MATCH(C145,Canale!$A$2:$A$30,0))</f>
        <v>a2a_agent_card</v>
      </c>
      <c r="E145" s="10" t="str">
        <f aca="false">INDEX(Canale!$D$2:$D$30,MATCH(C145,Canale!$A$2:$A$30,0))</f>
        <v>agent</v>
      </c>
      <c r="F145" s="10" t="str">
        <f aca="false">INDEX('Site-uri'!$C$2:$C$20,MATCH(A145,'Site-uri'!$A$2:$A$20,0))</f>
        <v>/</v>
      </c>
      <c r="G145" s="10" t="str">
        <f aca="false">Config!$B$3</f>
        <v>2610_ff_lansare</v>
      </c>
      <c r="H145" s="10" t="str">
        <f aca="false">Config!$B$4</f>
        <v>general</v>
      </c>
      <c r="I145" s="10" t="str">
        <f aca="false">"https://"&amp;B145&amp;F145&amp;"?utm_source="&amp;D145&amp;"&amp;utm_medium="&amp;E145&amp;"&amp;utm_campaign="&amp;G145&amp;"&amp;utm_content="&amp;H145</f>
        <v>https://ai-lens.eu/?utm_source=a2a_agent_card&amp;utm_medium=agent&amp;utm_campaign=2610_ff_lansare&amp;utm_content=general</v>
      </c>
    </row>
    <row r="146" customFormat="false" ht="15" hidden="false" customHeight="false" outlineLevel="0" collapsed="false">
      <c r="A146" s="10" t="s">
        <v>58</v>
      </c>
      <c r="B146" s="10" t="str">
        <f aca="false">INDEX('Site-uri'!$B$2:$B$20,MATCH(A146,'Site-uri'!$A$2:$A$20,0))</f>
        <v>ai-lens.eu</v>
      </c>
      <c r="C146" s="10" t="s">
        <v>208</v>
      </c>
      <c r="D146" s="10" t="str">
        <f aca="false">INDEX(Canale!$C$2:$C$30,MATCH(C146,Canale!$A$2:$A$30,0))</f>
        <v>llms_txt</v>
      </c>
      <c r="E146" s="10" t="str">
        <f aca="false">INDEX(Canale!$D$2:$D$30,MATCH(C146,Canale!$A$2:$A$30,0))</f>
        <v>ai_web</v>
      </c>
      <c r="F146" s="10" t="str">
        <f aca="false">INDEX('Site-uri'!$C$2:$C$20,MATCH(A146,'Site-uri'!$A$2:$A$20,0))</f>
        <v>/</v>
      </c>
      <c r="G146" s="10" t="str">
        <f aca="false">Config!$B$3</f>
        <v>2610_ff_lansare</v>
      </c>
      <c r="H146" s="10" t="str">
        <f aca="false">Config!$B$4</f>
        <v>general</v>
      </c>
      <c r="I146" s="10" t="str">
        <f aca="false">"https://"&amp;B146&amp;F146&amp;"?utm_source="&amp;D146&amp;"&amp;utm_medium="&amp;E146&amp;"&amp;utm_campaign="&amp;G146&amp;"&amp;utm_content="&amp;H146</f>
        <v>https://ai-lens.eu/?utm_source=llms_txt&amp;utm_medium=ai_web&amp;utm_campaign=2610_ff_lansare&amp;utm_content=general</v>
      </c>
    </row>
    <row r="147" customFormat="false" ht="15" hidden="false" customHeight="false" outlineLevel="0" collapsed="false">
      <c r="A147" s="10" t="s">
        <v>61</v>
      </c>
      <c r="B147" s="10" t="str">
        <f aca="false">INDEX('Site-uri'!$B$2:$B$20,MATCH(A147,'Site-uri'!$A$2:$A$20,0))</f>
        <v>aireadyinjector.com</v>
      </c>
      <c r="C147" s="10" t="s">
        <v>103</v>
      </c>
      <c r="D147" s="10" t="str">
        <f aca="false">INDEX(Canale!$C$2:$C$30,MATCH(C147,Canale!$A$2:$A$30,0))</f>
        <v>linkedin_personal</v>
      </c>
      <c r="E147" s="10" t="str">
        <f aca="false">INDEX(Canale!$D$2:$D$30,MATCH(C147,Canale!$A$2:$A$30,0))</f>
        <v>social</v>
      </c>
      <c r="F147" s="10" t="str">
        <f aca="false">INDEX('Site-uri'!$C$2:$C$20,MATCH(A147,'Site-uri'!$A$2:$A$20,0))</f>
        <v>/</v>
      </c>
      <c r="G147" s="10" t="str">
        <f aca="false">Config!$B$3</f>
        <v>2610_ff_lansare</v>
      </c>
      <c r="H147" s="10" t="str">
        <f aca="false">Config!$B$4</f>
        <v>general</v>
      </c>
      <c r="I147" s="10" t="str">
        <f aca="false">"https://"&amp;B147&amp;F147&amp;"?utm_source="&amp;D147&amp;"&amp;utm_medium="&amp;E147&amp;"&amp;utm_campaign="&amp;G147&amp;"&amp;utm_content="&amp;H147</f>
        <v>https://aireadyinjector.com/?utm_source=linkedin_personal&amp;utm_medium=social&amp;utm_campaign=2610_ff_lansare&amp;utm_content=general</v>
      </c>
    </row>
    <row r="148" customFormat="false" ht="15" hidden="false" customHeight="false" outlineLevel="0" collapsed="false">
      <c r="A148" s="10" t="s">
        <v>61</v>
      </c>
      <c r="B148" s="10" t="str">
        <f aca="false">INDEX('Site-uri'!$B$2:$B$20,MATCH(A148,'Site-uri'!$A$2:$A$20,0))</f>
        <v>aireadyinjector.com</v>
      </c>
      <c r="C148" s="10" t="s">
        <v>108</v>
      </c>
      <c r="D148" s="10" t="str">
        <f aca="false">INDEX(Canale!$C$2:$C$30,MATCH(C148,Canale!$A$2:$A$30,0))</f>
        <v>linkedin_company</v>
      </c>
      <c r="E148" s="10" t="str">
        <f aca="false">INDEX(Canale!$D$2:$D$30,MATCH(C148,Canale!$A$2:$A$30,0))</f>
        <v>social</v>
      </c>
      <c r="F148" s="10" t="str">
        <f aca="false">INDEX('Site-uri'!$C$2:$C$20,MATCH(A148,'Site-uri'!$A$2:$A$20,0))</f>
        <v>/</v>
      </c>
      <c r="G148" s="10" t="str">
        <f aca="false">Config!$B$3</f>
        <v>2610_ff_lansare</v>
      </c>
      <c r="H148" s="10" t="str">
        <f aca="false">Config!$B$4</f>
        <v>general</v>
      </c>
      <c r="I148" s="10" t="str">
        <f aca="false">"https://"&amp;B148&amp;F148&amp;"?utm_source="&amp;D148&amp;"&amp;utm_medium="&amp;E148&amp;"&amp;utm_campaign="&amp;G148&amp;"&amp;utm_content="&amp;H148</f>
        <v>https://aireadyinjector.com/?utm_source=linkedin_company&amp;utm_medium=social&amp;utm_campaign=2610_ff_lansare&amp;utm_content=general</v>
      </c>
    </row>
    <row r="149" customFormat="false" ht="15" hidden="false" customHeight="false" outlineLevel="0" collapsed="false">
      <c r="A149" s="10" t="s">
        <v>61</v>
      </c>
      <c r="B149" s="10" t="str">
        <f aca="false">INDEX('Site-uri'!$B$2:$B$20,MATCH(A149,'Site-uri'!$A$2:$A$20,0))</f>
        <v>aireadyinjector.com</v>
      </c>
      <c r="C149" s="10" t="s">
        <v>111</v>
      </c>
      <c r="D149" s="10" t="str">
        <f aca="false">INDEX(Canale!$C$2:$C$30,MATCH(C149,Canale!$A$2:$A$30,0))</f>
        <v>linkedin_showcase</v>
      </c>
      <c r="E149" s="10" t="str">
        <f aca="false">INDEX(Canale!$D$2:$D$30,MATCH(C149,Canale!$A$2:$A$30,0))</f>
        <v>social</v>
      </c>
      <c r="F149" s="10" t="str">
        <f aca="false">INDEX('Site-uri'!$C$2:$C$20,MATCH(A149,'Site-uri'!$A$2:$A$20,0))</f>
        <v>/</v>
      </c>
      <c r="G149" s="10" t="str">
        <f aca="false">Config!$B$3</f>
        <v>2610_ff_lansare</v>
      </c>
      <c r="H149" s="10" t="str">
        <f aca="false">Config!$B$4</f>
        <v>general</v>
      </c>
      <c r="I149" s="10" t="str">
        <f aca="false">"https://"&amp;B149&amp;F149&amp;"?utm_source="&amp;D149&amp;"&amp;utm_medium="&amp;E149&amp;"&amp;utm_campaign="&amp;G149&amp;"&amp;utm_content="&amp;H149</f>
        <v>https://aireadyinjector.com/?utm_source=linkedin_showcase&amp;utm_medium=social&amp;utm_campaign=2610_ff_lansare&amp;utm_content=general</v>
      </c>
    </row>
    <row r="150" customFormat="false" ht="15" hidden="false" customHeight="false" outlineLevel="0" collapsed="false">
      <c r="A150" s="10" t="s">
        <v>61</v>
      </c>
      <c r="B150" s="10" t="str">
        <f aca="false">INDEX('Site-uri'!$B$2:$B$20,MATCH(A150,'Site-uri'!$A$2:$A$20,0))</f>
        <v>aireadyinjector.com</v>
      </c>
      <c r="C150" s="10" t="s">
        <v>114</v>
      </c>
      <c r="D150" s="10" t="str">
        <f aca="false">INDEX(Canale!$C$2:$C$30,MATCH(C150,Canale!$A$2:$A$30,0))</f>
        <v>linkedin_newsletter</v>
      </c>
      <c r="E150" s="10" t="str">
        <f aca="false">INDEX(Canale!$D$2:$D$30,MATCH(C150,Canale!$A$2:$A$30,0))</f>
        <v>social</v>
      </c>
      <c r="F150" s="10" t="str">
        <f aca="false">INDEX('Site-uri'!$C$2:$C$20,MATCH(A150,'Site-uri'!$A$2:$A$20,0))</f>
        <v>/</v>
      </c>
      <c r="G150" s="10" t="str">
        <f aca="false">Config!$B$3</f>
        <v>2610_ff_lansare</v>
      </c>
      <c r="H150" s="10" t="str">
        <f aca="false">Config!$B$4</f>
        <v>general</v>
      </c>
      <c r="I150" s="10" t="str">
        <f aca="false">"https://"&amp;B150&amp;F150&amp;"?utm_source="&amp;D150&amp;"&amp;utm_medium="&amp;E150&amp;"&amp;utm_campaign="&amp;G150&amp;"&amp;utm_content="&amp;H150</f>
        <v>https://aireadyinjector.com/?utm_source=linkedin_newsletter&amp;utm_medium=social&amp;utm_campaign=2610_ff_lansare&amp;utm_content=general</v>
      </c>
    </row>
    <row r="151" customFormat="false" ht="15" hidden="false" customHeight="false" outlineLevel="0" collapsed="false">
      <c r="A151" s="10" t="s">
        <v>61</v>
      </c>
      <c r="B151" s="10" t="str">
        <f aca="false">INDEX('Site-uri'!$B$2:$B$20,MATCH(A151,'Site-uri'!$A$2:$A$20,0))</f>
        <v>aireadyinjector.com</v>
      </c>
      <c r="C151" s="10" t="s">
        <v>117</v>
      </c>
      <c r="D151" s="10" t="str">
        <f aca="false">INDEX(Canale!$C$2:$C$30,MATCH(C151,Canale!$A$2:$A$30,0))</f>
        <v>linkedin_ads</v>
      </c>
      <c r="E151" s="10" t="str">
        <f aca="false">INDEX(Canale!$D$2:$D$30,MATCH(C151,Canale!$A$2:$A$30,0))</f>
        <v>paid_social</v>
      </c>
      <c r="F151" s="10" t="str">
        <f aca="false">INDEX('Site-uri'!$C$2:$C$20,MATCH(A151,'Site-uri'!$A$2:$A$20,0))</f>
        <v>/</v>
      </c>
      <c r="G151" s="10" t="str">
        <f aca="false">Config!$B$3</f>
        <v>2610_ff_lansare</v>
      </c>
      <c r="H151" s="10" t="str">
        <f aca="false">Config!$B$4</f>
        <v>general</v>
      </c>
      <c r="I151" s="10" t="str">
        <f aca="false">"https://"&amp;B151&amp;F151&amp;"?utm_source="&amp;D151&amp;"&amp;utm_medium="&amp;E151&amp;"&amp;utm_campaign="&amp;G151&amp;"&amp;utm_content="&amp;H151</f>
        <v>https://aireadyinjector.com/?utm_source=linkedin_ads&amp;utm_medium=paid_social&amp;utm_campaign=2610_ff_lansare&amp;utm_content=general</v>
      </c>
    </row>
    <row r="152" customFormat="false" ht="15" hidden="false" customHeight="false" outlineLevel="0" collapsed="false">
      <c r="A152" s="10" t="s">
        <v>61</v>
      </c>
      <c r="B152" s="10" t="str">
        <f aca="false">INDEX('Site-uri'!$B$2:$B$20,MATCH(A152,'Site-uri'!$A$2:$A$20,0))</f>
        <v>aireadyinjector.com</v>
      </c>
      <c r="C152" s="10" t="s">
        <v>121</v>
      </c>
      <c r="D152" s="10" t="str">
        <f aca="false">INDEX(Canale!$C$2:$C$30,MATCH(C152,Canale!$A$2:$A$30,0))</f>
        <v>linkedin_dm</v>
      </c>
      <c r="E152" s="10" t="str">
        <f aca="false">INDEX(Canale!$D$2:$D$30,MATCH(C152,Canale!$A$2:$A$30,0))</f>
        <v>dm</v>
      </c>
      <c r="F152" s="10" t="str">
        <f aca="false">INDEX('Site-uri'!$C$2:$C$20,MATCH(A152,'Site-uri'!$A$2:$A$20,0))</f>
        <v>/</v>
      </c>
      <c r="G152" s="10" t="str">
        <f aca="false">Config!$B$3</f>
        <v>2610_ff_lansare</v>
      </c>
      <c r="H152" s="10" t="str">
        <f aca="false">Config!$B$4</f>
        <v>general</v>
      </c>
      <c r="I152" s="10" t="str">
        <f aca="false">"https://"&amp;B152&amp;F152&amp;"?utm_source="&amp;D152&amp;"&amp;utm_medium="&amp;E152&amp;"&amp;utm_campaign="&amp;G152&amp;"&amp;utm_content="&amp;H152</f>
        <v>https://aireadyinjector.com/?utm_source=linkedin_dm&amp;utm_medium=dm&amp;utm_campaign=2610_ff_lansare&amp;utm_content=general</v>
      </c>
    </row>
    <row r="153" customFormat="false" ht="15" hidden="false" customHeight="false" outlineLevel="0" collapsed="false">
      <c r="A153" s="10" t="s">
        <v>61</v>
      </c>
      <c r="B153" s="10" t="str">
        <f aca="false">INDEX('Site-uri'!$B$2:$B$20,MATCH(A153,'Site-uri'!$A$2:$A$20,0))</f>
        <v>aireadyinjector.com</v>
      </c>
      <c r="C153" s="10" t="s">
        <v>125</v>
      </c>
      <c r="D153" s="10" t="str">
        <f aca="false">INDEX(Canale!$C$2:$C$30,MATCH(C153,Canale!$A$2:$A$30,0))</f>
        <v>email_outreach</v>
      </c>
      <c r="E153" s="10" t="str">
        <f aca="false">INDEX(Canale!$D$2:$D$30,MATCH(C153,Canale!$A$2:$A$30,0))</f>
        <v>email</v>
      </c>
      <c r="F153" s="10" t="str">
        <f aca="false">INDEX('Site-uri'!$C$2:$C$20,MATCH(A153,'Site-uri'!$A$2:$A$20,0))</f>
        <v>/</v>
      </c>
      <c r="G153" s="10" t="str">
        <f aca="false">Config!$B$3</f>
        <v>2610_ff_lansare</v>
      </c>
      <c r="H153" s="10" t="str">
        <f aca="false">Config!$B$4</f>
        <v>general</v>
      </c>
      <c r="I153" s="10" t="str">
        <f aca="false">"https://"&amp;B153&amp;F153&amp;"?utm_source="&amp;D153&amp;"&amp;utm_medium="&amp;E153&amp;"&amp;utm_campaign="&amp;G153&amp;"&amp;utm_content="&amp;H153</f>
        <v>https://aireadyinjector.com/?utm_source=email_outreach&amp;utm_medium=email&amp;utm_campaign=2610_ff_lansare&amp;utm_content=general</v>
      </c>
    </row>
    <row r="154" customFormat="false" ht="15" hidden="false" customHeight="false" outlineLevel="0" collapsed="false">
      <c r="A154" s="10" t="s">
        <v>61</v>
      </c>
      <c r="B154" s="10" t="str">
        <f aca="false">INDEX('Site-uri'!$B$2:$B$20,MATCH(A154,'Site-uri'!$A$2:$A$20,0))</f>
        <v>aireadyinjector.com</v>
      </c>
      <c r="C154" s="10" t="s">
        <v>130</v>
      </c>
      <c r="D154" s="10" t="str">
        <f aca="false">INDEX(Canale!$C$2:$C$30,MATCH(C154,Canale!$A$2:$A$30,0))</f>
        <v>newsletter</v>
      </c>
      <c r="E154" s="10" t="str">
        <f aca="false">INDEX(Canale!$D$2:$D$30,MATCH(C154,Canale!$A$2:$A$30,0))</f>
        <v>email</v>
      </c>
      <c r="F154" s="10" t="str">
        <f aca="false">INDEX('Site-uri'!$C$2:$C$20,MATCH(A154,'Site-uri'!$A$2:$A$20,0))</f>
        <v>/</v>
      </c>
      <c r="G154" s="10" t="str">
        <f aca="false">Config!$B$3</f>
        <v>2610_ff_lansare</v>
      </c>
      <c r="H154" s="10" t="str">
        <f aca="false">Config!$B$4</f>
        <v>general</v>
      </c>
      <c r="I154" s="10" t="str">
        <f aca="false">"https://"&amp;B154&amp;F154&amp;"?utm_source="&amp;D154&amp;"&amp;utm_medium="&amp;E154&amp;"&amp;utm_campaign="&amp;G154&amp;"&amp;utm_content="&amp;H154</f>
        <v>https://aireadyinjector.com/?utm_source=newsletter&amp;utm_medium=email&amp;utm_campaign=2610_ff_lansare&amp;utm_content=general</v>
      </c>
    </row>
    <row r="155" customFormat="false" ht="15" hidden="false" customHeight="false" outlineLevel="0" collapsed="false">
      <c r="A155" s="10" t="s">
        <v>61</v>
      </c>
      <c r="B155" s="10" t="str">
        <f aca="false">INDEX('Site-uri'!$B$2:$B$20,MATCH(A155,'Site-uri'!$A$2:$A$20,0))</f>
        <v>aireadyinjector.com</v>
      </c>
      <c r="C155" s="10" t="s">
        <v>133</v>
      </c>
      <c r="D155" s="10" t="str">
        <f aca="false">INDEX(Canale!$C$2:$C$30,MATCH(C155,Canale!$A$2:$A$30,0))</f>
        <v>email_signature</v>
      </c>
      <c r="E155" s="10" t="str">
        <f aca="false">INDEX(Canale!$D$2:$D$30,MATCH(C155,Canale!$A$2:$A$30,0))</f>
        <v>email</v>
      </c>
      <c r="F155" s="10" t="str">
        <f aca="false">INDEX('Site-uri'!$C$2:$C$20,MATCH(A155,'Site-uri'!$A$2:$A$20,0))</f>
        <v>/</v>
      </c>
      <c r="G155" s="10" t="str">
        <f aca="false">Config!$B$3</f>
        <v>2610_ff_lansare</v>
      </c>
      <c r="H155" s="10" t="str">
        <f aca="false">Config!$B$4</f>
        <v>general</v>
      </c>
      <c r="I155" s="10" t="str">
        <f aca="false">"https://"&amp;B155&amp;F155&amp;"?utm_source="&amp;D155&amp;"&amp;utm_medium="&amp;E155&amp;"&amp;utm_campaign="&amp;G155&amp;"&amp;utm_content="&amp;H155</f>
        <v>https://aireadyinjector.com/?utm_source=email_signature&amp;utm_medium=email&amp;utm_campaign=2610_ff_lansare&amp;utm_content=general</v>
      </c>
    </row>
    <row r="156" customFormat="false" ht="15" hidden="false" customHeight="false" outlineLevel="0" collapsed="false">
      <c r="A156" s="10" t="s">
        <v>61</v>
      </c>
      <c r="B156" s="10" t="str">
        <f aca="false">INDEX('Site-uri'!$B$2:$B$20,MATCH(A156,'Site-uri'!$A$2:$A$20,0))</f>
        <v>aireadyinjector.com</v>
      </c>
      <c r="C156" s="10" t="s">
        <v>136</v>
      </c>
      <c r="D156" s="10" t="str">
        <f aca="false">INDEX(Canale!$C$2:$C$30,MATCH(C156,Canale!$A$2:$A$30,0))</f>
        <v>whatsapp</v>
      </c>
      <c r="E156" s="10" t="str">
        <f aca="false">INDEX(Canale!$D$2:$D$30,MATCH(C156,Canale!$A$2:$A$30,0))</f>
        <v>dm</v>
      </c>
      <c r="F156" s="10" t="str">
        <f aca="false">INDEX('Site-uri'!$C$2:$C$20,MATCH(A156,'Site-uri'!$A$2:$A$20,0))</f>
        <v>/</v>
      </c>
      <c r="G156" s="10" t="str">
        <f aca="false">Config!$B$3</f>
        <v>2610_ff_lansare</v>
      </c>
      <c r="H156" s="10" t="str">
        <f aca="false">Config!$B$4</f>
        <v>general</v>
      </c>
      <c r="I156" s="10" t="str">
        <f aca="false">"https://"&amp;B156&amp;F156&amp;"?utm_source="&amp;D156&amp;"&amp;utm_medium="&amp;E156&amp;"&amp;utm_campaign="&amp;G156&amp;"&amp;utm_content="&amp;H156</f>
        <v>https://aireadyinjector.com/?utm_source=whatsapp&amp;utm_medium=dm&amp;utm_campaign=2610_ff_lansare&amp;utm_content=general</v>
      </c>
    </row>
    <row r="157" customFormat="false" ht="15" hidden="false" customHeight="false" outlineLevel="0" collapsed="false">
      <c r="A157" s="10" t="s">
        <v>61</v>
      </c>
      <c r="B157" s="10" t="str">
        <f aca="false">INDEX('Site-uri'!$B$2:$B$20,MATCH(A157,'Site-uri'!$A$2:$A$20,0))</f>
        <v>aireadyinjector.com</v>
      </c>
      <c r="C157" s="10" t="s">
        <v>140</v>
      </c>
      <c r="D157" s="10" t="str">
        <f aca="false">INDEX(Canale!$C$2:$C$30,MATCH(C157,Canale!$A$2:$A$30,0))</f>
        <v>google</v>
      </c>
      <c r="E157" s="10" t="str">
        <f aca="false">INDEX(Canale!$D$2:$D$30,MATCH(C157,Canale!$A$2:$A$30,0))</f>
        <v>cpc</v>
      </c>
      <c r="F157" s="10" t="str">
        <f aca="false">INDEX('Site-uri'!$C$2:$C$20,MATCH(A157,'Site-uri'!$A$2:$A$20,0))</f>
        <v>/</v>
      </c>
      <c r="G157" s="10" t="str">
        <f aca="false">Config!$B$3</f>
        <v>2610_ff_lansare</v>
      </c>
      <c r="H157" s="10" t="str">
        <f aca="false">Config!$B$4</f>
        <v>general</v>
      </c>
      <c r="I157" s="10" t="str">
        <f aca="false">"https://"&amp;B157&amp;F157&amp;"?utm_source="&amp;D157&amp;"&amp;utm_medium="&amp;E157&amp;"&amp;utm_campaign="&amp;G157&amp;"&amp;utm_content="&amp;H157</f>
        <v>https://aireadyinjector.com/?utm_source=google&amp;utm_medium=cpc&amp;utm_campaign=2610_ff_lansare&amp;utm_content=general</v>
      </c>
    </row>
    <row r="158" customFormat="false" ht="15" hidden="false" customHeight="false" outlineLevel="0" collapsed="false">
      <c r="A158" s="10" t="s">
        <v>61</v>
      </c>
      <c r="B158" s="10" t="str">
        <f aca="false">INDEX('Site-uri'!$B$2:$B$20,MATCH(A158,'Site-uri'!$A$2:$A$20,0))</f>
        <v>aireadyinjector.com</v>
      </c>
      <c r="C158" s="10" t="s">
        <v>145</v>
      </c>
      <c r="D158" s="10" t="str">
        <f aca="false">INDEX(Canale!$C$2:$C$30,MATCH(C158,Canale!$A$2:$A$30,0))</f>
        <v>bing</v>
      </c>
      <c r="E158" s="10" t="str">
        <f aca="false">INDEX(Canale!$D$2:$D$30,MATCH(C158,Canale!$A$2:$A$30,0))</f>
        <v>cpc</v>
      </c>
      <c r="F158" s="10" t="str">
        <f aca="false">INDEX('Site-uri'!$C$2:$C$20,MATCH(A158,'Site-uri'!$A$2:$A$20,0))</f>
        <v>/</v>
      </c>
      <c r="G158" s="10" t="str">
        <f aca="false">Config!$B$3</f>
        <v>2610_ff_lansare</v>
      </c>
      <c r="H158" s="10" t="str">
        <f aca="false">Config!$B$4</f>
        <v>general</v>
      </c>
      <c r="I158" s="10" t="str">
        <f aca="false">"https://"&amp;B158&amp;F158&amp;"?utm_source="&amp;D158&amp;"&amp;utm_medium="&amp;E158&amp;"&amp;utm_campaign="&amp;G158&amp;"&amp;utm_content="&amp;H158</f>
        <v>https://aireadyinjector.com/?utm_source=bing&amp;utm_medium=cpc&amp;utm_campaign=2610_ff_lansare&amp;utm_content=general</v>
      </c>
    </row>
    <row r="159" customFormat="false" ht="15" hidden="false" customHeight="false" outlineLevel="0" collapsed="false">
      <c r="A159" s="10" t="s">
        <v>61</v>
      </c>
      <c r="B159" s="10" t="str">
        <f aca="false">INDEX('Site-uri'!$B$2:$B$20,MATCH(A159,'Site-uri'!$A$2:$A$20,0))</f>
        <v>aireadyinjector.com</v>
      </c>
      <c r="C159" s="10" t="s">
        <v>148</v>
      </c>
      <c r="D159" s="10" t="str">
        <f aca="false">INDEX(Canale!$C$2:$C$30,MATCH(C159,Canale!$A$2:$A$30,0))</f>
        <v>facebook</v>
      </c>
      <c r="E159" s="10" t="str">
        <f aca="false">INDEX(Canale!$D$2:$D$30,MATCH(C159,Canale!$A$2:$A$30,0))</f>
        <v>social</v>
      </c>
      <c r="F159" s="10" t="str">
        <f aca="false">INDEX('Site-uri'!$C$2:$C$20,MATCH(A159,'Site-uri'!$A$2:$A$20,0))</f>
        <v>/</v>
      </c>
      <c r="G159" s="10" t="str">
        <f aca="false">Config!$B$3</f>
        <v>2610_ff_lansare</v>
      </c>
      <c r="H159" s="10" t="str">
        <f aca="false">Config!$B$4</f>
        <v>general</v>
      </c>
      <c r="I159" s="10" t="str">
        <f aca="false">"https://"&amp;B159&amp;F159&amp;"?utm_source="&amp;D159&amp;"&amp;utm_medium="&amp;E159&amp;"&amp;utm_campaign="&amp;G159&amp;"&amp;utm_content="&amp;H159</f>
        <v>https://aireadyinjector.com/?utm_source=facebook&amp;utm_medium=social&amp;utm_campaign=2610_ff_lansare&amp;utm_content=general</v>
      </c>
    </row>
    <row r="160" customFormat="false" ht="15" hidden="false" customHeight="false" outlineLevel="0" collapsed="false">
      <c r="A160" s="10" t="s">
        <v>61</v>
      </c>
      <c r="B160" s="10" t="str">
        <f aca="false">INDEX('Site-uri'!$B$2:$B$20,MATCH(A160,'Site-uri'!$A$2:$A$20,0))</f>
        <v>aireadyinjector.com</v>
      </c>
      <c r="C160" s="10" t="s">
        <v>152</v>
      </c>
      <c r="D160" s="10" t="str">
        <f aca="false">INDEX(Canale!$C$2:$C$30,MATCH(C160,Canale!$A$2:$A$30,0))</f>
        <v>x</v>
      </c>
      <c r="E160" s="10" t="str">
        <f aca="false">INDEX(Canale!$D$2:$D$30,MATCH(C160,Canale!$A$2:$A$30,0))</f>
        <v>social</v>
      </c>
      <c r="F160" s="10" t="str">
        <f aca="false">INDEX('Site-uri'!$C$2:$C$20,MATCH(A160,'Site-uri'!$A$2:$A$20,0))</f>
        <v>/</v>
      </c>
      <c r="G160" s="10" t="str">
        <f aca="false">Config!$B$3</f>
        <v>2610_ff_lansare</v>
      </c>
      <c r="H160" s="10" t="str">
        <f aca="false">Config!$B$4</f>
        <v>general</v>
      </c>
      <c r="I160" s="10" t="str">
        <f aca="false">"https://"&amp;B160&amp;F160&amp;"?utm_source="&amp;D160&amp;"&amp;utm_medium="&amp;E160&amp;"&amp;utm_campaign="&amp;G160&amp;"&amp;utm_content="&amp;H160</f>
        <v>https://aireadyinjector.com/?utm_source=x&amp;utm_medium=social&amp;utm_campaign=2610_ff_lansare&amp;utm_content=general</v>
      </c>
    </row>
    <row r="161" customFormat="false" ht="15" hidden="false" customHeight="false" outlineLevel="0" collapsed="false">
      <c r="A161" s="10" t="s">
        <v>61</v>
      </c>
      <c r="B161" s="10" t="str">
        <f aca="false">INDEX('Site-uri'!$B$2:$B$20,MATCH(A161,'Site-uri'!$A$2:$A$20,0))</f>
        <v>aireadyinjector.com</v>
      </c>
      <c r="C161" s="10" t="s">
        <v>154</v>
      </c>
      <c r="D161" s="10" t="str">
        <f aca="false">INDEX(Canale!$C$2:$C$30,MATCH(C161,Canale!$A$2:$A$30,0))</f>
        <v>youtube</v>
      </c>
      <c r="E161" s="10" t="str">
        <f aca="false">INDEX(Canale!$D$2:$D$30,MATCH(C161,Canale!$A$2:$A$30,0))</f>
        <v>video</v>
      </c>
      <c r="F161" s="10" t="str">
        <f aca="false">INDEX('Site-uri'!$C$2:$C$20,MATCH(A161,'Site-uri'!$A$2:$A$20,0))</f>
        <v>/</v>
      </c>
      <c r="G161" s="10" t="str">
        <f aca="false">Config!$B$3</f>
        <v>2610_ff_lansare</v>
      </c>
      <c r="H161" s="10" t="str">
        <f aca="false">Config!$B$4</f>
        <v>general</v>
      </c>
      <c r="I161" s="10" t="str">
        <f aca="false">"https://"&amp;B161&amp;F161&amp;"?utm_source="&amp;D161&amp;"&amp;utm_medium="&amp;E161&amp;"&amp;utm_campaign="&amp;G161&amp;"&amp;utm_content="&amp;H161</f>
        <v>https://aireadyinjector.com/?utm_source=youtube&amp;utm_medium=video&amp;utm_campaign=2610_ff_lansare&amp;utm_content=general</v>
      </c>
    </row>
    <row r="162" customFormat="false" ht="15" hidden="false" customHeight="false" outlineLevel="0" collapsed="false">
      <c r="A162" s="10" t="s">
        <v>61</v>
      </c>
      <c r="B162" s="10" t="str">
        <f aca="false">INDEX('Site-uri'!$B$2:$B$20,MATCH(A162,'Site-uri'!$A$2:$A$20,0))</f>
        <v>aireadyinjector.com</v>
      </c>
      <c r="C162" s="10" t="s">
        <v>159</v>
      </c>
      <c r="D162" s="10" t="str">
        <f aca="false">INDEX(Canale!$C$2:$C$30,MATCH(C162,Canale!$A$2:$A$30,0))</f>
        <v>medium</v>
      </c>
      <c r="E162" s="10" t="str">
        <f aca="false">INDEX(Canale!$D$2:$D$30,MATCH(C162,Canale!$A$2:$A$30,0))</f>
        <v>content</v>
      </c>
      <c r="F162" s="10" t="str">
        <f aca="false">INDEX('Site-uri'!$C$2:$C$20,MATCH(A162,'Site-uri'!$A$2:$A$20,0))</f>
        <v>/</v>
      </c>
      <c r="G162" s="10" t="str">
        <f aca="false">Config!$B$3</f>
        <v>2610_ff_lansare</v>
      </c>
      <c r="H162" s="10" t="str">
        <f aca="false">Config!$B$4</f>
        <v>general</v>
      </c>
      <c r="I162" s="10" t="str">
        <f aca="false">"https://"&amp;B162&amp;F162&amp;"?utm_source="&amp;D162&amp;"&amp;utm_medium="&amp;E162&amp;"&amp;utm_campaign="&amp;G162&amp;"&amp;utm_content="&amp;H162</f>
        <v>https://aireadyinjector.com/?utm_source=medium&amp;utm_medium=content&amp;utm_campaign=2610_ff_lansare&amp;utm_content=general</v>
      </c>
    </row>
    <row r="163" customFormat="false" ht="15" hidden="false" customHeight="false" outlineLevel="0" collapsed="false">
      <c r="A163" s="10" t="s">
        <v>61</v>
      </c>
      <c r="B163" s="10" t="str">
        <f aca="false">INDEX('Site-uri'!$B$2:$B$20,MATCH(A163,'Site-uri'!$A$2:$A$20,0))</f>
        <v>aireadyinjector.com</v>
      </c>
      <c r="C163" s="10" t="s">
        <v>164</v>
      </c>
      <c r="D163" s="10" t="str">
        <f aca="false">INDEX(Canale!$C$2:$C$30,MATCH(C163,Canale!$A$2:$A$30,0))</f>
        <v>crunchbase</v>
      </c>
      <c r="E163" s="10" t="str">
        <f aca="false">INDEX(Canale!$D$2:$D$30,MATCH(C163,Canale!$A$2:$A$30,0))</f>
        <v>referral</v>
      </c>
      <c r="F163" s="10" t="str">
        <f aca="false">INDEX('Site-uri'!$C$2:$C$20,MATCH(A163,'Site-uri'!$A$2:$A$20,0))</f>
        <v>/</v>
      </c>
      <c r="G163" s="10" t="str">
        <f aca="false">Config!$B$3</f>
        <v>2610_ff_lansare</v>
      </c>
      <c r="H163" s="10" t="str">
        <f aca="false">Config!$B$4</f>
        <v>general</v>
      </c>
      <c r="I163" s="10" t="str">
        <f aca="false">"https://"&amp;B163&amp;F163&amp;"?utm_source="&amp;D163&amp;"&amp;utm_medium="&amp;E163&amp;"&amp;utm_campaign="&amp;G163&amp;"&amp;utm_content="&amp;H163</f>
        <v>https://aireadyinjector.com/?utm_source=crunchbase&amp;utm_medium=referral&amp;utm_campaign=2610_ff_lansare&amp;utm_content=general</v>
      </c>
    </row>
    <row r="164" customFormat="false" ht="15" hidden="false" customHeight="false" outlineLevel="0" collapsed="false">
      <c r="A164" s="10" t="s">
        <v>61</v>
      </c>
      <c r="B164" s="10" t="str">
        <f aca="false">INDEX('Site-uri'!$B$2:$B$20,MATCH(A164,'Site-uri'!$A$2:$A$20,0))</f>
        <v>aireadyinjector.com</v>
      </c>
      <c r="C164" s="10" t="s">
        <v>169</v>
      </c>
      <c r="D164" s="10" t="str">
        <f aca="false">INDEX(Canale!$C$2:$C$30,MATCH(C164,Canale!$A$2:$A$30,0))</f>
        <v>zenodo</v>
      </c>
      <c r="E164" s="10" t="str">
        <f aca="false">INDEX(Canale!$D$2:$D$30,MATCH(C164,Canale!$A$2:$A$30,0))</f>
        <v>referral</v>
      </c>
      <c r="F164" s="10" t="str">
        <f aca="false">INDEX('Site-uri'!$C$2:$C$20,MATCH(A164,'Site-uri'!$A$2:$A$20,0))</f>
        <v>/</v>
      </c>
      <c r="G164" s="10" t="str">
        <f aca="false">Config!$B$3</f>
        <v>2610_ff_lansare</v>
      </c>
      <c r="H164" s="10" t="str">
        <f aca="false">Config!$B$4</f>
        <v>general</v>
      </c>
      <c r="I164" s="10" t="str">
        <f aca="false">"https://"&amp;B164&amp;F164&amp;"?utm_source="&amp;D164&amp;"&amp;utm_medium="&amp;E164&amp;"&amp;utm_campaign="&amp;G164&amp;"&amp;utm_content="&amp;H164</f>
        <v>https://aireadyinjector.com/?utm_source=zenodo&amp;utm_medium=referral&amp;utm_campaign=2610_ff_lansare&amp;utm_content=general</v>
      </c>
    </row>
    <row r="165" customFormat="false" ht="15" hidden="false" customHeight="false" outlineLevel="0" collapsed="false">
      <c r="A165" s="10" t="s">
        <v>61</v>
      </c>
      <c r="B165" s="10" t="str">
        <f aca="false">INDEX('Site-uri'!$B$2:$B$20,MATCH(A165,'Site-uri'!$A$2:$A$20,0))</f>
        <v>aireadyinjector.com</v>
      </c>
      <c r="C165" s="10" t="s">
        <v>172</v>
      </c>
      <c r="D165" s="10" t="str">
        <f aca="false">INDEX(Canale!$C$2:$C$30,MATCH(C165,Canale!$A$2:$A$30,0))</f>
        <v>orcid</v>
      </c>
      <c r="E165" s="10" t="str">
        <f aca="false">INDEX(Canale!$D$2:$D$30,MATCH(C165,Canale!$A$2:$A$30,0))</f>
        <v>referral</v>
      </c>
      <c r="F165" s="10" t="str">
        <f aca="false">INDEX('Site-uri'!$C$2:$C$20,MATCH(A165,'Site-uri'!$A$2:$A$20,0))</f>
        <v>/</v>
      </c>
      <c r="G165" s="10" t="str">
        <f aca="false">Config!$B$3</f>
        <v>2610_ff_lansare</v>
      </c>
      <c r="H165" s="10" t="str">
        <f aca="false">Config!$B$4</f>
        <v>general</v>
      </c>
      <c r="I165" s="10" t="str">
        <f aca="false">"https://"&amp;B165&amp;F165&amp;"?utm_source="&amp;D165&amp;"&amp;utm_medium="&amp;E165&amp;"&amp;utm_campaign="&amp;G165&amp;"&amp;utm_content="&amp;H165</f>
        <v>https://aireadyinjector.com/?utm_source=orcid&amp;utm_medium=referral&amp;utm_campaign=2610_ff_lansare&amp;utm_content=general</v>
      </c>
    </row>
    <row r="166" customFormat="false" ht="15" hidden="false" customHeight="false" outlineLevel="0" collapsed="false">
      <c r="A166" s="10" t="s">
        <v>61</v>
      </c>
      <c r="B166" s="10" t="str">
        <f aca="false">INDEX('Site-uri'!$B$2:$B$20,MATCH(A166,'Site-uri'!$A$2:$A$20,0))</f>
        <v>aireadyinjector.com</v>
      </c>
      <c r="C166" s="10" t="s">
        <v>175</v>
      </c>
      <c r="D166" s="10" t="str">
        <f aca="false">INDEX(Canale!$C$2:$C$30,MATCH(C166,Canale!$A$2:$A$30,0))</f>
        <v>github</v>
      </c>
      <c r="E166" s="10" t="str">
        <f aca="false">INDEX(Canale!$D$2:$D$30,MATCH(C166,Canale!$A$2:$A$30,0))</f>
        <v>referral</v>
      </c>
      <c r="F166" s="10" t="str">
        <f aca="false">INDEX('Site-uri'!$C$2:$C$20,MATCH(A166,'Site-uri'!$A$2:$A$20,0))</f>
        <v>/</v>
      </c>
      <c r="G166" s="10" t="str">
        <f aca="false">Config!$B$3</f>
        <v>2610_ff_lansare</v>
      </c>
      <c r="H166" s="10" t="str">
        <f aca="false">Config!$B$4</f>
        <v>general</v>
      </c>
      <c r="I166" s="10" t="str">
        <f aca="false">"https://"&amp;B166&amp;F166&amp;"?utm_source="&amp;D166&amp;"&amp;utm_medium="&amp;E166&amp;"&amp;utm_campaign="&amp;G166&amp;"&amp;utm_content="&amp;H166</f>
        <v>https://aireadyinjector.com/?utm_source=github&amp;utm_medium=referral&amp;utm_campaign=2610_ff_lansare&amp;utm_content=general</v>
      </c>
    </row>
    <row r="167" customFormat="false" ht="15" hidden="false" customHeight="false" outlineLevel="0" collapsed="false">
      <c r="A167" s="10" t="s">
        <v>61</v>
      </c>
      <c r="B167" s="10" t="str">
        <f aca="false">INDEX('Site-uri'!$B$2:$B$20,MATCH(A167,'Site-uri'!$A$2:$A$20,0))</f>
        <v>aireadyinjector.com</v>
      </c>
      <c r="C167" s="10" t="s">
        <v>178</v>
      </c>
      <c r="D167" s="10" t="str">
        <f aca="false">INDEX(Canale!$C$2:$C$30,MATCH(C167,Canale!$A$2:$A$30,0))</f>
        <v>kdp_book</v>
      </c>
      <c r="E167" s="10" t="str">
        <f aca="false">INDEX(Canale!$D$2:$D$30,MATCH(C167,Canale!$A$2:$A$30,0))</f>
        <v>book</v>
      </c>
      <c r="F167" s="10" t="str">
        <f aca="false">INDEX('Site-uri'!$C$2:$C$20,MATCH(A167,'Site-uri'!$A$2:$A$20,0))</f>
        <v>/</v>
      </c>
      <c r="G167" s="10" t="str">
        <f aca="false">Config!$B$3</f>
        <v>2610_ff_lansare</v>
      </c>
      <c r="H167" s="10" t="str">
        <f aca="false">Config!$B$4</f>
        <v>general</v>
      </c>
      <c r="I167" s="10" t="str">
        <f aca="false">"https://"&amp;B167&amp;F167&amp;"?utm_source="&amp;D167&amp;"&amp;utm_medium="&amp;E167&amp;"&amp;utm_campaign="&amp;G167&amp;"&amp;utm_content="&amp;H167</f>
        <v>https://aireadyinjector.com/?utm_source=kdp_book&amp;utm_medium=book&amp;utm_campaign=2610_ff_lansare&amp;utm_content=general</v>
      </c>
    </row>
    <row r="168" customFormat="false" ht="15" hidden="false" customHeight="false" outlineLevel="0" collapsed="false">
      <c r="A168" s="10" t="s">
        <v>61</v>
      </c>
      <c r="B168" s="10" t="str">
        <f aca="false">INDEX('Site-uri'!$B$2:$B$20,MATCH(A168,'Site-uri'!$A$2:$A$20,0))</f>
        <v>aireadyinjector.com</v>
      </c>
      <c r="C168" s="10" t="s">
        <v>183</v>
      </c>
      <c r="D168" s="10" t="str">
        <f aca="false">INDEX(Canale!$C$2:$C$30,MATCH(C168,Canale!$A$2:$A$30,0))</f>
        <v>udemy</v>
      </c>
      <c r="E168" s="10" t="str">
        <f aca="false">INDEX(Canale!$D$2:$D$30,MATCH(C168,Canale!$A$2:$A$30,0))</f>
        <v>course</v>
      </c>
      <c r="F168" s="10" t="str">
        <f aca="false">INDEX('Site-uri'!$C$2:$C$20,MATCH(A168,'Site-uri'!$A$2:$A$20,0))</f>
        <v>/</v>
      </c>
      <c r="G168" s="10" t="str">
        <f aca="false">Config!$B$3</f>
        <v>2610_ff_lansare</v>
      </c>
      <c r="H168" s="10" t="str">
        <f aca="false">Config!$B$4</f>
        <v>general</v>
      </c>
      <c r="I168" s="10" t="str">
        <f aca="false">"https://"&amp;B168&amp;F168&amp;"?utm_source="&amp;D168&amp;"&amp;utm_medium="&amp;E168&amp;"&amp;utm_campaign="&amp;G168&amp;"&amp;utm_content="&amp;H168</f>
        <v>https://aireadyinjector.com/?utm_source=udemy&amp;utm_medium=course&amp;utm_campaign=2610_ff_lansare&amp;utm_content=general</v>
      </c>
    </row>
    <row r="169" customFormat="false" ht="15" hidden="false" customHeight="false" outlineLevel="0" collapsed="false">
      <c r="A169" s="10" t="s">
        <v>61</v>
      </c>
      <c r="B169" s="10" t="str">
        <f aca="false">INDEX('Site-uri'!$B$2:$B$20,MATCH(A169,'Site-uri'!$A$2:$A$20,0))</f>
        <v>aireadyinjector.com</v>
      </c>
      <c r="C169" s="10" t="s">
        <v>186</v>
      </c>
      <c r="D169" s="10" t="str">
        <f aca="false">INDEX(Canale!$C$2:$C$30,MATCH(C169,Canale!$A$2:$A$30,0))</f>
        <v>directory</v>
      </c>
      <c r="E169" s="10" t="str">
        <f aca="false">INDEX(Canale!$D$2:$D$30,MATCH(C169,Canale!$A$2:$A$30,0))</f>
        <v>referral</v>
      </c>
      <c r="F169" s="10" t="str">
        <f aca="false">INDEX('Site-uri'!$C$2:$C$20,MATCH(A169,'Site-uri'!$A$2:$A$20,0))</f>
        <v>/</v>
      </c>
      <c r="G169" s="10" t="str">
        <f aca="false">Config!$B$3</f>
        <v>2610_ff_lansare</v>
      </c>
      <c r="H169" s="10" t="str">
        <f aca="false">Config!$B$4</f>
        <v>general</v>
      </c>
      <c r="I169" s="10" t="str">
        <f aca="false">"https://"&amp;B169&amp;F169&amp;"?utm_source="&amp;D169&amp;"&amp;utm_medium="&amp;E169&amp;"&amp;utm_campaign="&amp;G169&amp;"&amp;utm_content="&amp;H169</f>
        <v>https://aireadyinjector.com/?utm_source=directory&amp;utm_medium=referral&amp;utm_campaign=2610_ff_lansare&amp;utm_content=general</v>
      </c>
    </row>
    <row r="170" customFormat="false" ht="15" hidden="false" customHeight="false" outlineLevel="0" collapsed="false">
      <c r="A170" s="10" t="s">
        <v>61</v>
      </c>
      <c r="B170" s="10" t="str">
        <f aca="false">INDEX('Site-uri'!$B$2:$B$20,MATCH(A170,'Site-uri'!$A$2:$A$20,0))</f>
        <v>aireadyinjector.com</v>
      </c>
      <c r="C170" s="10" t="s">
        <v>190</v>
      </c>
      <c r="D170" s="10" t="str">
        <f aca="false">INDEX(Canale!$C$2:$C$30,MATCH(C170,Canale!$A$2:$A$30,0))</f>
        <v>partner</v>
      </c>
      <c r="E170" s="10" t="str">
        <f aca="false">INDEX(Canale!$D$2:$D$30,MATCH(C170,Canale!$A$2:$A$30,0))</f>
        <v>partner</v>
      </c>
      <c r="F170" s="10" t="str">
        <f aca="false">INDEX('Site-uri'!$C$2:$C$20,MATCH(A170,'Site-uri'!$A$2:$A$20,0))</f>
        <v>/</v>
      </c>
      <c r="G170" s="10" t="str">
        <f aca="false">Config!$B$3</f>
        <v>2610_ff_lansare</v>
      </c>
      <c r="H170" s="10" t="str">
        <f aca="false">Config!$B$4</f>
        <v>general</v>
      </c>
      <c r="I170" s="10" t="str">
        <f aca="false">"https://"&amp;B170&amp;F170&amp;"?utm_source="&amp;D170&amp;"&amp;utm_medium="&amp;E170&amp;"&amp;utm_campaign="&amp;G170&amp;"&amp;utm_content="&amp;H170</f>
        <v>https://aireadyinjector.com/?utm_source=partner&amp;utm_medium=partner&amp;utm_campaign=2610_ff_lansare&amp;utm_content=general</v>
      </c>
    </row>
    <row r="171" customFormat="false" ht="15" hidden="false" customHeight="false" outlineLevel="0" collapsed="false">
      <c r="A171" s="10" t="s">
        <v>61</v>
      </c>
      <c r="B171" s="10" t="str">
        <f aca="false">INDEX('Site-uri'!$B$2:$B$20,MATCH(A171,'Site-uri'!$A$2:$A$20,0))</f>
        <v>aireadyinjector.com</v>
      </c>
      <c r="C171" s="10" t="s">
        <v>192</v>
      </c>
      <c r="D171" s="10" t="str">
        <f aca="false">INDEX(Canale!$C$2:$C$30,MATCH(C171,Canale!$A$2:$A$30,0))</f>
        <v>pdf_proposal</v>
      </c>
      <c r="E171" s="10" t="str">
        <f aca="false">INDEX(Canale!$D$2:$D$30,MATCH(C171,Canale!$A$2:$A$30,0))</f>
        <v>document</v>
      </c>
      <c r="F171" s="10" t="str">
        <f aca="false">INDEX('Site-uri'!$C$2:$C$20,MATCH(A171,'Site-uri'!$A$2:$A$20,0))</f>
        <v>/</v>
      </c>
      <c r="G171" s="10" t="str">
        <f aca="false">Config!$B$3</f>
        <v>2610_ff_lansare</v>
      </c>
      <c r="H171" s="10" t="str">
        <f aca="false">Config!$B$4</f>
        <v>general</v>
      </c>
      <c r="I171" s="10" t="str">
        <f aca="false">"https://"&amp;B171&amp;F171&amp;"?utm_source="&amp;D171&amp;"&amp;utm_medium="&amp;E171&amp;"&amp;utm_campaign="&amp;G171&amp;"&amp;utm_content="&amp;H171</f>
        <v>https://aireadyinjector.com/?utm_source=pdf_proposal&amp;utm_medium=document&amp;utm_campaign=2610_ff_lansare&amp;utm_content=general</v>
      </c>
    </row>
    <row r="172" customFormat="false" ht="15" hidden="false" customHeight="false" outlineLevel="0" collapsed="false">
      <c r="A172" s="10" t="s">
        <v>61</v>
      </c>
      <c r="B172" s="10" t="str">
        <f aca="false">INDEX('Site-uri'!$B$2:$B$20,MATCH(A172,'Site-uri'!$A$2:$A$20,0))</f>
        <v>aireadyinjector.com</v>
      </c>
      <c r="C172" s="10" t="s">
        <v>197</v>
      </c>
      <c r="D172" s="10" t="str">
        <f aca="false">INDEX(Canale!$C$2:$C$30,MATCH(C172,Canale!$A$2:$A$30,0))</f>
        <v>qr_print</v>
      </c>
      <c r="E172" s="10" t="str">
        <f aca="false">INDEX(Canale!$D$2:$D$30,MATCH(C172,Canale!$A$2:$A$30,0))</f>
        <v>qr</v>
      </c>
      <c r="F172" s="10" t="str">
        <f aca="false">INDEX('Site-uri'!$C$2:$C$20,MATCH(A172,'Site-uri'!$A$2:$A$20,0))</f>
        <v>/</v>
      </c>
      <c r="G172" s="10" t="str">
        <f aca="false">Config!$B$3</f>
        <v>2610_ff_lansare</v>
      </c>
      <c r="H172" s="10" t="str">
        <f aca="false">Config!$B$4</f>
        <v>general</v>
      </c>
      <c r="I172" s="10" t="str">
        <f aca="false">"https://"&amp;B172&amp;F172&amp;"?utm_source="&amp;D172&amp;"&amp;utm_medium="&amp;E172&amp;"&amp;utm_campaign="&amp;G172&amp;"&amp;utm_content="&amp;H172</f>
        <v>https://aireadyinjector.com/?utm_source=qr_print&amp;utm_medium=qr&amp;utm_campaign=2610_ff_lansare&amp;utm_content=general</v>
      </c>
    </row>
    <row r="173" customFormat="false" ht="15" hidden="false" customHeight="false" outlineLevel="0" collapsed="false">
      <c r="A173" s="10" t="s">
        <v>61</v>
      </c>
      <c r="B173" s="10" t="str">
        <f aca="false">INDEX('Site-uri'!$B$2:$B$20,MATCH(A173,'Site-uri'!$A$2:$A$20,0))</f>
        <v>aireadyinjector.com</v>
      </c>
      <c r="C173" s="10" t="s">
        <v>201</v>
      </c>
      <c r="D173" s="10" t="str">
        <f aca="false">INDEX(Canale!$C$2:$C$30,MATCH(C173,Canale!$A$2:$A$30,0))</f>
        <v>event</v>
      </c>
      <c r="E173" s="10" t="str">
        <f aca="false">INDEX(Canale!$D$2:$D$30,MATCH(C173,Canale!$A$2:$A$30,0))</f>
        <v>event</v>
      </c>
      <c r="F173" s="10" t="str">
        <f aca="false">INDEX('Site-uri'!$C$2:$C$20,MATCH(A173,'Site-uri'!$A$2:$A$20,0))</f>
        <v>/</v>
      </c>
      <c r="G173" s="10" t="str">
        <f aca="false">Config!$B$3</f>
        <v>2610_ff_lansare</v>
      </c>
      <c r="H173" s="10" t="str">
        <f aca="false">Config!$B$4</f>
        <v>general</v>
      </c>
      <c r="I173" s="10" t="str">
        <f aca="false">"https://"&amp;B173&amp;F173&amp;"?utm_source="&amp;D173&amp;"&amp;utm_medium="&amp;E173&amp;"&amp;utm_campaign="&amp;G173&amp;"&amp;utm_content="&amp;H173</f>
        <v>https://aireadyinjector.com/?utm_source=event&amp;utm_medium=event&amp;utm_campaign=2610_ff_lansare&amp;utm_content=general</v>
      </c>
    </row>
    <row r="174" customFormat="false" ht="15" hidden="false" customHeight="false" outlineLevel="0" collapsed="false">
      <c r="A174" s="10" t="s">
        <v>61</v>
      </c>
      <c r="B174" s="10" t="str">
        <f aca="false">INDEX('Site-uri'!$B$2:$B$20,MATCH(A174,'Site-uri'!$A$2:$A$20,0))</f>
        <v>aireadyinjector.com</v>
      </c>
      <c r="C174" s="10" t="s">
        <v>203</v>
      </c>
      <c r="D174" s="10" t="str">
        <f aca="false">INDEX(Canale!$C$2:$C$30,MATCH(C174,Canale!$A$2:$A$30,0))</f>
        <v>a2a_agent_card</v>
      </c>
      <c r="E174" s="10" t="str">
        <f aca="false">INDEX(Canale!$D$2:$D$30,MATCH(C174,Canale!$A$2:$A$30,0))</f>
        <v>agent</v>
      </c>
      <c r="F174" s="10" t="str">
        <f aca="false">INDEX('Site-uri'!$C$2:$C$20,MATCH(A174,'Site-uri'!$A$2:$A$20,0))</f>
        <v>/</v>
      </c>
      <c r="G174" s="10" t="str">
        <f aca="false">Config!$B$3</f>
        <v>2610_ff_lansare</v>
      </c>
      <c r="H174" s="10" t="str">
        <f aca="false">Config!$B$4</f>
        <v>general</v>
      </c>
      <c r="I174" s="10" t="str">
        <f aca="false">"https://"&amp;B174&amp;F174&amp;"?utm_source="&amp;D174&amp;"&amp;utm_medium="&amp;E174&amp;"&amp;utm_campaign="&amp;G174&amp;"&amp;utm_content="&amp;H174</f>
        <v>https://aireadyinjector.com/?utm_source=a2a_agent_card&amp;utm_medium=agent&amp;utm_campaign=2610_ff_lansare&amp;utm_content=general</v>
      </c>
    </row>
    <row r="175" customFormat="false" ht="15" hidden="false" customHeight="false" outlineLevel="0" collapsed="false">
      <c r="A175" s="10" t="s">
        <v>61</v>
      </c>
      <c r="B175" s="10" t="str">
        <f aca="false">INDEX('Site-uri'!$B$2:$B$20,MATCH(A175,'Site-uri'!$A$2:$A$20,0))</f>
        <v>aireadyinjector.com</v>
      </c>
      <c r="C175" s="10" t="s">
        <v>208</v>
      </c>
      <c r="D175" s="10" t="str">
        <f aca="false">INDEX(Canale!$C$2:$C$30,MATCH(C175,Canale!$A$2:$A$30,0))</f>
        <v>llms_txt</v>
      </c>
      <c r="E175" s="10" t="str">
        <f aca="false">INDEX(Canale!$D$2:$D$30,MATCH(C175,Canale!$A$2:$A$30,0))</f>
        <v>ai_web</v>
      </c>
      <c r="F175" s="10" t="str">
        <f aca="false">INDEX('Site-uri'!$C$2:$C$20,MATCH(A175,'Site-uri'!$A$2:$A$20,0))</f>
        <v>/</v>
      </c>
      <c r="G175" s="10" t="str">
        <f aca="false">Config!$B$3</f>
        <v>2610_ff_lansare</v>
      </c>
      <c r="H175" s="10" t="str">
        <f aca="false">Config!$B$4</f>
        <v>general</v>
      </c>
      <c r="I175" s="10" t="str">
        <f aca="false">"https://"&amp;B175&amp;F175&amp;"?utm_source="&amp;D175&amp;"&amp;utm_medium="&amp;E175&amp;"&amp;utm_campaign="&amp;G175&amp;"&amp;utm_content="&amp;H175</f>
        <v>https://aireadyinjector.com/?utm_source=llms_txt&amp;utm_medium=ai_web&amp;utm_campaign=2610_ff_lansare&amp;utm_content=general</v>
      </c>
    </row>
    <row r="176" customFormat="false" ht="15" hidden="false" customHeight="false" outlineLevel="0" collapsed="false">
      <c r="A176" s="10" t="s">
        <v>64</v>
      </c>
      <c r="B176" s="10" t="str">
        <f aca="false">INDEX('Site-uri'!$B$2:$B$20,MATCH(A176,'Site-uri'!$A$2:$A$20,0))</f>
        <v>eu-ai-audit.eu</v>
      </c>
      <c r="C176" s="10" t="s">
        <v>103</v>
      </c>
      <c r="D176" s="10" t="str">
        <f aca="false">INDEX(Canale!$C$2:$C$30,MATCH(C176,Canale!$A$2:$A$30,0))</f>
        <v>linkedin_personal</v>
      </c>
      <c r="E176" s="10" t="str">
        <f aca="false">INDEX(Canale!$D$2:$D$30,MATCH(C176,Canale!$A$2:$A$30,0))</f>
        <v>social</v>
      </c>
      <c r="F176" s="10" t="str">
        <f aca="false">INDEX('Site-uri'!$C$2:$C$20,MATCH(A176,'Site-uri'!$A$2:$A$20,0))</f>
        <v>/</v>
      </c>
      <c r="G176" s="10" t="str">
        <f aca="false">Config!$B$3</f>
        <v>2610_ff_lansare</v>
      </c>
      <c r="H176" s="10" t="str">
        <f aca="false">Config!$B$4</f>
        <v>general</v>
      </c>
      <c r="I176" s="10" t="str">
        <f aca="false">"https://"&amp;B176&amp;F176&amp;"?utm_source="&amp;D176&amp;"&amp;utm_medium="&amp;E176&amp;"&amp;utm_campaign="&amp;G176&amp;"&amp;utm_content="&amp;H176</f>
        <v>https://eu-ai-audit.eu/?utm_source=linkedin_personal&amp;utm_medium=social&amp;utm_campaign=2610_ff_lansare&amp;utm_content=general</v>
      </c>
    </row>
    <row r="177" customFormat="false" ht="15" hidden="false" customHeight="false" outlineLevel="0" collapsed="false">
      <c r="A177" s="10" t="s">
        <v>64</v>
      </c>
      <c r="B177" s="10" t="str">
        <f aca="false">INDEX('Site-uri'!$B$2:$B$20,MATCH(A177,'Site-uri'!$A$2:$A$20,0))</f>
        <v>eu-ai-audit.eu</v>
      </c>
      <c r="C177" s="10" t="s">
        <v>108</v>
      </c>
      <c r="D177" s="10" t="str">
        <f aca="false">INDEX(Canale!$C$2:$C$30,MATCH(C177,Canale!$A$2:$A$30,0))</f>
        <v>linkedin_company</v>
      </c>
      <c r="E177" s="10" t="str">
        <f aca="false">INDEX(Canale!$D$2:$D$30,MATCH(C177,Canale!$A$2:$A$30,0))</f>
        <v>social</v>
      </c>
      <c r="F177" s="10" t="str">
        <f aca="false">INDEX('Site-uri'!$C$2:$C$20,MATCH(A177,'Site-uri'!$A$2:$A$20,0))</f>
        <v>/</v>
      </c>
      <c r="G177" s="10" t="str">
        <f aca="false">Config!$B$3</f>
        <v>2610_ff_lansare</v>
      </c>
      <c r="H177" s="10" t="str">
        <f aca="false">Config!$B$4</f>
        <v>general</v>
      </c>
      <c r="I177" s="10" t="str">
        <f aca="false">"https://"&amp;B177&amp;F177&amp;"?utm_source="&amp;D177&amp;"&amp;utm_medium="&amp;E177&amp;"&amp;utm_campaign="&amp;G177&amp;"&amp;utm_content="&amp;H177</f>
        <v>https://eu-ai-audit.eu/?utm_source=linkedin_company&amp;utm_medium=social&amp;utm_campaign=2610_ff_lansare&amp;utm_content=general</v>
      </c>
    </row>
    <row r="178" customFormat="false" ht="15" hidden="false" customHeight="false" outlineLevel="0" collapsed="false">
      <c r="A178" s="10" t="s">
        <v>64</v>
      </c>
      <c r="B178" s="10" t="str">
        <f aca="false">INDEX('Site-uri'!$B$2:$B$20,MATCH(A178,'Site-uri'!$A$2:$A$20,0))</f>
        <v>eu-ai-audit.eu</v>
      </c>
      <c r="C178" s="10" t="s">
        <v>111</v>
      </c>
      <c r="D178" s="10" t="str">
        <f aca="false">INDEX(Canale!$C$2:$C$30,MATCH(C178,Canale!$A$2:$A$30,0))</f>
        <v>linkedin_showcase</v>
      </c>
      <c r="E178" s="10" t="str">
        <f aca="false">INDEX(Canale!$D$2:$D$30,MATCH(C178,Canale!$A$2:$A$30,0))</f>
        <v>social</v>
      </c>
      <c r="F178" s="10" t="str">
        <f aca="false">INDEX('Site-uri'!$C$2:$C$20,MATCH(A178,'Site-uri'!$A$2:$A$20,0))</f>
        <v>/</v>
      </c>
      <c r="G178" s="10" t="str">
        <f aca="false">Config!$B$3</f>
        <v>2610_ff_lansare</v>
      </c>
      <c r="H178" s="10" t="str">
        <f aca="false">Config!$B$4</f>
        <v>general</v>
      </c>
      <c r="I178" s="10" t="str">
        <f aca="false">"https://"&amp;B178&amp;F178&amp;"?utm_source="&amp;D178&amp;"&amp;utm_medium="&amp;E178&amp;"&amp;utm_campaign="&amp;G178&amp;"&amp;utm_content="&amp;H178</f>
        <v>https://eu-ai-audit.eu/?utm_source=linkedin_showcase&amp;utm_medium=social&amp;utm_campaign=2610_ff_lansare&amp;utm_content=general</v>
      </c>
    </row>
    <row r="179" customFormat="false" ht="15" hidden="false" customHeight="false" outlineLevel="0" collapsed="false">
      <c r="A179" s="10" t="s">
        <v>64</v>
      </c>
      <c r="B179" s="10" t="str">
        <f aca="false">INDEX('Site-uri'!$B$2:$B$20,MATCH(A179,'Site-uri'!$A$2:$A$20,0))</f>
        <v>eu-ai-audit.eu</v>
      </c>
      <c r="C179" s="10" t="s">
        <v>114</v>
      </c>
      <c r="D179" s="10" t="str">
        <f aca="false">INDEX(Canale!$C$2:$C$30,MATCH(C179,Canale!$A$2:$A$30,0))</f>
        <v>linkedin_newsletter</v>
      </c>
      <c r="E179" s="10" t="str">
        <f aca="false">INDEX(Canale!$D$2:$D$30,MATCH(C179,Canale!$A$2:$A$30,0))</f>
        <v>social</v>
      </c>
      <c r="F179" s="10" t="str">
        <f aca="false">INDEX('Site-uri'!$C$2:$C$20,MATCH(A179,'Site-uri'!$A$2:$A$20,0))</f>
        <v>/</v>
      </c>
      <c r="G179" s="10" t="str">
        <f aca="false">Config!$B$3</f>
        <v>2610_ff_lansare</v>
      </c>
      <c r="H179" s="10" t="str">
        <f aca="false">Config!$B$4</f>
        <v>general</v>
      </c>
      <c r="I179" s="10" t="str">
        <f aca="false">"https://"&amp;B179&amp;F179&amp;"?utm_source="&amp;D179&amp;"&amp;utm_medium="&amp;E179&amp;"&amp;utm_campaign="&amp;G179&amp;"&amp;utm_content="&amp;H179</f>
        <v>https://eu-ai-audit.eu/?utm_source=linkedin_newsletter&amp;utm_medium=social&amp;utm_campaign=2610_ff_lansare&amp;utm_content=general</v>
      </c>
    </row>
    <row r="180" customFormat="false" ht="15" hidden="false" customHeight="false" outlineLevel="0" collapsed="false">
      <c r="A180" s="10" t="s">
        <v>64</v>
      </c>
      <c r="B180" s="10" t="str">
        <f aca="false">INDEX('Site-uri'!$B$2:$B$20,MATCH(A180,'Site-uri'!$A$2:$A$20,0))</f>
        <v>eu-ai-audit.eu</v>
      </c>
      <c r="C180" s="10" t="s">
        <v>117</v>
      </c>
      <c r="D180" s="10" t="str">
        <f aca="false">INDEX(Canale!$C$2:$C$30,MATCH(C180,Canale!$A$2:$A$30,0))</f>
        <v>linkedin_ads</v>
      </c>
      <c r="E180" s="10" t="str">
        <f aca="false">INDEX(Canale!$D$2:$D$30,MATCH(C180,Canale!$A$2:$A$30,0))</f>
        <v>paid_social</v>
      </c>
      <c r="F180" s="10" t="str">
        <f aca="false">INDEX('Site-uri'!$C$2:$C$20,MATCH(A180,'Site-uri'!$A$2:$A$20,0))</f>
        <v>/</v>
      </c>
      <c r="G180" s="10" t="str">
        <f aca="false">Config!$B$3</f>
        <v>2610_ff_lansare</v>
      </c>
      <c r="H180" s="10" t="str">
        <f aca="false">Config!$B$4</f>
        <v>general</v>
      </c>
      <c r="I180" s="10" t="str">
        <f aca="false">"https://"&amp;B180&amp;F180&amp;"?utm_source="&amp;D180&amp;"&amp;utm_medium="&amp;E180&amp;"&amp;utm_campaign="&amp;G180&amp;"&amp;utm_content="&amp;H180</f>
        <v>https://eu-ai-audit.eu/?utm_source=linkedin_ads&amp;utm_medium=paid_social&amp;utm_campaign=2610_ff_lansare&amp;utm_content=general</v>
      </c>
    </row>
    <row r="181" customFormat="false" ht="15" hidden="false" customHeight="false" outlineLevel="0" collapsed="false">
      <c r="A181" s="10" t="s">
        <v>64</v>
      </c>
      <c r="B181" s="10" t="str">
        <f aca="false">INDEX('Site-uri'!$B$2:$B$20,MATCH(A181,'Site-uri'!$A$2:$A$20,0))</f>
        <v>eu-ai-audit.eu</v>
      </c>
      <c r="C181" s="10" t="s">
        <v>121</v>
      </c>
      <c r="D181" s="10" t="str">
        <f aca="false">INDEX(Canale!$C$2:$C$30,MATCH(C181,Canale!$A$2:$A$30,0))</f>
        <v>linkedin_dm</v>
      </c>
      <c r="E181" s="10" t="str">
        <f aca="false">INDEX(Canale!$D$2:$D$30,MATCH(C181,Canale!$A$2:$A$30,0))</f>
        <v>dm</v>
      </c>
      <c r="F181" s="10" t="str">
        <f aca="false">INDEX('Site-uri'!$C$2:$C$20,MATCH(A181,'Site-uri'!$A$2:$A$20,0))</f>
        <v>/</v>
      </c>
      <c r="G181" s="10" t="str">
        <f aca="false">Config!$B$3</f>
        <v>2610_ff_lansare</v>
      </c>
      <c r="H181" s="10" t="str">
        <f aca="false">Config!$B$4</f>
        <v>general</v>
      </c>
      <c r="I181" s="10" t="str">
        <f aca="false">"https://"&amp;B181&amp;F181&amp;"?utm_source="&amp;D181&amp;"&amp;utm_medium="&amp;E181&amp;"&amp;utm_campaign="&amp;G181&amp;"&amp;utm_content="&amp;H181</f>
        <v>https://eu-ai-audit.eu/?utm_source=linkedin_dm&amp;utm_medium=dm&amp;utm_campaign=2610_ff_lansare&amp;utm_content=general</v>
      </c>
    </row>
    <row r="182" customFormat="false" ht="15" hidden="false" customHeight="false" outlineLevel="0" collapsed="false">
      <c r="A182" s="10" t="s">
        <v>64</v>
      </c>
      <c r="B182" s="10" t="str">
        <f aca="false">INDEX('Site-uri'!$B$2:$B$20,MATCH(A182,'Site-uri'!$A$2:$A$20,0))</f>
        <v>eu-ai-audit.eu</v>
      </c>
      <c r="C182" s="10" t="s">
        <v>125</v>
      </c>
      <c r="D182" s="10" t="str">
        <f aca="false">INDEX(Canale!$C$2:$C$30,MATCH(C182,Canale!$A$2:$A$30,0))</f>
        <v>email_outreach</v>
      </c>
      <c r="E182" s="10" t="str">
        <f aca="false">INDEX(Canale!$D$2:$D$30,MATCH(C182,Canale!$A$2:$A$30,0))</f>
        <v>email</v>
      </c>
      <c r="F182" s="10" t="str">
        <f aca="false">INDEX('Site-uri'!$C$2:$C$20,MATCH(A182,'Site-uri'!$A$2:$A$20,0))</f>
        <v>/</v>
      </c>
      <c r="G182" s="10" t="str">
        <f aca="false">Config!$B$3</f>
        <v>2610_ff_lansare</v>
      </c>
      <c r="H182" s="10" t="str">
        <f aca="false">Config!$B$4</f>
        <v>general</v>
      </c>
      <c r="I182" s="10" t="str">
        <f aca="false">"https://"&amp;B182&amp;F182&amp;"?utm_source="&amp;D182&amp;"&amp;utm_medium="&amp;E182&amp;"&amp;utm_campaign="&amp;G182&amp;"&amp;utm_content="&amp;H182</f>
        <v>https://eu-ai-audit.eu/?utm_source=email_outreach&amp;utm_medium=email&amp;utm_campaign=2610_ff_lansare&amp;utm_content=general</v>
      </c>
    </row>
    <row r="183" customFormat="false" ht="15" hidden="false" customHeight="false" outlineLevel="0" collapsed="false">
      <c r="A183" s="10" t="s">
        <v>64</v>
      </c>
      <c r="B183" s="10" t="str">
        <f aca="false">INDEX('Site-uri'!$B$2:$B$20,MATCH(A183,'Site-uri'!$A$2:$A$20,0))</f>
        <v>eu-ai-audit.eu</v>
      </c>
      <c r="C183" s="10" t="s">
        <v>130</v>
      </c>
      <c r="D183" s="10" t="str">
        <f aca="false">INDEX(Canale!$C$2:$C$30,MATCH(C183,Canale!$A$2:$A$30,0))</f>
        <v>newsletter</v>
      </c>
      <c r="E183" s="10" t="str">
        <f aca="false">INDEX(Canale!$D$2:$D$30,MATCH(C183,Canale!$A$2:$A$30,0))</f>
        <v>email</v>
      </c>
      <c r="F183" s="10" t="str">
        <f aca="false">INDEX('Site-uri'!$C$2:$C$20,MATCH(A183,'Site-uri'!$A$2:$A$20,0))</f>
        <v>/</v>
      </c>
      <c r="G183" s="10" t="str">
        <f aca="false">Config!$B$3</f>
        <v>2610_ff_lansare</v>
      </c>
      <c r="H183" s="10" t="str">
        <f aca="false">Config!$B$4</f>
        <v>general</v>
      </c>
      <c r="I183" s="10" t="str">
        <f aca="false">"https://"&amp;B183&amp;F183&amp;"?utm_source="&amp;D183&amp;"&amp;utm_medium="&amp;E183&amp;"&amp;utm_campaign="&amp;G183&amp;"&amp;utm_content="&amp;H183</f>
        <v>https://eu-ai-audit.eu/?utm_source=newsletter&amp;utm_medium=email&amp;utm_campaign=2610_ff_lansare&amp;utm_content=general</v>
      </c>
    </row>
    <row r="184" customFormat="false" ht="15" hidden="false" customHeight="false" outlineLevel="0" collapsed="false">
      <c r="A184" s="10" t="s">
        <v>64</v>
      </c>
      <c r="B184" s="10" t="str">
        <f aca="false">INDEX('Site-uri'!$B$2:$B$20,MATCH(A184,'Site-uri'!$A$2:$A$20,0))</f>
        <v>eu-ai-audit.eu</v>
      </c>
      <c r="C184" s="10" t="s">
        <v>133</v>
      </c>
      <c r="D184" s="10" t="str">
        <f aca="false">INDEX(Canale!$C$2:$C$30,MATCH(C184,Canale!$A$2:$A$30,0))</f>
        <v>email_signature</v>
      </c>
      <c r="E184" s="10" t="str">
        <f aca="false">INDEX(Canale!$D$2:$D$30,MATCH(C184,Canale!$A$2:$A$30,0))</f>
        <v>email</v>
      </c>
      <c r="F184" s="10" t="str">
        <f aca="false">INDEX('Site-uri'!$C$2:$C$20,MATCH(A184,'Site-uri'!$A$2:$A$20,0))</f>
        <v>/</v>
      </c>
      <c r="G184" s="10" t="str">
        <f aca="false">Config!$B$3</f>
        <v>2610_ff_lansare</v>
      </c>
      <c r="H184" s="10" t="str">
        <f aca="false">Config!$B$4</f>
        <v>general</v>
      </c>
      <c r="I184" s="10" t="str">
        <f aca="false">"https://"&amp;B184&amp;F184&amp;"?utm_source="&amp;D184&amp;"&amp;utm_medium="&amp;E184&amp;"&amp;utm_campaign="&amp;G184&amp;"&amp;utm_content="&amp;H184</f>
        <v>https://eu-ai-audit.eu/?utm_source=email_signature&amp;utm_medium=email&amp;utm_campaign=2610_ff_lansare&amp;utm_content=general</v>
      </c>
    </row>
    <row r="185" customFormat="false" ht="15" hidden="false" customHeight="false" outlineLevel="0" collapsed="false">
      <c r="A185" s="10" t="s">
        <v>64</v>
      </c>
      <c r="B185" s="10" t="str">
        <f aca="false">INDEX('Site-uri'!$B$2:$B$20,MATCH(A185,'Site-uri'!$A$2:$A$20,0))</f>
        <v>eu-ai-audit.eu</v>
      </c>
      <c r="C185" s="10" t="s">
        <v>136</v>
      </c>
      <c r="D185" s="10" t="str">
        <f aca="false">INDEX(Canale!$C$2:$C$30,MATCH(C185,Canale!$A$2:$A$30,0))</f>
        <v>whatsapp</v>
      </c>
      <c r="E185" s="10" t="str">
        <f aca="false">INDEX(Canale!$D$2:$D$30,MATCH(C185,Canale!$A$2:$A$30,0))</f>
        <v>dm</v>
      </c>
      <c r="F185" s="10" t="str">
        <f aca="false">INDEX('Site-uri'!$C$2:$C$20,MATCH(A185,'Site-uri'!$A$2:$A$20,0))</f>
        <v>/</v>
      </c>
      <c r="G185" s="10" t="str">
        <f aca="false">Config!$B$3</f>
        <v>2610_ff_lansare</v>
      </c>
      <c r="H185" s="10" t="str">
        <f aca="false">Config!$B$4</f>
        <v>general</v>
      </c>
      <c r="I185" s="10" t="str">
        <f aca="false">"https://"&amp;B185&amp;F185&amp;"?utm_source="&amp;D185&amp;"&amp;utm_medium="&amp;E185&amp;"&amp;utm_campaign="&amp;G185&amp;"&amp;utm_content="&amp;H185</f>
        <v>https://eu-ai-audit.eu/?utm_source=whatsapp&amp;utm_medium=dm&amp;utm_campaign=2610_ff_lansare&amp;utm_content=general</v>
      </c>
    </row>
    <row r="186" customFormat="false" ht="15" hidden="false" customHeight="false" outlineLevel="0" collapsed="false">
      <c r="A186" s="10" t="s">
        <v>64</v>
      </c>
      <c r="B186" s="10" t="str">
        <f aca="false">INDEX('Site-uri'!$B$2:$B$20,MATCH(A186,'Site-uri'!$A$2:$A$20,0))</f>
        <v>eu-ai-audit.eu</v>
      </c>
      <c r="C186" s="10" t="s">
        <v>140</v>
      </c>
      <c r="D186" s="10" t="str">
        <f aca="false">INDEX(Canale!$C$2:$C$30,MATCH(C186,Canale!$A$2:$A$30,0))</f>
        <v>google</v>
      </c>
      <c r="E186" s="10" t="str">
        <f aca="false">INDEX(Canale!$D$2:$D$30,MATCH(C186,Canale!$A$2:$A$30,0))</f>
        <v>cpc</v>
      </c>
      <c r="F186" s="10" t="str">
        <f aca="false">INDEX('Site-uri'!$C$2:$C$20,MATCH(A186,'Site-uri'!$A$2:$A$20,0))</f>
        <v>/</v>
      </c>
      <c r="G186" s="10" t="str">
        <f aca="false">Config!$B$3</f>
        <v>2610_ff_lansare</v>
      </c>
      <c r="H186" s="10" t="str">
        <f aca="false">Config!$B$4</f>
        <v>general</v>
      </c>
      <c r="I186" s="10" t="str">
        <f aca="false">"https://"&amp;B186&amp;F186&amp;"?utm_source="&amp;D186&amp;"&amp;utm_medium="&amp;E186&amp;"&amp;utm_campaign="&amp;G186&amp;"&amp;utm_content="&amp;H186</f>
        <v>https://eu-ai-audit.eu/?utm_source=google&amp;utm_medium=cpc&amp;utm_campaign=2610_ff_lansare&amp;utm_content=general</v>
      </c>
    </row>
    <row r="187" customFormat="false" ht="15" hidden="false" customHeight="false" outlineLevel="0" collapsed="false">
      <c r="A187" s="10" t="s">
        <v>64</v>
      </c>
      <c r="B187" s="10" t="str">
        <f aca="false">INDEX('Site-uri'!$B$2:$B$20,MATCH(A187,'Site-uri'!$A$2:$A$20,0))</f>
        <v>eu-ai-audit.eu</v>
      </c>
      <c r="C187" s="10" t="s">
        <v>145</v>
      </c>
      <c r="D187" s="10" t="str">
        <f aca="false">INDEX(Canale!$C$2:$C$30,MATCH(C187,Canale!$A$2:$A$30,0))</f>
        <v>bing</v>
      </c>
      <c r="E187" s="10" t="str">
        <f aca="false">INDEX(Canale!$D$2:$D$30,MATCH(C187,Canale!$A$2:$A$30,0))</f>
        <v>cpc</v>
      </c>
      <c r="F187" s="10" t="str">
        <f aca="false">INDEX('Site-uri'!$C$2:$C$20,MATCH(A187,'Site-uri'!$A$2:$A$20,0))</f>
        <v>/</v>
      </c>
      <c r="G187" s="10" t="str">
        <f aca="false">Config!$B$3</f>
        <v>2610_ff_lansare</v>
      </c>
      <c r="H187" s="10" t="str">
        <f aca="false">Config!$B$4</f>
        <v>general</v>
      </c>
      <c r="I187" s="10" t="str">
        <f aca="false">"https://"&amp;B187&amp;F187&amp;"?utm_source="&amp;D187&amp;"&amp;utm_medium="&amp;E187&amp;"&amp;utm_campaign="&amp;G187&amp;"&amp;utm_content="&amp;H187</f>
        <v>https://eu-ai-audit.eu/?utm_source=bing&amp;utm_medium=cpc&amp;utm_campaign=2610_ff_lansare&amp;utm_content=general</v>
      </c>
    </row>
    <row r="188" customFormat="false" ht="15" hidden="false" customHeight="false" outlineLevel="0" collapsed="false">
      <c r="A188" s="10" t="s">
        <v>64</v>
      </c>
      <c r="B188" s="10" t="str">
        <f aca="false">INDEX('Site-uri'!$B$2:$B$20,MATCH(A188,'Site-uri'!$A$2:$A$20,0))</f>
        <v>eu-ai-audit.eu</v>
      </c>
      <c r="C188" s="10" t="s">
        <v>148</v>
      </c>
      <c r="D188" s="10" t="str">
        <f aca="false">INDEX(Canale!$C$2:$C$30,MATCH(C188,Canale!$A$2:$A$30,0))</f>
        <v>facebook</v>
      </c>
      <c r="E188" s="10" t="str">
        <f aca="false">INDEX(Canale!$D$2:$D$30,MATCH(C188,Canale!$A$2:$A$30,0))</f>
        <v>social</v>
      </c>
      <c r="F188" s="10" t="str">
        <f aca="false">INDEX('Site-uri'!$C$2:$C$20,MATCH(A188,'Site-uri'!$A$2:$A$20,0))</f>
        <v>/</v>
      </c>
      <c r="G188" s="10" t="str">
        <f aca="false">Config!$B$3</f>
        <v>2610_ff_lansare</v>
      </c>
      <c r="H188" s="10" t="str">
        <f aca="false">Config!$B$4</f>
        <v>general</v>
      </c>
      <c r="I188" s="10" t="str">
        <f aca="false">"https://"&amp;B188&amp;F188&amp;"?utm_source="&amp;D188&amp;"&amp;utm_medium="&amp;E188&amp;"&amp;utm_campaign="&amp;G188&amp;"&amp;utm_content="&amp;H188</f>
        <v>https://eu-ai-audit.eu/?utm_source=facebook&amp;utm_medium=social&amp;utm_campaign=2610_ff_lansare&amp;utm_content=general</v>
      </c>
    </row>
    <row r="189" customFormat="false" ht="15" hidden="false" customHeight="false" outlineLevel="0" collapsed="false">
      <c r="A189" s="10" t="s">
        <v>64</v>
      </c>
      <c r="B189" s="10" t="str">
        <f aca="false">INDEX('Site-uri'!$B$2:$B$20,MATCH(A189,'Site-uri'!$A$2:$A$20,0))</f>
        <v>eu-ai-audit.eu</v>
      </c>
      <c r="C189" s="10" t="s">
        <v>152</v>
      </c>
      <c r="D189" s="10" t="str">
        <f aca="false">INDEX(Canale!$C$2:$C$30,MATCH(C189,Canale!$A$2:$A$30,0))</f>
        <v>x</v>
      </c>
      <c r="E189" s="10" t="str">
        <f aca="false">INDEX(Canale!$D$2:$D$30,MATCH(C189,Canale!$A$2:$A$30,0))</f>
        <v>social</v>
      </c>
      <c r="F189" s="10" t="str">
        <f aca="false">INDEX('Site-uri'!$C$2:$C$20,MATCH(A189,'Site-uri'!$A$2:$A$20,0))</f>
        <v>/</v>
      </c>
      <c r="G189" s="10" t="str">
        <f aca="false">Config!$B$3</f>
        <v>2610_ff_lansare</v>
      </c>
      <c r="H189" s="10" t="str">
        <f aca="false">Config!$B$4</f>
        <v>general</v>
      </c>
      <c r="I189" s="10" t="str">
        <f aca="false">"https://"&amp;B189&amp;F189&amp;"?utm_source="&amp;D189&amp;"&amp;utm_medium="&amp;E189&amp;"&amp;utm_campaign="&amp;G189&amp;"&amp;utm_content="&amp;H189</f>
        <v>https://eu-ai-audit.eu/?utm_source=x&amp;utm_medium=social&amp;utm_campaign=2610_ff_lansare&amp;utm_content=general</v>
      </c>
    </row>
    <row r="190" customFormat="false" ht="15" hidden="false" customHeight="false" outlineLevel="0" collapsed="false">
      <c r="A190" s="10" t="s">
        <v>64</v>
      </c>
      <c r="B190" s="10" t="str">
        <f aca="false">INDEX('Site-uri'!$B$2:$B$20,MATCH(A190,'Site-uri'!$A$2:$A$20,0))</f>
        <v>eu-ai-audit.eu</v>
      </c>
      <c r="C190" s="10" t="s">
        <v>154</v>
      </c>
      <c r="D190" s="10" t="str">
        <f aca="false">INDEX(Canale!$C$2:$C$30,MATCH(C190,Canale!$A$2:$A$30,0))</f>
        <v>youtube</v>
      </c>
      <c r="E190" s="10" t="str">
        <f aca="false">INDEX(Canale!$D$2:$D$30,MATCH(C190,Canale!$A$2:$A$30,0))</f>
        <v>video</v>
      </c>
      <c r="F190" s="10" t="str">
        <f aca="false">INDEX('Site-uri'!$C$2:$C$20,MATCH(A190,'Site-uri'!$A$2:$A$20,0))</f>
        <v>/</v>
      </c>
      <c r="G190" s="10" t="str">
        <f aca="false">Config!$B$3</f>
        <v>2610_ff_lansare</v>
      </c>
      <c r="H190" s="10" t="str">
        <f aca="false">Config!$B$4</f>
        <v>general</v>
      </c>
      <c r="I190" s="10" t="str">
        <f aca="false">"https://"&amp;B190&amp;F190&amp;"?utm_source="&amp;D190&amp;"&amp;utm_medium="&amp;E190&amp;"&amp;utm_campaign="&amp;G190&amp;"&amp;utm_content="&amp;H190</f>
        <v>https://eu-ai-audit.eu/?utm_source=youtube&amp;utm_medium=video&amp;utm_campaign=2610_ff_lansare&amp;utm_content=general</v>
      </c>
    </row>
    <row r="191" customFormat="false" ht="15" hidden="false" customHeight="false" outlineLevel="0" collapsed="false">
      <c r="A191" s="10" t="s">
        <v>64</v>
      </c>
      <c r="B191" s="10" t="str">
        <f aca="false">INDEX('Site-uri'!$B$2:$B$20,MATCH(A191,'Site-uri'!$A$2:$A$20,0))</f>
        <v>eu-ai-audit.eu</v>
      </c>
      <c r="C191" s="10" t="s">
        <v>159</v>
      </c>
      <c r="D191" s="10" t="str">
        <f aca="false">INDEX(Canale!$C$2:$C$30,MATCH(C191,Canale!$A$2:$A$30,0))</f>
        <v>medium</v>
      </c>
      <c r="E191" s="10" t="str">
        <f aca="false">INDEX(Canale!$D$2:$D$30,MATCH(C191,Canale!$A$2:$A$30,0))</f>
        <v>content</v>
      </c>
      <c r="F191" s="10" t="str">
        <f aca="false">INDEX('Site-uri'!$C$2:$C$20,MATCH(A191,'Site-uri'!$A$2:$A$20,0))</f>
        <v>/</v>
      </c>
      <c r="G191" s="10" t="str">
        <f aca="false">Config!$B$3</f>
        <v>2610_ff_lansare</v>
      </c>
      <c r="H191" s="10" t="str">
        <f aca="false">Config!$B$4</f>
        <v>general</v>
      </c>
      <c r="I191" s="10" t="str">
        <f aca="false">"https://"&amp;B191&amp;F191&amp;"?utm_source="&amp;D191&amp;"&amp;utm_medium="&amp;E191&amp;"&amp;utm_campaign="&amp;G191&amp;"&amp;utm_content="&amp;H191</f>
        <v>https://eu-ai-audit.eu/?utm_source=medium&amp;utm_medium=content&amp;utm_campaign=2610_ff_lansare&amp;utm_content=general</v>
      </c>
    </row>
    <row r="192" customFormat="false" ht="15" hidden="false" customHeight="false" outlineLevel="0" collapsed="false">
      <c r="A192" s="10" t="s">
        <v>64</v>
      </c>
      <c r="B192" s="10" t="str">
        <f aca="false">INDEX('Site-uri'!$B$2:$B$20,MATCH(A192,'Site-uri'!$A$2:$A$20,0))</f>
        <v>eu-ai-audit.eu</v>
      </c>
      <c r="C192" s="10" t="s">
        <v>164</v>
      </c>
      <c r="D192" s="10" t="str">
        <f aca="false">INDEX(Canale!$C$2:$C$30,MATCH(C192,Canale!$A$2:$A$30,0))</f>
        <v>crunchbase</v>
      </c>
      <c r="E192" s="10" t="str">
        <f aca="false">INDEX(Canale!$D$2:$D$30,MATCH(C192,Canale!$A$2:$A$30,0))</f>
        <v>referral</v>
      </c>
      <c r="F192" s="10" t="str">
        <f aca="false">INDEX('Site-uri'!$C$2:$C$20,MATCH(A192,'Site-uri'!$A$2:$A$20,0))</f>
        <v>/</v>
      </c>
      <c r="G192" s="10" t="str">
        <f aca="false">Config!$B$3</f>
        <v>2610_ff_lansare</v>
      </c>
      <c r="H192" s="10" t="str">
        <f aca="false">Config!$B$4</f>
        <v>general</v>
      </c>
      <c r="I192" s="10" t="str">
        <f aca="false">"https://"&amp;B192&amp;F192&amp;"?utm_source="&amp;D192&amp;"&amp;utm_medium="&amp;E192&amp;"&amp;utm_campaign="&amp;G192&amp;"&amp;utm_content="&amp;H192</f>
        <v>https://eu-ai-audit.eu/?utm_source=crunchbase&amp;utm_medium=referral&amp;utm_campaign=2610_ff_lansare&amp;utm_content=general</v>
      </c>
    </row>
    <row r="193" customFormat="false" ht="15" hidden="false" customHeight="false" outlineLevel="0" collapsed="false">
      <c r="A193" s="10" t="s">
        <v>64</v>
      </c>
      <c r="B193" s="10" t="str">
        <f aca="false">INDEX('Site-uri'!$B$2:$B$20,MATCH(A193,'Site-uri'!$A$2:$A$20,0))</f>
        <v>eu-ai-audit.eu</v>
      </c>
      <c r="C193" s="10" t="s">
        <v>169</v>
      </c>
      <c r="D193" s="10" t="str">
        <f aca="false">INDEX(Canale!$C$2:$C$30,MATCH(C193,Canale!$A$2:$A$30,0))</f>
        <v>zenodo</v>
      </c>
      <c r="E193" s="10" t="str">
        <f aca="false">INDEX(Canale!$D$2:$D$30,MATCH(C193,Canale!$A$2:$A$30,0))</f>
        <v>referral</v>
      </c>
      <c r="F193" s="10" t="str">
        <f aca="false">INDEX('Site-uri'!$C$2:$C$20,MATCH(A193,'Site-uri'!$A$2:$A$20,0))</f>
        <v>/</v>
      </c>
      <c r="G193" s="10" t="str">
        <f aca="false">Config!$B$3</f>
        <v>2610_ff_lansare</v>
      </c>
      <c r="H193" s="10" t="str">
        <f aca="false">Config!$B$4</f>
        <v>general</v>
      </c>
      <c r="I193" s="10" t="str">
        <f aca="false">"https://"&amp;B193&amp;F193&amp;"?utm_source="&amp;D193&amp;"&amp;utm_medium="&amp;E193&amp;"&amp;utm_campaign="&amp;G193&amp;"&amp;utm_content="&amp;H193</f>
        <v>https://eu-ai-audit.eu/?utm_source=zenodo&amp;utm_medium=referral&amp;utm_campaign=2610_ff_lansare&amp;utm_content=general</v>
      </c>
    </row>
    <row r="194" customFormat="false" ht="15" hidden="false" customHeight="false" outlineLevel="0" collapsed="false">
      <c r="A194" s="10" t="s">
        <v>64</v>
      </c>
      <c r="B194" s="10" t="str">
        <f aca="false">INDEX('Site-uri'!$B$2:$B$20,MATCH(A194,'Site-uri'!$A$2:$A$20,0))</f>
        <v>eu-ai-audit.eu</v>
      </c>
      <c r="C194" s="10" t="s">
        <v>172</v>
      </c>
      <c r="D194" s="10" t="str">
        <f aca="false">INDEX(Canale!$C$2:$C$30,MATCH(C194,Canale!$A$2:$A$30,0))</f>
        <v>orcid</v>
      </c>
      <c r="E194" s="10" t="str">
        <f aca="false">INDEX(Canale!$D$2:$D$30,MATCH(C194,Canale!$A$2:$A$30,0))</f>
        <v>referral</v>
      </c>
      <c r="F194" s="10" t="str">
        <f aca="false">INDEX('Site-uri'!$C$2:$C$20,MATCH(A194,'Site-uri'!$A$2:$A$20,0))</f>
        <v>/</v>
      </c>
      <c r="G194" s="10" t="str">
        <f aca="false">Config!$B$3</f>
        <v>2610_ff_lansare</v>
      </c>
      <c r="H194" s="10" t="str">
        <f aca="false">Config!$B$4</f>
        <v>general</v>
      </c>
      <c r="I194" s="10" t="str">
        <f aca="false">"https://"&amp;B194&amp;F194&amp;"?utm_source="&amp;D194&amp;"&amp;utm_medium="&amp;E194&amp;"&amp;utm_campaign="&amp;G194&amp;"&amp;utm_content="&amp;H194</f>
        <v>https://eu-ai-audit.eu/?utm_source=orcid&amp;utm_medium=referral&amp;utm_campaign=2610_ff_lansare&amp;utm_content=general</v>
      </c>
    </row>
    <row r="195" customFormat="false" ht="15" hidden="false" customHeight="false" outlineLevel="0" collapsed="false">
      <c r="A195" s="10" t="s">
        <v>64</v>
      </c>
      <c r="B195" s="10" t="str">
        <f aca="false">INDEX('Site-uri'!$B$2:$B$20,MATCH(A195,'Site-uri'!$A$2:$A$20,0))</f>
        <v>eu-ai-audit.eu</v>
      </c>
      <c r="C195" s="10" t="s">
        <v>175</v>
      </c>
      <c r="D195" s="10" t="str">
        <f aca="false">INDEX(Canale!$C$2:$C$30,MATCH(C195,Canale!$A$2:$A$30,0))</f>
        <v>github</v>
      </c>
      <c r="E195" s="10" t="str">
        <f aca="false">INDEX(Canale!$D$2:$D$30,MATCH(C195,Canale!$A$2:$A$30,0))</f>
        <v>referral</v>
      </c>
      <c r="F195" s="10" t="str">
        <f aca="false">INDEX('Site-uri'!$C$2:$C$20,MATCH(A195,'Site-uri'!$A$2:$A$20,0))</f>
        <v>/</v>
      </c>
      <c r="G195" s="10" t="str">
        <f aca="false">Config!$B$3</f>
        <v>2610_ff_lansare</v>
      </c>
      <c r="H195" s="10" t="str">
        <f aca="false">Config!$B$4</f>
        <v>general</v>
      </c>
      <c r="I195" s="10" t="str">
        <f aca="false">"https://"&amp;B195&amp;F195&amp;"?utm_source="&amp;D195&amp;"&amp;utm_medium="&amp;E195&amp;"&amp;utm_campaign="&amp;G195&amp;"&amp;utm_content="&amp;H195</f>
        <v>https://eu-ai-audit.eu/?utm_source=github&amp;utm_medium=referral&amp;utm_campaign=2610_ff_lansare&amp;utm_content=general</v>
      </c>
    </row>
    <row r="196" customFormat="false" ht="15" hidden="false" customHeight="false" outlineLevel="0" collapsed="false">
      <c r="A196" s="10" t="s">
        <v>64</v>
      </c>
      <c r="B196" s="10" t="str">
        <f aca="false">INDEX('Site-uri'!$B$2:$B$20,MATCH(A196,'Site-uri'!$A$2:$A$20,0))</f>
        <v>eu-ai-audit.eu</v>
      </c>
      <c r="C196" s="10" t="s">
        <v>178</v>
      </c>
      <c r="D196" s="10" t="str">
        <f aca="false">INDEX(Canale!$C$2:$C$30,MATCH(C196,Canale!$A$2:$A$30,0))</f>
        <v>kdp_book</v>
      </c>
      <c r="E196" s="10" t="str">
        <f aca="false">INDEX(Canale!$D$2:$D$30,MATCH(C196,Canale!$A$2:$A$30,0))</f>
        <v>book</v>
      </c>
      <c r="F196" s="10" t="str">
        <f aca="false">INDEX('Site-uri'!$C$2:$C$20,MATCH(A196,'Site-uri'!$A$2:$A$20,0))</f>
        <v>/</v>
      </c>
      <c r="G196" s="10" t="str">
        <f aca="false">Config!$B$3</f>
        <v>2610_ff_lansare</v>
      </c>
      <c r="H196" s="10" t="str">
        <f aca="false">Config!$B$4</f>
        <v>general</v>
      </c>
      <c r="I196" s="10" t="str">
        <f aca="false">"https://"&amp;B196&amp;F196&amp;"?utm_source="&amp;D196&amp;"&amp;utm_medium="&amp;E196&amp;"&amp;utm_campaign="&amp;G196&amp;"&amp;utm_content="&amp;H196</f>
        <v>https://eu-ai-audit.eu/?utm_source=kdp_book&amp;utm_medium=book&amp;utm_campaign=2610_ff_lansare&amp;utm_content=general</v>
      </c>
    </row>
    <row r="197" customFormat="false" ht="15" hidden="false" customHeight="false" outlineLevel="0" collapsed="false">
      <c r="A197" s="10" t="s">
        <v>64</v>
      </c>
      <c r="B197" s="10" t="str">
        <f aca="false">INDEX('Site-uri'!$B$2:$B$20,MATCH(A197,'Site-uri'!$A$2:$A$20,0))</f>
        <v>eu-ai-audit.eu</v>
      </c>
      <c r="C197" s="10" t="s">
        <v>183</v>
      </c>
      <c r="D197" s="10" t="str">
        <f aca="false">INDEX(Canale!$C$2:$C$30,MATCH(C197,Canale!$A$2:$A$30,0))</f>
        <v>udemy</v>
      </c>
      <c r="E197" s="10" t="str">
        <f aca="false">INDEX(Canale!$D$2:$D$30,MATCH(C197,Canale!$A$2:$A$30,0))</f>
        <v>course</v>
      </c>
      <c r="F197" s="10" t="str">
        <f aca="false">INDEX('Site-uri'!$C$2:$C$20,MATCH(A197,'Site-uri'!$A$2:$A$20,0))</f>
        <v>/</v>
      </c>
      <c r="G197" s="10" t="str">
        <f aca="false">Config!$B$3</f>
        <v>2610_ff_lansare</v>
      </c>
      <c r="H197" s="10" t="str">
        <f aca="false">Config!$B$4</f>
        <v>general</v>
      </c>
      <c r="I197" s="10" t="str">
        <f aca="false">"https://"&amp;B197&amp;F197&amp;"?utm_source="&amp;D197&amp;"&amp;utm_medium="&amp;E197&amp;"&amp;utm_campaign="&amp;G197&amp;"&amp;utm_content="&amp;H197</f>
        <v>https://eu-ai-audit.eu/?utm_source=udemy&amp;utm_medium=course&amp;utm_campaign=2610_ff_lansare&amp;utm_content=general</v>
      </c>
    </row>
    <row r="198" customFormat="false" ht="15" hidden="false" customHeight="false" outlineLevel="0" collapsed="false">
      <c r="A198" s="10" t="s">
        <v>64</v>
      </c>
      <c r="B198" s="10" t="str">
        <f aca="false">INDEX('Site-uri'!$B$2:$B$20,MATCH(A198,'Site-uri'!$A$2:$A$20,0))</f>
        <v>eu-ai-audit.eu</v>
      </c>
      <c r="C198" s="10" t="s">
        <v>186</v>
      </c>
      <c r="D198" s="10" t="str">
        <f aca="false">INDEX(Canale!$C$2:$C$30,MATCH(C198,Canale!$A$2:$A$30,0))</f>
        <v>directory</v>
      </c>
      <c r="E198" s="10" t="str">
        <f aca="false">INDEX(Canale!$D$2:$D$30,MATCH(C198,Canale!$A$2:$A$30,0))</f>
        <v>referral</v>
      </c>
      <c r="F198" s="10" t="str">
        <f aca="false">INDEX('Site-uri'!$C$2:$C$20,MATCH(A198,'Site-uri'!$A$2:$A$20,0))</f>
        <v>/</v>
      </c>
      <c r="G198" s="10" t="str">
        <f aca="false">Config!$B$3</f>
        <v>2610_ff_lansare</v>
      </c>
      <c r="H198" s="10" t="str">
        <f aca="false">Config!$B$4</f>
        <v>general</v>
      </c>
      <c r="I198" s="10" t="str">
        <f aca="false">"https://"&amp;B198&amp;F198&amp;"?utm_source="&amp;D198&amp;"&amp;utm_medium="&amp;E198&amp;"&amp;utm_campaign="&amp;G198&amp;"&amp;utm_content="&amp;H198</f>
        <v>https://eu-ai-audit.eu/?utm_source=directory&amp;utm_medium=referral&amp;utm_campaign=2610_ff_lansare&amp;utm_content=general</v>
      </c>
    </row>
    <row r="199" customFormat="false" ht="15" hidden="false" customHeight="false" outlineLevel="0" collapsed="false">
      <c r="A199" s="10" t="s">
        <v>64</v>
      </c>
      <c r="B199" s="10" t="str">
        <f aca="false">INDEX('Site-uri'!$B$2:$B$20,MATCH(A199,'Site-uri'!$A$2:$A$20,0))</f>
        <v>eu-ai-audit.eu</v>
      </c>
      <c r="C199" s="10" t="s">
        <v>190</v>
      </c>
      <c r="D199" s="10" t="str">
        <f aca="false">INDEX(Canale!$C$2:$C$30,MATCH(C199,Canale!$A$2:$A$30,0))</f>
        <v>partner</v>
      </c>
      <c r="E199" s="10" t="str">
        <f aca="false">INDEX(Canale!$D$2:$D$30,MATCH(C199,Canale!$A$2:$A$30,0))</f>
        <v>partner</v>
      </c>
      <c r="F199" s="10" t="str">
        <f aca="false">INDEX('Site-uri'!$C$2:$C$20,MATCH(A199,'Site-uri'!$A$2:$A$20,0))</f>
        <v>/</v>
      </c>
      <c r="G199" s="10" t="str">
        <f aca="false">Config!$B$3</f>
        <v>2610_ff_lansare</v>
      </c>
      <c r="H199" s="10" t="str">
        <f aca="false">Config!$B$4</f>
        <v>general</v>
      </c>
      <c r="I199" s="10" t="str">
        <f aca="false">"https://"&amp;B199&amp;F199&amp;"?utm_source="&amp;D199&amp;"&amp;utm_medium="&amp;E199&amp;"&amp;utm_campaign="&amp;G199&amp;"&amp;utm_content="&amp;H199</f>
        <v>https://eu-ai-audit.eu/?utm_source=partner&amp;utm_medium=partner&amp;utm_campaign=2610_ff_lansare&amp;utm_content=general</v>
      </c>
    </row>
    <row r="200" customFormat="false" ht="15" hidden="false" customHeight="false" outlineLevel="0" collapsed="false">
      <c r="A200" s="10" t="s">
        <v>64</v>
      </c>
      <c r="B200" s="10" t="str">
        <f aca="false">INDEX('Site-uri'!$B$2:$B$20,MATCH(A200,'Site-uri'!$A$2:$A$20,0))</f>
        <v>eu-ai-audit.eu</v>
      </c>
      <c r="C200" s="10" t="s">
        <v>192</v>
      </c>
      <c r="D200" s="10" t="str">
        <f aca="false">INDEX(Canale!$C$2:$C$30,MATCH(C200,Canale!$A$2:$A$30,0))</f>
        <v>pdf_proposal</v>
      </c>
      <c r="E200" s="10" t="str">
        <f aca="false">INDEX(Canale!$D$2:$D$30,MATCH(C200,Canale!$A$2:$A$30,0))</f>
        <v>document</v>
      </c>
      <c r="F200" s="10" t="str">
        <f aca="false">INDEX('Site-uri'!$C$2:$C$20,MATCH(A200,'Site-uri'!$A$2:$A$20,0))</f>
        <v>/</v>
      </c>
      <c r="G200" s="10" t="str">
        <f aca="false">Config!$B$3</f>
        <v>2610_ff_lansare</v>
      </c>
      <c r="H200" s="10" t="str">
        <f aca="false">Config!$B$4</f>
        <v>general</v>
      </c>
      <c r="I200" s="10" t="str">
        <f aca="false">"https://"&amp;B200&amp;F200&amp;"?utm_source="&amp;D200&amp;"&amp;utm_medium="&amp;E200&amp;"&amp;utm_campaign="&amp;G200&amp;"&amp;utm_content="&amp;H200</f>
        <v>https://eu-ai-audit.eu/?utm_source=pdf_proposal&amp;utm_medium=document&amp;utm_campaign=2610_ff_lansare&amp;utm_content=general</v>
      </c>
    </row>
    <row r="201" customFormat="false" ht="15" hidden="false" customHeight="false" outlineLevel="0" collapsed="false">
      <c r="A201" s="10" t="s">
        <v>64</v>
      </c>
      <c r="B201" s="10" t="str">
        <f aca="false">INDEX('Site-uri'!$B$2:$B$20,MATCH(A201,'Site-uri'!$A$2:$A$20,0))</f>
        <v>eu-ai-audit.eu</v>
      </c>
      <c r="C201" s="10" t="s">
        <v>197</v>
      </c>
      <c r="D201" s="10" t="str">
        <f aca="false">INDEX(Canale!$C$2:$C$30,MATCH(C201,Canale!$A$2:$A$30,0))</f>
        <v>qr_print</v>
      </c>
      <c r="E201" s="10" t="str">
        <f aca="false">INDEX(Canale!$D$2:$D$30,MATCH(C201,Canale!$A$2:$A$30,0))</f>
        <v>qr</v>
      </c>
      <c r="F201" s="10" t="str">
        <f aca="false">INDEX('Site-uri'!$C$2:$C$20,MATCH(A201,'Site-uri'!$A$2:$A$20,0))</f>
        <v>/</v>
      </c>
      <c r="G201" s="10" t="str">
        <f aca="false">Config!$B$3</f>
        <v>2610_ff_lansare</v>
      </c>
      <c r="H201" s="10" t="str">
        <f aca="false">Config!$B$4</f>
        <v>general</v>
      </c>
      <c r="I201" s="10" t="str">
        <f aca="false">"https://"&amp;B201&amp;F201&amp;"?utm_source="&amp;D201&amp;"&amp;utm_medium="&amp;E201&amp;"&amp;utm_campaign="&amp;G201&amp;"&amp;utm_content="&amp;H201</f>
        <v>https://eu-ai-audit.eu/?utm_source=qr_print&amp;utm_medium=qr&amp;utm_campaign=2610_ff_lansare&amp;utm_content=general</v>
      </c>
    </row>
    <row r="202" customFormat="false" ht="15" hidden="false" customHeight="false" outlineLevel="0" collapsed="false">
      <c r="A202" s="10" t="s">
        <v>64</v>
      </c>
      <c r="B202" s="10" t="str">
        <f aca="false">INDEX('Site-uri'!$B$2:$B$20,MATCH(A202,'Site-uri'!$A$2:$A$20,0))</f>
        <v>eu-ai-audit.eu</v>
      </c>
      <c r="C202" s="10" t="s">
        <v>201</v>
      </c>
      <c r="D202" s="10" t="str">
        <f aca="false">INDEX(Canale!$C$2:$C$30,MATCH(C202,Canale!$A$2:$A$30,0))</f>
        <v>event</v>
      </c>
      <c r="E202" s="10" t="str">
        <f aca="false">INDEX(Canale!$D$2:$D$30,MATCH(C202,Canale!$A$2:$A$30,0))</f>
        <v>event</v>
      </c>
      <c r="F202" s="10" t="str">
        <f aca="false">INDEX('Site-uri'!$C$2:$C$20,MATCH(A202,'Site-uri'!$A$2:$A$20,0))</f>
        <v>/</v>
      </c>
      <c r="G202" s="10" t="str">
        <f aca="false">Config!$B$3</f>
        <v>2610_ff_lansare</v>
      </c>
      <c r="H202" s="10" t="str">
        <f aca="false">Config!$B$4</f>
        <v>general</v>
      </c>
      <c r="I202" s="10" t="str">
        <f aca="false">"https://"&amp;B202&amp;F202&amp;"?utm_source="&amp;D202&amp;"&amp;utm_medium="&amp;E202&amp;"&amp;utm_campaign="&amp;G202&amp;"&amp;utm_content="&amp;H202</f>
        <v>https://eu-ai-audit.eu/?utm_source=event&amp;utm_medium=event&amp;utm_campaign=2610_ff_lansare&amp;utm_content=general</v>
      </c>
    </row>
    <row r="203" customFormat="false" ht="15" hidden="false" customHeight="false" outlineLevel="0" collapsed="false">
      <c r="A203" s="10" t="s">
        <v>64</v>
      </c>
      <c r="B203" s="10" t="str">
        <f aca="false">INDEX('Site-uri'!$B$2:$B$20,MATCH(A203,'Site-uri'!$A$2:$A$20,0))</f>
        <v>eu-ai-audit.eu</v>
      </c>
      <c r="C203" s="10" t="s">
        <v>203</v>
      </c>
      <c r="D203" s="10" t="str">
        <f aca="false">INDEX(Canale!$C$2:$C$30,MATCH(C203,Canale!$A$2:$A$30,0))</f>
        <v>a2a_agent_card</v>
      </c>
      <c r="E203" s="10" t="str">
        <f aca="false">INDEX(Canale!$D$2:$D$30,MATCH(C203,Canale!$A$2:$A$30,0))</f>
        <v>agent</v>
      </c>
      <c r="F203" s="10" t="str">
        <f aca="false">INDEX('Site-uri'!$C$2:$C$20,MATCH(A203,'Site-uri'!$A$2:$A$20,0))</f>
        <v>/</v>
      </c>
      <c r="G203" s="10" t="str">
        <f aca="false">Config!$B$3</f>
        <v>2610_ff_lansare</v>
      </c>
      <c r="H203" s="10" t="str">
        <f aca="false">Config!$B$4</f>
        <v>general</v>
      </c>
      <c r="I203" s="10" t="str">
        <f aca="false">"https://"&amp;B203&amp;F203&amp;"?utm_source="&amp;D203&amp;"&amp;utm_medium="&amp;E203&amp;"&amp;utm_campaign="&amp;G203&amp;"&amp;utm_content="&amp;H203</f>
        <v>https://eu-ai-audit.eu/?utm_source=a2a_agent_card&amp;utm_medium=agent&amp;utm_campaign=2610_ff_lansare&amp;utm_content=general</v>
      </c>
    </row>
    <row r="204" customFormat="false" ht="15" hidden="false" customHeight="false" outlineLevel="0" collapsed="false">
      <c r="A204" s="10" t="s">
        <v>64</v>
      </c>
      <c r="B204" s="10" t="str">
        <f aca="false">INDEX('Site-uri'!$B$2:$B$20,MATCH(A204,'Site-uri'!$A$2:$A$20,0))</f>
        <v>eu-ai-audit.eu</v>
      </c>
      <c r="C204" s="10" t="s">
        <v>208</v>
      </c>
      <c r="D204" s="10" t="str">
        <f aca="false">INDEX(Canale!$C$2:$C$30,MATCH(C204,Canale!$A$2:$A$30,0))</f>
        <v>llms_txt</v>
      </c>
      <c r="E204" s="10" t="str">
        <f aca="false">INDEX(Canale!$D$2:$D$30,MATCH(C204,Canale!$A$2:$A$30,0))</f>
        <v>ai_web</v>
      </c>
      <c r="F204" s="10" t="str">
        <f aca="false">INDEX('Site-uri'!$C$2:$C$20,MATCH(A204,'Site-uri'!$A$2:$A$20,0))</f>
        <v>/</v>
      </c>
      <c r="G204" s="10" t="str">
        <f aca="false">Config!$B$3</f>
        <v>2610_ff_lansare</v>
      </c>
      <c r="H204" s="10" t="str">
        <f aca="false">Config!$B$4</f>
        <v>general</v>
      </c>
      <c r="I204" s="10" t="str">
        <f aca="false">"https://"&amp;B204&amp;F204&amp;"?utm_source="&amp;D204&amp;"&amp;utm_medium="&amp;E204&amp;"&amp;utm_campaign="&amp;G204&amp;"&amp;utm_content="&amp;H204</f>
        <v>https://eu-ai-audit.eu/?utm_source=llms_txt&amp;utm_medium=ai_web&amp;utm_campaign=2610_ff_lansare&amp;utm_content=general</v>
      </c>
    </row>
    <row r="205" customFormat="false" ht="15" hidden="false" customHeight="false" outlineLevel="0" collapsed="false">
      <c r="A205" s="10" t="s">
        <v>67</v>
      </c>
      <c r="B205" s="10" t="str">
        <f aca="false">INDEX('Site-uri'!$B$2:$B$20,MATCH(A205,'Site-uri'!$A$2:$A$20,0))</f>
        <v>eu-ai-ready.eu</v>
      </c>
      <c r="C205" s="10" t="s">
        <v>103</v>
      </c>
      <c r="D205" s="10" t="str">
        <f aca="false">INDEX(Canale!$C$2:$C$30,MATCH(C205,Canale!$A$2:$A$30,0))</f>
        <v>linkedin_personal</v>
      </c>
      <c r="E205" s="10" t="str">
        <f aca="false">INDEX(Canale!$D$2:$D$30,MATCH(C205,Canale!$A$2:$A$30,0))</f>
        <v>social</v>
      </c>
      <c r="F205" s="10" t="str">
        <f aca="false">INDEX('Site-uri'!$C$2:$C$20,MATCH(A205,'Site-uri'!$A$2:$A$20,0))</f>
        <v>/</v>
      </c>
      <c r="G205" s="10" t="str">
        <f aca="false">Config!$B$3</f>
        <v>2610_ff_lansare</v>
      </c>
      <c r="H205" s="10" t="str">
        <f aca="false">Config!$B$4</f>
        <v>general</v>
      </c>
      <c r="I205" s="10" t="str">
        <f aca="false">"https://"&amp;B205&amp;F205&amp;"?utm_source="&amp;D205&amp;"&amp;utm_medium="&amp;E205&amp;"&amp;utm_campaign="&amp;G205&amp;"&amp;utm_content="&amp;H205</f>
        <v>https://eu-ai-ready.eu/?utm_source=linkedin_personal&amp;utm_medium=social&amp;utm_campaign=2610_ff_lansare&amp;utm_content=general</v>
      </c>
    </row>
    <row r="206" customFormat="false" ht="15" hidden="false" customHeight="false" outlineLevel="0" collapsed="false">
      <c r="A206" s="10" t="s">
        <v>67</v>
      </c>
      <c r="B206" s="10" t="str">
        <f aca="false">INDEX('Site-uri'!$B$2:$B$20,MATCH(A206,'Site-uri'!$A$2:$A$20,0))</f>
        <v>eu-ai-ready.eu</v>
      </c>
      <c r="C206" s="10" t="s">
        <v>108</v>
      </c>
      <c r="D206" s="10" t="str">
        <f aca="false">INDEX(Canale!$C$2:$C$30,MATCH(C206,Canale!$A$2:$A$30,0))</f>
        <v>linkedin_company</v>
      </c>
      <c r="E206" s="10" t="str">
        <f aca="false">INDEX(Canale!$D$2:$D$30,MATCH(C206,Canale!$A$2:$A$30,0))</f>
        <v>social</v>
      </c>
      <c r="F206" s="10" t="str">
        <f aca="false">INDEX('Site-uri'!$C$2:$C$20,MATCH(A206,'Site-uri'!$A$2:$A$20,0))</f>
        <v>/</v>
      </c>
      <c r="G206" s="10" t="str">
        <f aca="false">Config!$B$3</f>
        <v>2610_ff_lansare</v>
      </c>
      <c r="H206" s="10" t="str">
        <f aca="false">Config!$B$4</f>
        <v>general</v>
      </c>
      <c r="I206" s="10" t="str">
        <f aca="false">"https://"&amp;B206&amp;F206&amp;"?utm_source="&amp;D206&amp;"&amp;utm_medium="&amp;E206&amp;"&amp;utm_campaign="&amp;G206&amp;"&amp;utm_content="&amp;H206</f>
        <v>https://eu-ai-ready.eu/?utm_source=linkedin_company&amp;utm_medium=social&amp;utm_campaign=2610_ff_lansare&amp;utm_content=general</v>
      </c>
    </row>
    <row r="207" customFormat="false" ht="15" hidden="false" customHeight="false" outlineLevel="0" collapsed="false">
      <c r="A207" s="10" t="s">
        <v>67</v>
      </c>
      <c r="B207" s="10" t="str">
        <f aca="false">INDEX('Site-uri'!$B$2:$B$20,MATCH(A207,'Site-uri'!$A$2:$A$20,0))</f>
        <v>eu-ai-ready.eu</v>
      </c>
      <c r="C207" s="10" t="s">
        <v>111</v>
      </c>
      <c r="D207" s="10" t="str">
        <f aca="false">INDEX(Canale!$C$2:$C$30,MATCH(C207,Canale!$A$2:$A$30,0))</f>
        <v>linkedin_showcase</v>
      </c>
      <c r="E207" s="10" t="str">
        <f aca="false">INDEX(Canale!$D$2:$D$30,MATCH(C207,Canale!$A$2:$A$30,0))</f>
        <v>social</v>
      </c>
      <c r="F207" s="10" t="str">
        <f aca="false">INDEX('Site-uri'!$C$2:$C$20,MATCH(A207,'Site-uri'!$A$2:$A$20,0))</f>
        <v>/</v>
      </c>
      <c r="G207" s="10" t="str">
        <f aca="false">Config!$B$3</f>
        <v>2610_ff_lansare</v>
      </c>
      <c r="H207" s="10" t="str">
        <f aca="false">Config!$B$4</f>
        <v>general</v>
      </c>
      <c r="I207" s="10" t="str">
        <f aca="false">"https://"&amp;B207&amp;F207&amp;"?utm_source="&amp;D207&amp;"&amp;utm_medium="&amp;E207&amp;"&amp;utm_campaign="&amp;G207&amp;"&amp;utm_content="&amp;H207</f>
        <v>https://eu-ai-ready.eu/?utm_source=linkedin_showcase&amp;utm_medium=social&amp;utm_campaign=2610_ff_lansare&amp;utm_content=general</v>
      </c>
    </row>
    <row r="208" customFormat="false" ht="15" hidden="false" customHeight="false" outlineLevel="0" collapsed="false">
      <c r="A208" s="10" t="s">
        <v>67</v>
      </c>
      <c r="B208" s="10" t="str">
        <f aca="false">INDEX('Site-uri'!$B$2:$B$20,MATCH(A208,'Site-uri'!$A$2:$A$20,0))</f>
        <v>eu-ai-ready.eu</v>
      </c>
      <c r="C208" s="10" t="s">
        <v>114</v>
      </c>
      <c r="D208" s="10" t="str">
        <f aca="false">INDEX(Canale!$C$2:$C$30,MATCH(C208,Canale!$A$2:$A$30,0))</f>
        <v>linkedin_newsletter</v>
      </c>
      <c r="E208" s="10" t="str">
        <f aca="false">INDEX(Canale!$D$2:$D$30,MATCH(C208,Canale!$A$2:$A$30,0))</f>
        <v>social</v>
      </c>
      <c r="F208" s="10" t="str">
        <f aca="false">INDEX('Site-uri'!$C$2:$C$20,MATCH(A208,'Site-uri'!$A$2:$A$20,0))</f>
        <v>/</v>
      </c>
      <c r="G208" s="10" t="str">
        <f aca="false">Config!$B$3</f>
        <v>2610_ff_lansare</v>
      </c>
      <c r="H208" s="10" t="str">
        <f aca="false">Config!$B$4</f>
        <v>general</v>
      </c>
      <c r="I208" s="10" t="str">
        <f aca="false">"https://"&amp;B208&amp;F208&amp;"?utm_source="&amp;D208&amp;"&amp;utm_medium="&amp;E208&amp;"&amp;utm_campaign="&amp;G208&amp;"&amp;utm_content="&amp;H208</f>
        <v>https://eu-ai-ready.eu/?utm_source=linkedin_newsletter&amp;utm_medium=social&amp;utm_campaign=2610_ff_lansare&amp;utm_content=general</v>
      </c>
    </row>
    <row r="209" customFormat="false" ht="15" hidden="false" customHeight="false" outlineLevel="0" collapsed="false">
      <c r="A209" s="10" t="s">
        <v>67</v>
      </c>
      <c r="B209" s="10" t="str">
        <f aca="false">INDEX('Site-uri'!$B$2:$B$20,MATCH(A209,'Site-uri'!$A$2:$A$20,0))</f>
        <v>eu-ai-ready.eu</v>
      </c>
      <c r="C209" s="10" t="s">
        <v>117</v>
      </c>
      <c r="D209" s="10" t="str">
        <f aca="false">INDEX(Canale!$C$2:$C$30,MATCH(C209,Canale!$A$2:$A$30,0))</f>
        <v>linkedin_ads</v>
      </c>
      <c r="E209" s="10" t="str">
        <f aca="false">INDEX(Canale!$D$2:$D$30,MATCH(C209,Canale!$A$2:$A$30,0))</f>
        <v>paid_social</v>
      </c>
      <c r="F209" s="10" t="str">
        <f aca="false">INDEX('Site-uri'!$C$2:$C$20,MATCH(A209,'Site-uri'!$A$2:$A$20,0))</f>
        <v>/</v>
      </c>
      <c r="G209" s="10" t="str">
        <f aca="false">Config!$B$3</f>
        <v>2610_ff_lansare</v>
      </c>
      <c r="H209" s="10" t="str">
        <f aca="false">Config!$B$4</f>
        <v>general</v>
      </c>
      <c r="I209" s="10" t="str">
        <f aca="false">"https://"&amp;B209&amp;F209&amp;"?utm_source="&amp;D209&amp;"&amp;utm_medium="&amp;E209&amp;"&amp;utm_campaign="&amp;G209&amp;"&amp;utm_content="&amp;H209</f>
        <v>https://eu-ai-ready.eu/?utm_source=linkedin_ads&amp;utm_medium=paid_social&amp;utm_campaign=2610_ff_lansare&amp;utm_content=general</v>
      </c>
    </row>
    <row r="210" customFormat="false" ht="15" hidden="false" customHeight="false" outlineLevel="0" collapsed="false">
      <c r="A210" s="10" t="s">
        <v>67</v>
      </c>
      <c r="B210" s="10" t="str">
        <f aca="false">INDEX('Site-uri'!$B$2:$B$20,MATCH(A210,'Site-uri'!$A$2:$A$20,0))</f>
        <v>eu-ai-ready.eu</v>
      </c>
      <c r="C210" s="10" t="s">
        <v>121</v>
      </c>
      <c r="D210" s="10" t="str">
        <f aca="false">INDEX(Canale!$C$2:$C$30,MATCH(C210,Canale!$A$2:$A$30,0))</f>
        <v>linkedin_dm</v>
      </c>
      <c r="E210" s="10" t="str">
        <f aca="false">INDEX(Canale!$D$2:$D$30,MATCH(C210,Canale!$A$2:$A$30,0))</f>
        <v>dm</v>
      </c>
      <c r="F210" s="10" t="str">
        <f aca="false">INDEX('Site-uri'!$C$2:$C$20,MATCH(A210,'Site-uri'!$A$2:$A$20,0))</f>
        <v>/</v>
      </c>
      <c r="G210" s="10" t="str">
        <f aca="false">Config!$B$3</f>
        <v>2610_ff_lansare</v>
      </c>
      <c r="H210" s="10" t="str">
        <f aca="false">Config!$B$4</f>
        <v>general</v>
      </c>
      <c r="I210" s="10" t="str">
        <f aca="false">"https://"&amp;B210&amp;F210&amp;"?utm_source="&amp;D210&amp;"&amp;utm_medium="&amp;E210&amp;"&amp;utm_campaign="&amp;G210&amp;"&amp;utm_content="&amp;H210</f>
        <v>https://eu-ai-ready.eu/?utm_source=linkedin_dm&amp;utm_medium=dm&amp;utm_campaign=2610_ff_lansare&amp;utm_content=general</v>
      </c>
    </row>
    <row r="211" customFormat="false" ht="15" hidden="false" customHeight="false" outlineLevel="0" collapsed="false">
      <c r="A211" s="10" t="s">
        <v>67</v>
      </c>
      <c r="B211" s="10" t="str">
        <f aca="false">INDEX('Site-uri'!$B$2:$B$20,MATCH(A211,'Site-uri'!$A$2:$A$20,0))</f>
        <v>eu-ai-ready.eu</v>
      </c>
      <c r="C211" s="10" t="s">
        <v>125</v>
      </c>
      <c r="D211" s="10" t="str">
        <f aca="false">INDEX(Canale!$C$2:$C$30,MATCH(C211,Canale!$A$2:$A$30,0))</f>
        <v>email_outreach</v>
      </c>
      <c r="E211" s="10" t="str">
        <f aca="false">INDEX(Canale!$D$2:$D$30,MATCH(C211,Canale!$A$2:$A$30,0))</f>
        <v>email</v>
      </c>
      <c r="F211" s="10" t="str">
        <f aca="false">INDEX('Site-uri'!$C$2:$C$20,MATCH(A211,'Site-uri'!$A$2:$A$20,0))</f>
        <v>/</v>
      </c>
      <c r="G211" s="10" t="str">
        <f aca="false">Config!$B$3</f>
        <v>2610_ff_lansare</v>
      </c>
      <c r="H211" s="10" t="str">
        <f aca="false">Config!$B$4</f>
        <v>general</v>
      </c>
      <c r="I211" s="10" t="str">
        <f aca="false">"https://"&amp;B211&amp;F211&amp;"?utm_source="&amp;D211&amp;"&amp;utm_medium="&amp;E211&amp;"&amp;utm_campaign="&amp;G211&amp;"&amp;utm_content="&amp;H211</f>
        <v>https://eu-ai-ready.eu/?utm_source=email_outreach&amp;utm_medium=email&amp;utm_campaign=2610_ff_lansare&amp;utm_content=general</v>
      </c>
    </row>
    <row r="212" customFormat="false" ht="15" hidden="false" customHeight="false" outlineLevel="0" collapsed="false">
      <c r="A212" s="10" t="s">
        <v>67</v>
      </c>
      <c r="B212" s="10" t="str">
        <f aca="false">INDEX('Site-uri'!$B$2:$B$20,MATCH(A212,'Site-uri'!$A$2:$A$20,0))</f>
        <v>eu-ai-ready.eu</v>
      </c>
      <c r="C212" s="10" t="s">
        <v>130</v>
      </c>
      <c r="D212" s="10" t="str">
        <f aca="false">INDEX(Canale!$C$2:$C$30,MATCH(C212,Canale!$A$2:$A$30,0))</f>
        <v>newsletter</v>
      </c>
      <c r="E212" s="10" t="str">
        <f aca="false">INDEX(Canale!$D$2:$D$30,MATCH(C212,Canale!$A$2:$A$30,0))</f>
        <v>email</v>
      </c>
      <c r="F212" s="10" t="str">
        <f aca="false">INDEX('Site-uri'!$C$2:$C$20,MATCH(A212,'Site-uri'!$A$2:$A$20,0))</f>
        <v>/</v>
      </c>
      <c r="G212" s="10" t="str">
        <f aca="false">Config!$B$3</f>
        <v>2610_ff_lansare</v>
      </c>
      <c r="H212" s="10" t="str">
        <f aca="false">Config!$B$4</f>
        <v>general</v>
      </c>
      <c r="I212" s="10" t="str">
        <f aca="false">"https://"&amp;B212&amp;F212&amp;"?utm_source="&amp;D212&amp;"&amp;utm_medium="&amp;E212&amp;"&amp;utm_campaign="&amp;G212&amp;"&amp;utm_content="&amp;H212</f>
        <v>https://eu-ai-ready.eu/?utm_source=newsletter&amp;utm_medium=email&amp;utm_campaign=2610_ff_lansare&amp;utm_content=general</v>
      </c>
    </row>
    <row r="213" customFormat="false" ht="15" hidden="false" customHeight="false" outlineLevel="0" collapsed="false">
      <c r="A213" s="10" t="s">
        <v>67</v>
      </c>
      <c r="B213" s="10" t="str">
        <f aca="false">INDEX('Site-uri'!$B$2:$B$20,MATCH(A213,'Site-uri'!$A$2:$A$20,0))</f>
        <v>eu-ai-ready.eu</v>
      </c>
      <c r="C213" s="10" t="s">
        <v>133</v>
      </c>
      <c r="D213" s="10" t="str">
        <f aca="false">INDEX(Canale!$C$2:$C$30,MATCH(C213,Canale!$A$2:$A$30,0))</f>
        <v>email_signature</v>
      </c>
      <c r="E213" s="10" t="str">
        <f aca="false">INDEX(Canale!$D$2:$D$30,MATCH(C213,Canale!$A$2:$A$30,0))</f>
        <v>email</v>
      </c>
      <c r="F213" s="10" t="str">
        <f aca="false">INDEX('Site-uri'!$C$2:$C$20,MATCH(A213,'Site-uri'!$A$2:$A$20,0))</f>
        <v>/</v>
      </c>
      <c r="G213" s="10" t="str">
        <f aca="false">Config!$B$3</f>
        <v>2610_ff_lansare</v>
      </c>
      <c r="H213" s="10" t="str">
        <f aca="false">Config!$B$4</f>
        <v>general</v>
      </c>
      <c r="I213" s="10" t="str">
        <f aca="false">"https://"&amp;B213&amp;F213&amp;"?utm_source="&amp;D213&amp;"&amp;utm_medium="&amp;E213&amp;"&amp;utm_campaign="&amp;G213&amp;"&amp;utm_content="&amp;H213</f>
        <v>https://eu-ai-ready.eu/?utm_source=email_signature&amp;utm_medium=email&amp;utm_campaign=2610_ff_lansare&amp;utm_content=general</v>
      </c>
    </row>
    <row r="214" customFormat="false" ht="15" hidden="false" customHeight="false" outlineLevel="0" collapsed="false">
      <c r="A214" s="10" t="s">
        <v>67</v>
      </c>
      <c r="B214" s="10" t="str">
        <f aca="false">INDEX('Site-uri'!$B$2:$B$20,MATCH(A214,'Site-uri'!$A$2:$A$20,0))</f>
        <v>eu-ai-ready.eu</v>
      </c>
      <c r="C214" s="10" t="s">
        <v>136</v>
      </c>
      <c r="D214" s="10" t="str">
        <f aca="false">INDEX(Canale!$C$2:$C$30,MATCH(C214,Canale!$A$2:$A$30,0))</f>
        <v>whatsapp</v>
      </c>
      <c r="E214" s="10" t="str">
        <f aca="false">INDEX(Canale!$D$2:$D$30,MATCH(C214,Canale!$A$2:$A$30,0))</f>
        <v>dm</v>
      </c>
      <c r="F214" s="10" t="str">
        <f aca="false">INDEX('Site-uri'!$C$2:$C$20,MATCH(A214,'Site-uri'!$A$2:$A$20,0))</f>
        <v>/</v>
      </c>
      <c r="G214" s="10" t="str">
        <f aca="false">Config!$B$3</f>
        <v>2610_ff_lansare</v>
      </c>
      <c r="H214" s="10" t="str">
        <f aca="false">Config!$B$4</f>
        <v>general</v>
      </c>
      <c r="I214" s="10" t="str">
        <f aca="false">"https://"&amp;B214&amp;F214&amp;"?utm_source="&amp;D214&amp;"&amp;utm_medium="&amp;E214&amp;"&amp;utm_campaign="&amp;G214&amp;"&amp;utm_content="&amp;H214</f>
        <v>https://eu-ai-ready.eu/?utm_source=whatsapp&amp;utm_medium=dm&amp;utm_campaign=2610_ff_lansare&amp;utm_content=general</v>
      </c>
    </row>
    <row r="215" customFormat="false" ht="15" hidden="false" customHeight="false" outlineLevel="0" collapsed="false">
      <c r="A215" s="10" t="s">
        <v>67</v>
      </c>
      <c r="B215" s="10" t="str">
        <f aca="false">INDEX('Site-uri'!$B$2:$B$20,MATCH(A215,'Site-uri'!$A$2:$A$20,0))</f>
        <v>eu-ai-ready.eu</v>
      </c>
      <c r="C215" s="10" t="s">
        <v>140</v>
      </c>
      <c r="D215" s="10" t="str">
        <f aca="false">INDEX(Canale!$C$2:$C$30,MATCH(C215,Canale!$A$2:$A$30,0))</f>
        <v>google</v>
      </c>
      <c r="E215" s="10" t="str">
        <f aca="false">INDEX(Canale!$D$2:$D$30,MATCH(C215,Canale!$A$2:$A$30,0))</f>
        <v>cpc</v>
      </c>
      <c r="F215" s="10" t="str">
        <f aca="false">INDEX('Site-uri'!$C$2:$C$20,MATCH(A215,'Site-uri'!$A$2:$A$20,0))</f>
        <v>/</v>
      </c>
      <c r="G215" s="10" t="str">
        <f aca="false">Config!$B$3</f>
        <v>2610_ff_lansare</v>
      </c>
      <c r="H215" s="10" t="str">
        <f aca="false">Config!$B$4</f>
        <v>general</v>
      </c>
      <c r="I215" s="10" t="str">
        <f aca="false">"https://"&amp;B215&amp;F215&amp;"?utm_source="&amp;D215&amp;"&amp;utm_medium="&amp;E215&amp;"&amp;utm_campaign="&amp;G215&amp;"&amp;utm_content="&amp;H215</f>
        <v>https://eu-ai-ready.eu/?utm_source=google&amp;utm_medium=cpc&amp;utm_campaign=2610_ff_lansare&amp;utm_content=general</v>
      </c>
    </row>
    <row r="216" customFormat="false" ht="15" hidden="false" customHeight="false" outlineLevel="0" collapsed="false">
      <c r="A216" s="10" t="s">
        <v>67</v>
      </c>
      <c r="B216" s="10" t="str">
        <f aca="false">INDEX('Site-uri'!$B$2:$B$20,MATCH(A216,'Site-uri'!$A$2:$A$20,0))</f>
        <v>eu-ai-ready.eu</v>
      </c>
      <c r="C216" s="10" t="s">
        <v>145</v>
      </c>
      <c r="D216" s="10" t="str">
        <f aca="false">INDEX(Canale!$C$2:$C$30,MATCH(C216,Canale!$A$2:$A$30,0))</f>
        <v>bing</v>
      </c>
      <c r="E216" s="10" t="str">
        <f aca="false">INDEX(Canale!$D$2:$D$30,MATCH(C216,Canale!$A$2:$A$30,0))</f>
        <v>cpc</v>
      </c>
      <c r="F216" s="10" t="str">
        <f aca="false">INDEX('Site-uri'!$C$2:$C$20,MATCH(A216,'Site-uri'!$A$2:$A$20,0))</f>
        <v>/</v>
      </c>
      <c r="G216" s="10" t="str">
        <f aca="false">Config!$B$3</f>
        <v>2610_ff_lansare</v>
      </c>
      <c r="H216" s="10" t="str">
        <f aca="false">Config!$B$4</f>
        <v>general</v>
      </c>
      <c r="I216" s="10" t="str">
        <f aca="false">"https://"&amp;B216&amp;F216&amp;"?utm_source="&amp;D216&amp;"&amp;utm_medium="&amp;E216&amp;"&amp;utm_campaign="&amp;G216&amp;"&amp;utm_content="&amp;H216</f>
        <v>https://eu-ai-ready.eu/?utm_source=bing&amp;utm_medium=cpc&amp;utm_campaign=2610_ff_lansare&amp;utm_content=general</v>
      </c>
    </row>
    <row r="217" customFormat="false" ht="15" hidden="false" customHeight="false" outlineLevel="0" collapsed="false">
      <c r="A217" s="10" t="s">
        <v>67</v>
      </c>
      <c r="B217" s="10" t="str">
        <f aca="false">INDEX('Site-uri'!$B$2:$B$20,MATCH(A217,'Site-uri'!$A$2:$A$20,0))</f>
        <v>eu-ai-ready.eu</v>
      </c>
      <c r="C217" s="10" t="s">
        <v>148</v>
      </c>
      <c r="D217" s="10" t="str">
        <f aca="false">INDEX(Canale!$C$2:$C$30,MATCH(C217,Canale!$A$2:$A$30,0))</f>
        <v>facebook</v>
      </c>
      <c r="E217" s="10" t="str">
        <f aca="false">INDEX(Canale!$D$2:$D$30,MATCH(C217,Canale!$A$2:$A$30,0))</f>
        <v>social</v>
      </c>
      <c r="F217" s="10" t="str">
        <f aca="false">INDEX('Site-uri'!$C$2:$C$20,MATCH(A217,'Site-uri'!$A$2:$A$20,0))</f>
        <v>/</v>
      </c>
      <c r="G217" s="10" t="str">
        <f aca="false">Config!$B$3</f>
        <v>2610_ff_lansare</v>
      </c>
      <c r="H217" s="10" t="str">
        <f aca="false">Config!$B$4</f>
        <v>general</v>
      </c>
      <c r="I217" s="10" t="str">
        <f aca="false">"https://"&amp;B217&amp;F217&amp;"?utm_source="&amp;D217&amp;"&amp;utm_medium="&amp;E217&amp;"&amp;utm_campaign="&amp;G217&amp;"&amp;utm_content="&amp;H217</f>
        <v>https://eu-ai-ready.eu/?utm_source=facebook&amp;utm_medium=social&amp;utm_campaign=2610_ff_lansare&amp;utm_content=general</v>
      </c>
    </row>
    <row r="218" customFormat="false" ht="15" hidden="false" customHeight="false" outlineLevel="0" collapsed="false">
      <c r="A218" s="10" t="s">
        <v>67</v>
      </c>
      <c r="B218" s="10" t="str">
        <f aca="false">INDEX('Site-uri'!$B$2:$B$20,MATCH(A218,'Site-uri'!$A$2:$A$20,0))</f>
        <v>eu-ai-ready.eu</v>
      </c>
      <c r="C218" s="10" t="s">
        <v>152</v>
      </c>
      <c r="D218" s="10" t="str">
        <f aca="false">INDEX(Canale!$C$2:$C$30,MATCH(C218,Canale!$A$2:$A$30,0))</f>
        <v>x</v>
      </c>
      <c r="E218" s="10" t="str">
        <f aca="false">INDEX(Canale!$D$2:$D$30,MATCH(C218,Canale!$A$2:$A$30,0))</f>
        <v>social</v>
      </c>
      <c r="F218" s="10" t="str">
        <f aca="false">INDEX('Site-uri'!$C$2:$C$20,MATCH(A218,'Site-uri'!$A$2:$A$20,0))</f>
        <v>/</v>
      </c>
      <c r="G218" s="10" t="str">
        <f aca="false">Config!$B$3</f>
        <v>2610_ff_lansare</v>
      </c>
      <c r="H218" s="10" t="str">
        <f aca="false">Config!$B$4</f>
        <v>general</v>
      </c>
      <c r="I218" s="10" t="str">
        <f aca="false">"https://"&amp;B218&amp;F218&amp;"?utm_source="&amp;D218&amp;"&amp;utm_medium="&amp;E218&amp;"&amp;utm_campaign="&amp;G218&amp;"&amp;utm_content="&amp;H218</f>
        <v>https://eu-ai-ready.eu/?utm_source=x&amp;utm_medium=social&amp;utm_campaign=2610_ff_lansare&amp;utm_content=general</v>
      </c>
    </row>
    <row r="219" customFormat="false" ht="15" hidden="false" customHeight="false" outlineLevel="0" collapsed="false">
      <c r="A219" s="10" t="s">
        <v>67</v>
      </c>
      <c r="B219" s="10" t="str">
        <f aca="false">INDEX('Site-uri'!$B$2:$B$20,MATCH(A219,'Site-uri'!$A$2:$A$20,0))</f>
        <v>eu-ai-ready.eu</v>
      </c>
      <c r="C219" s="10" t="s">
        <v>154</v>
      </c>
      <c r="D219" s="10" t="str">
        <f aca="false">INDEX(Canale!$C$2:$C$30,MATCH(C219,Canale!$A$2:$A$30,0))</f>
        <v>youtube</v>
      </c>
      <c r="E219" s="10" t="str">
        <f aca="false">INDEX(Canale!$D$2:$D$30,MATCH(C219,Canale!$A$2:$A$30,0))</f>
        <v>video</v>
      </c>
      <c r="F219" s="10" t="str">
        <f aca="false">INDEX('Site-uri'!$C$2:$C$20,MATCH(A219,'Site-uri'!$A$2:$A$20,0))</f>
        <v>/</v>
      </c>
      <c r="G219" s="10" t="str">
        <f aca="false">Config!$B$3</f>
        <v>2610_ff_lansare</v>
      </c>
      <c r="H219" s="10" t="str">
        <f aca="false">Config!$B$4</f>
        <v>general</v>
      </c>
      <c r="I219" s="10" t="str">
        <f aca="false">"https://"&amp;B219&amp;F219&amp;"?utm_source="&amp;D219&amp;"&amp;utm_medium="&amp;E219&amp;"&amp;utm_campaign="&amp;G219&amp;"&amp;utm_content="&amp;H219</f>
        <v>https://eu-ai-ready.eu/?utm_source=youtube&amp;utm_medium=video&amp;utm_campaign=2610_ff_lansare&amp;utm_content=general</v>
      </c>
    </row>
    <row r="220" customFormat="false" ht="15" hidden="false" customHeight="false" outlineLevel="0" collapsed="false">
      <c r="A220" s="10" t="s">
        <v>67</v>
      </c>
      <c r="B220" s="10" t="str">
        <f aca="false">INDEX('Site-uri'!$B$2:$B$20,MATCH(A220,'Site-uri'!$A$2:$A$20,0))</f>
        <v>eu-ai-ready.eu</v>
      </c>
      <c r="C220" s="10" t="s">
        <v>159</v>
      </c>
      <c r="D220" s="10" t="str">
        <f aca="false">INDEX(Canale!$C$2:$C$30,MATCH(C220,Canale!$A$2:$A$30,0))</f>
        <v>medium</v>
      </c>
      <c r="E220" s="10" t="str">
        <f aca="false">INDEX(Canale!$D$2:$D$30,MATCH(C220,Canale!$A$2:$A$30,0))</f>
        <v>content</v>
      </c>
      <c r="F220" s="10" t="str">
        <f aca="false">INDEX('Site-uri'!$C$2:$C$20,MATCH(A220,'Site-uri'!$A$2:$A$20,0))</f>
        <v>/</v>
      </c>
      <c r="G220" s="10" t="str">
        <f aca="false">Config!$B$3</f>
        <v>2610_ff_lansare</v>
      </c>
      <c r="H220" s="10" t="str">
        <f aca="false">Config!$B$4</f>
        <v>general</v>
      </c>
      <c r="I220" s="10" t="str">
        <f aca="false">"https://"&amp;B220&amp;F220&amp;"?utm_source="&amp;D220&amp;"&amp;utm_medium="&amp;E220&amp;"&amp;utm_campaign="&amp;G220&amp;"&amp;utm_content="&amp;H220</f>
        <v>https://eu-ai-ready.eu/?utm_source=medium&amp;utm_medium=content&amp;utm_campaign=2610_ff_lansare&amp;utm_content=general</v>
      </c>
    </row>
    <row r="221" customFormat="false" ht="15" hidden="false" customHeight="false" outlineLevel="0" collapsed="false">
      <c r="A221" s="10" t="s">
        <v>67</v>
      </c>
      <c r="B221" s="10" t="str">
        <f aca="false">INDEX('Site-uri'!$B$2:$B$20,MATCH(A221,'Site-uri'!$A$2:$A$20,0))</f>
        <v>eu-ai-ready.eu</v>
      </c>
      <c r="C221" s="10" t="s">
        <v>164</v>
      </c>
      <c r="D221" s="10" t="str">
        <f aca="false">INDEX(Canale!$C$2:$C$30,MATCH(C221,Canale!$A$2:$A$30,0))</f>
        <v>crunchbase</v>
      </c>
      <c r="E221" s="10" t="str">
        <f aca="false">INDEX(Canale!$D$2:$D$30,MATCH(C221,Canale!$A$2:$A$30,0))</f>
        <v>referral</v>
      </c>
      <c r="F221" s="10" t="str">
        <f aca="false">INDEX('Site-uri'!$C$2:$C$20,MATCH(A221,'Site-uri'!$A$2:$A$20,0))</f>
        <v>/</v>
      </c>
      <c r="G221" s="10" t="str">
        <f aca="false">Config!$B$3</f>
        <v>2610_ff_lansare</v>
      </c>
      <c r="H221" s="10" t="str">
        <f aca="false">Config!$B$4</f>
        <v>general</v>
      </c>
      <c r="I221" s="10" t="str">
        <f aca="false">"https://"&amp;B221&amp;F221&amp;"?utm_source="&amp;D221&amp;"&amp;utm_medium="&amp;E221&amp;"&amp;utm_campaign="&amp;G221&amp;"&amp;utm_content="&amp;H221</f>
        <v>https://eu-ai-ready.eu/?utm_source=crunchbase&amp;utm_medium=referral&amp;utm_campaign=2610_ff_lansare&amp;utm_content=general</v>
      </c>
    </row>
    <row r="222" customFormat="false" ht="15" hidden="false" customHeight="false" outlineLevel="0" collapsed="false">
      <c r="A222" s="10" t="s">
        <v>67</v>
      </c>
      <c r="B222" s="10" t="str">
        <f aca="false">INDEX('Site-uri'!$B$2:$B$20,MATCH(A222,'Site-uri'!$A$2:$A$20,0))</f>
        <v>eu-ai-ready.eu</v>
      </c>
      <c r="C222" s="10" t="s">
        <v>169</v>
      </c>
      <c r="D222" s="10" t="str">
        <f aca="false">INDEX(Canale!$C$2:$C$30,MATCH(C222,Canale!$A$2:$A$30,0))</f>
        <v>zenodo</v>
      </c>
      <c r="E222" s="10" t="str">
        <f aca="false">INDEX(Canale!$D$2:$D$30,MATCH(C222,Canale!$A$2:$A$30,0))</f>
        <v>referral</v>
      </c>
      <c r="F222" s="10" t="str">
        <f aca="false">INDEX('Site-uri'!$C$2:$C$20,MATCH(A222,'Site-uri'!$A$2:$A$20,0))</f>
        <v>/</v>
      </c>
      <c r="G222" s="10" t="str">
        <f aca="false">Config!$B$3</f>
        <v>2610_ff_lansare</v>
      </c>
      <c r="H222" s="10" t="str">
        <f aca="false">Config!$B$4</f>
        <v>general</v>
      </c>
      <c r="I222" s="10" t="str">
        <f aca="false">"https://"&amp;B222&amp;F222&amp;"?utm_source="&amp;D222&amp;"&amp;utm_medium="&amp;E222&amp;"&amp;utm_campaign="&amp;G222&amp;"&amp;utm_content="&amp;H222</f>
        <v>https://eu-ai-ready.eu/?utm_source=zenodo&amp;utm_medium=referral&amp;utm_campaign=2610_ff_lansare&amp;utm_content=general</v>
      </c>
    </row>
    <row r="223" customFormat="false" ht="15" hidden="false" customHeight="false" outlineLevel="0" collapsed="false">
      <c r="A223" s="10" t="s">
        <v>67</v>
      </c>
      <c r="B223" s="10" t="str">
        <f aca="false">INDEX('Site-uri'!$B$2:$B$20,MATCH(A223,'Site-uri'!$A$2:$A$20,0))</f>
        <v>eu-ai-ready.eu</v>
      </c>
      <c r="C223" s="10" t="s">
        <v>172</v>
      </c>
      <c r="D223" s="10" t="str">
        <f aca="false">INDEX(Canale!$C$2:$C$30,MATCH(C223,Canale!$A$2:$A$30,0))</f>
        <v>orcid</v>
      </c>
      <c r="E223" s="10" t="str">
        <f aca="false">INDEX(Canale!$D$2:$D$30,MATCH(C223,Canale!$A$2:$A$30,0))</f>
        <v>referral</v>
      </c>
      <c r="F223" s="10" t="str">
        <f aca="false">INDEX('Site-uri'!$C$2:$C$20,MATCH(A223,'Site-uri'!$A$2:$A$20,0))</f>
        <v>/</v>
      </c>
      <c r="G223" s="10" t="str">
        <f aca="false">Config!$B$3</f>
        <v>2610_ff_lansare</v>
      </c>
      <c r="H223" s="10" t="str">
        <f aca="false">Config!$B$4</f>
        <v>general</v>
      </c>
      <c r="I223" s="10" t="str">
        <f aca="false">"https://"&amp;B223&amp;F223&amp;"?utm_source="&amp;D223&amp;"&amp;utm_medium="&amp;E223&amp;"&amp;utm_campaign="&amp;G223&amp;"&amp;utm_content="&amp;H223</f>
        <v>https://eu-ai-ready.eu/?utm_source=orcid&amp;utm_medium=referral&amp;utm_campaign=2610_ff_lansare&amp;utm_content=general</v>
      </c>
    </row>
    <row r="224" customFormat="false" ht="15" hidden="false" customHeight="false" outlineLevel="0" collapsed="false">
      <c r="A224" s="10" t="s">
        <v>67</v>
      </c>
      <c r="B224" s="10" t="str">
        <f aca="false">INDEX('Site-uri'!$B$2:$B$20,MATCH(A224,'Site-uri'!$A$2:$A$20,0))</f>
        <v>eu-ai-ready.eu</v>
      </c>
      <c r="C224" s="10" t="s">
        <v>175</v>
      </c>
      <c r="D224" s="10" t="str">
        <f aca="false">INDEX(Canale!$C$2:$C$30,MATCH(C224,Canale!$A$2:$A$30,0))</f>
        <v>github</v>
      </c>
      <c r="E224" s="10" t="str">
        <f aca="false">INDEX(Canale!$D$2:$D$30,MATCH(C224,Canale!$A$2:$A$30,0))</f>
        <v>referral</v>
      </c>
      <c r="F224" s="10" t="str">
        <f aca="false">INDEX('Site-uri'!$C$2:$C$20,MATCH(A224,'Site-uri'!$A$2:$A$20,0))</f>
        <v>/</v>
      </c>
      <c r="G224" s="10" t="str">
        <f aca="false">Config!$B$3</f>
        <v>2610_ff_lansare</v>
      </c>
      <c r="H224" s="10" t="str">
        <f aca="false">Config!$B$4</f>
        <v>general</v>
      </c>
      <c r="I224" s="10" t="str">
        <f aca="false">"https://"&amp;B224&amp;F224&amp;"?utm_source="&amp;D224&amp;"&amp;utm_medium="&amp;E224&amp;"&amp;utm_campaign="&amp;G224&amp;"&amp;utm_content="&amp;H224</f>
        <v>https://eu-ai-ready.eu/?utm_source=github&amp;utm_medium=referral&amp;utm_campaign=2610_ff_lansare&amp;utm_content=general</v>
      </c>
    </row>
    <row r="225" customFormat="false" ht="15" hidden="false" customHeight="false" outlineLevel="0" collapsed="false">
      <c r="A225" s="10" t="s">
        <v>67</v>
      </c>
      <c r="B225" s="10" t="str">
        <f aca="false">INDEX('Site-uri'!$B$2:$B$20,MATCH(A225,'Site-uri'!$A$2:$A$20,0))</f>
        <v>eu-ai-ready.eu</v>
      </c>
      <c r="C225" s="10" t="s">
        <v>178</v>
      </c>
      <c r="D225" s="10" t="str">
        <f aca="false">INDEX(Canale!$C$2:$C$30,MATCH(C225,Canale!$A$2:$A$30,0))</f>
        <v>kdp_book</v>
      </c>
      <c r="E225" s="10" t="str">
        <f aca="false">INDEX(Canale!$D$2:$D$30,MATCH(C225,Canale!$A$2:$A$30,0))</f>
        <v>book</v>
      </c>
      <c r="F225" s="10" t="str">
        <f aca="false">INDEX('Site-uri'!$C$2:$C$20,MATCH(A225,'Site-uri'!$A$2:$A$20,0))</f>
        <v>/</v>
      </c>
      <c r="G225" s="10" t="str">
        <f aca="false">Config!$B$3</f>
        <v>2610_ff_lansare</v>
      </c>
      <c r="H225" s="10" t="str">
        <f aca="false">Config!$B$4</f>
        <v>general</v>
      </c>
      <c r="I225" s="10" t="str">
        <f aca="false">"https://"&amp;B225&amp;F225&amp;"?utm_source="&amp;D225&amp;"&amp;utm_medium="&amp;E225&amp;"&amp;utm_campaign="&amp;G225&amp;"&amp;utm_content="&amp;H225</f>
        <v>https://eu-ai-ready.eu/?utm_source=kdp_book&amp;utm_medium=book&amp;utm_campaign=2610_ff_lansare&amp;utm_content=general</v>
      </c>
    </row>
    <row r="226" customFormat="false" ht="15" hidden="false" customHeight="false" outlineLevel="0" collapsed="false">
      <c r="A226" s="10" t="s">
        <v>67</v>
      </c>
      <c r="B226" s="10" t="str">
        <f aca="false">INDEX('Site-uri'!$B$2:$B$20,MATCH(A226,'Site-uri'!$A$2:$A$20,0))</f>
        <v>eu-ai-ready.eu</v>
      </c>
      <c r="C226" s="10" t="s">
        <v>183</v>
      </c>
      <c r="D226" s="10" t="str">
        <f aca="false">INDEX(Canale!$C$2:$C$30,MATCH(C226,Canale!$A$2:$A$30,0))</f>
        <v>udemy</v>
      </c>
      <c r="E226" s="10" t="str">
        <f aca="false">INDEX(Canale!$D$2:$D$30,MATCH(C226,Canale!$A$2:$A$30,0))</f>
        <v>course</v>
      </c>
      <c r="F226" s="10" t="str">
        <f aca="false">INDEX('Site-uri'!$C$2:$C$20,MATCH(A226,'Site-uri'!$A$2:$A$20,0))</f>
        <v>/</v>
      </c>
      <c r="G226" s="10" t="str">
        <f aca="false">Config!$B$3</f>
        <v>2610_ff_lansare</v>
      </c>
      <c r="H226" s="10" t="str">
        <f aca="false">Config!$B$4</f>
        <v>general</v>
      </c>
      <c r="I226" s="10" t="str">
        <f aca="false">"https://"&amp;B226&amp;F226&amp;"?utm_source="&amp;D226&amp;"&amp;utm_medium="&amp;E226&amp;"&amp;utm_campaign="&amp;G226&amp;"&amp;utm_content="&amp;H226</f>
        <v>https://eu-ai-ready.eu/?utm_source=udemy&amp;utm_medium=course&amp;utm_campaign=2610_ff_lansare&amp;utm_content=general</v>
      </c>
    </row>
    <row r="227" customFormat="false" ht="15" hidden="false" customHeight="false" outlineLevel="0" collapsed="false">
      <c r="A227" s="10" t="s">
        <v>67</v>
      </c>
      <c r="B227" s="10" t="str">
        <f aca="false">INDEX('Site-uri'!$B$2:$B$20,MATCH(A227,'Site-uri'!$A$2:$A$20,0))</f>
        <v>eu-ai-ready.eu</v>
      </c>
      <c r="C227" s="10" t="s">
        <v>186</v>
      </c>
      <c r="D227" s="10" t="str">
        <f aca="false">INDEX(Canale!$C$2:$C$30,MATCH(C227,Canale!$A$2:$A$30,0))</f>
        <v>directory</v>
      </c>
      <c r="E227" s="10" t="str">
        <f aca="false">INDEX(Canale!$D$2:$D$30,MATCH(C227,Canale!$A$2:$A$30,0))</f>
        <v>referral</v>
      </c>
      <c r="F227" s="10" t="str">
        <f aca="false">INDEX('Site-uri'!$C$2:$C$20,MATCH(A227,'Site-uri'!$A$2:$A$20,0))</f>
        <v>/</v>
      </c>
      <c r="G227" s="10" t="str">
        <f aca="false">Config!$B$3</f>
        <v>2610_ff_lansare</v>
      </c>
      <c r="H227" s="10" t="str">
        <f aca="false">Config!$B$4</f>
        <v>general</v>
      </c>
      <c r="I227" s="10" t="str">
        <f aca="false">"https://"&amp;B227&amp;F227&amp;"?utm_source="&amp;D227&amp;"&amp;utm_medium="&amp;E227&amp;"&amp;utm_campaign="&amp;G227&amp;"&amp;utm_content="&amp;H227</f>
        <v>https://eu-ai-ready.eu/?utm_source=directory&amp;utm_medium=referral&amp;utm_campaign=2610_ff_lansare&amp;utm_content=general</v>
      </c>
    </row>
    <row r="228" customFormat="false" ht="15" hidden="false" customHeight="false" outlineLevel="0" collapsed="false">
      <c r="A228" s="10" t="s">
        <v>67</v>
      </c>
      <c r="B228" s="10" t="str">
        <f aca="false">INDEX('Site-uri'!$B$2:$B$20,MATCH(A228,'Site-uri'!$A$2:$A$20,0))</f>
        <v>eu-ai-ready.eu</v>
      </c>
      <c r="C228" s="10" t="s">
        <v>190</v>
      </c>
      <c r="D228" s="10" t="str">
        <f aca="false">INDEX(Canale!$C$2:$C$30,MATCH(C228,Canale!$A$2:$A$30,0))</f>
        <v>partner</v>
      </c>
      <c r="E228" s="10" t="str">
        <f aca="false">INDEX(Canale!$D$2:$D$30,MATCH(C228,Canale!$A$2:$A$30,0))</f>
        <v>partner</v>
      </c>
      <c r="F228" s="10" t="str">
        <f aca="false">INDEX('Site-uri'!$C$2:$C$20,MATCH(A228,'Site-uri'!$A$2:$A$20,0))</f>
        <v>/</v>
      </c>
      <c r="G228" s="10" t="str">
        <f aca="false">Config!$B$3</f>
        <v>2610_ff_lansare</v>
      </c>
      <c r="H228" s="10" t="str">
        <f aca="false">Config!$B$4</f>
        <v>general</v>
      </c>
      <c r="I228" s="10" t="str">
        <f aca="false">"https://"&amp;B228&amp;F228&amp;"?utm_source="&amp;D228&amp;"&amp;utm_medium="&amp;E228&amp;"&amp;utm_campaign="&amp;G228&amp;"&amp;utm_content="&amp;H228</f>
        <v>https://eu-ai-ready.eu/?utm_source=partner&amp;utm_medium=partner&amp;utm_campaign=2610_ff_lansare&amp;utm_content=general</v>
      </c>
    </row>
    <row r="229" customFormat="false" ht="15" hidden="false" customHeight="false" outlineLevel="0" collapsed="false">
      <c r="A229" s="10" t="s">
        <v>67</v>
      </c>
      <c r="B229" s="10" t="str">
        <f aca="false">INDEX('Site-uri'!$B$2:$B$20,MATCH(A229,'Site-uri'!$A$2:$A$20,0))</f>
        <v>eu-ai-ready.eu</v>
      </c>
      <c r="C229" s="10" t="s">
        <v>192</v>
      </c>
      <c r="D229" s="10" t="str">
        <f aca="false">INDEX(Canale!$C$2:$C$30,MATCH(C229,Canale!$A$2:$A$30,0))</f>
        <v>pdf_proposal</v>
      </c>
      <c r="E229" s="10" t="str">
        <f aca="false">INDEX(Canale!$D$2:$D$30,MATCH(C229,Canale!$A$2:$A$30,0))</f>
        <v>document</v>
      </c>
      <c r="F229" s="10" t="str">
        <f aca="false">INDEX('Site-uri'!$C$2:$C$20,MATCH(A229,'Site-uri'!$A$2:$A$20,0))</f>
        <v>/</v>
      </c>
      <c r="G229" s="10" t="str">
        <f aca="false">Config!$B$3</f>
        <v>2610_ff_lansare</v>
      </c>
      <c r="H229" s="10" t="str">
        <f aca="false">Config!$B$4</f>
        <v>general</v>
      </c>
      <c r="I229" s="10" t="str">
        <f aca="false">"https://"&amp;B229&amp;F229&amp;"?utm_source="&amp;D229&amp;"&amp;utm_medium="&amp;E229&amp;"&amp;utm_campaign="&amp;G229&amp;"&amp;utm_content="&amp;H229</f>
        <v>https://eu-ai-ready.eu/?utm_source=pdf_proposal&amp;utm_medium=document&amp;utm_campaign=2610_ff_lansare&amp;utm_content=general</v>
      </c>
    </row>
    <row r="230" customFormat="false" ht="15" hidden="false" customHeight="false" outlineLevel="0" collapsed="false">
      <c r="A230" s="10" t="s">
        <v>67</v>
      </c>
      <c r="B230" s="10" t="str">
        <f aca="false">INDEX('Site-uri'!$B$2:$B$20,MATCH(A230,'Site-uri'!$A$2:$A$20,0))</f>
        <v>eu-ai-ready.eu</v>
      </c>
      <c r="C230" s="10" t="s">
        <v>197</v>
      </c>
      <c r="D230" s="10" t="str">
        <f aca="false">INDEX(Canale!$C$2:$C$30,MATCH(C230,Canale!$A$2:$A$30,0))</f>
        <v>qr_print</v>
      </c>
      <c r="E230" s="10" t="str">
        <f aca="false">INDEX(Canale!$D$2:$D$30,MATCH(C230,Canale!$A$2:$A$30,0))</f>
        <v>qr</v>
      </c>
      <c r="F230" s="10" t="str">
        <f aca="false">INDEX('Site-uri'!$C$2:$C$20,MATCH(A230,'Site-uri'!$A$2:$A$20,0))</f>
        <v>/</v>
      </c>
      <c r="G230" s="10" t="str">
        <f aca="false">Config!$B$3</f>
        <v>2610_ff_lansare</v>
      </c>
      <c r="H230" s="10" t="str">
        <f aca="false">Config!$B$4</f>
        <v>general</v>
      </c>
      <c r="I230" s="10" t="str">
        <f aca="false">"https://"&amp;B230&amp;F230&amp;"?utm_source="&amp;D230&amp;"&amp;utm_medium="&amp;E230&amp;"&amp;utm_campaign="&amp;G230&amp;"&amp;utm_content="&amp;H230</f>
        <v>https://eu-ai-ready.eu/?utm_source=qr_print&amp;utm_medium=qr&amp;utm_campaign=2610_ff_lansare&amp;utm_content=general</v>
      </c>
    </row>
    <row r="231" customFormat="false" ht="15" hidden="false" customHeight="false" outlineLevel="0" collapsed="false">
      <c r="A231" s="10" t="s">
        <v>67</v>
      </c>
      <c r="B231" s="10" t="str">
        <f aca="false">INDEX('Site-uri'!$B$2:$B$20,MATCH(A231,'Site-uri'!$A$2:$A$20,0))</f>
        <v>eu-ai-ready.eu</v>
      </c>
      <c r="C231" s="10" t="s">
        <v>201</v>
      </c>
      <c r="D231" s="10" t="str">
        <f aca="false">INDEX(Canale!$C$2:$C$30,MATCH(C231,Canale!$A$2:$A$30,0))</f>
        <v>event</v>
      </c>
      <c r="E231" s="10" t="str">
        <f aca="false">INDEX(Canale!$D$2:$D$30,MATCH(C231,Canale!$A$2:$A$30,0))</f>
        <v>event</v>
      </c>
      <c r="F231" s="10" t="str">
        <f aca="false">INDEX('Site-uri'!$C$2:$C$20,MATCH(A231,'Site-uri'!$A$2:$A$20,0))</f>
        <v>/</v>
      </c>
      <c r="G231" s="10" t="str">
        <f aca="false">Config!$B$3</f>
        <v>2610_ff_lansare</v>
      </c>
      <c r="H231" s="10" t="str">
        <f aca="false">Config!$B$4</f>
        <v>general</v>
      </c>
      <c r="I231" s="10" t="str">
        <f aca="false">"https://"&amp;B231&amp;F231&amp;"?utm_source="&amp;D231&amp;"&amp;utm_medium="&amp;E231&amp;"&amp;utm_campaign="&amp;G231&amp;"&amp;utm_content="&amp;H231</f>
        <v>https://eu-ai-ready.eu/?utm_source=event&amp;utm_medium=event&amp;utm_campaign=2610_ff_lansare&amp;utm_content=general</v>
      </c>
    </row>
    <row r="232" customFormat="false" ht="15" hidden="false" customHeight="false" outlineLevel="0" collapsed="false">
      <c r="A232" s="10" t="s">
        <v>67</v>
      </c>
      <c r="B232" s="10" t="str">
        <f aca="false">INDEX('Site-uri'!$B$2:$B$20,MATCH(A232,'Site-uri'!$A$2:$A$20,0))</f>
        <v>eu-ai-ready.eu</v>
      </c>
      <c r="C232" s="10" t="s">
        <v>203</v>
      </c>
      <c r="D232" s="10" t="str">
        <f aca="false">INDEX(Canale!$C$2:$C$30,MATCH(C232,Canale!$A$2:$A$30,0))</f>
        <v>a2a_agent_card</v>
      </c>
      <c r="E232" s="10" t="str">
        <f aca="false">INDEX(Canale!$D$2:$D$30,MATCH(C232,Canale!$A$2:$A$30,0))</f>
        <v>agent</v>
      </c>
      <c r="F232" s="10" t="str">
        <f aca="false">INDEX('Site-uri'!$C$2:$C$20,MATCH(A232,'Site-uri'!$A$2:$A$20,0))</f>
        <v>/</v>
      </c>
      <c r="G232" s="10" t="str">
        <f aca="false">Config!$B$3</f>
        <v>2610_ff_lansare</v>
      </c>
      <c r="H232" s="10" t="str">
        <f aca="false">Config!$B$4</f>
        <v>general</v>
      </c>
      <c r="I232" s="10" t="str">
        <f aca="false">"https://"&amp;B232&amp;F232&amp;"?utm_source="&amp;D232&amp;"&amp;utm_medium="&amp;E232&amp;"&amp;utm_campaign="&amp;G232&amp;"&amp;utm_content="&amp;H232</f>
        <v>https://eu-ai-ready.eu/?utm_source=a2a_agent_card&amp;utm_medium=agent&amp;utm_campaign=2610_ff_lansare&amp;utm_content=general</v>
      </c>
    </row>
    <row r="233" customFormat="false" ht="15" hidden="false" customHeight="false" outlineLevel="0" collapsed="false">
      <c r="A233" s="10" t="s">
        <v>67</v>
      </c>
      <c r="B233" s="10" t="str">
        <f aca="false">INDEX('Site-uri'!$B$2:$B$20,MATCH(A233,'Site-uri'!$A$2:$A$20,0))</f>
        <v>eu-ai-ready.eu</v>
      </c>
      <c r="C233" s="10" t="s">
        <v>208</v>
      </c>
      <c r="D233" s="10" t="str">
        <f aca="false">INDEX(Canale!$C$2:$C$30,MATCH(C233,Canale!$A$2:$A$30,0))</f>
        <v>llms_txt</v>
      </c>
      <c r="E233" s="10" t="str">
        <f aca="false">INDEX(Canale!$D$2:$D$30,MATCH(C233,Canale!$A$2:$A$30,0))</f>
        <v>ai_web</v>
      </c>
      <c r="F233" s="10" t="str">
        <f aca="false">INDEX('Site-uri'!$C$2:$C$20,MATCH(A233,'Site-uri'!$A$2:$A$20,0))</f>
        <v>/</v>
      </c>
      <c r="G233" s="10" t="str">
        <f aca="false">Config!$B$3</f>
        <v>2610_ff_lansare</v>
      </c>
      <c r="H233" s="10" t="str">
        <f aca="false">Config!$B$4</f>
        <v>general</v>
      </c>
      <c r="I233" s="10" t="str">
        <f aca="false">"https://"&amp;B233&amp;F233&amp;"?utm_source="&amp;D233&amp;"&amp;utm_medium="&amp;E233&amp;"&amp;utm_campaign="&amp;G233&amp;"&amp;utm_content="&amp;H233</f>
        <v>https://eu-ai-ready.eu/?utm_source=llms_txt&amp;utm_medium=ai_web&amp;utm_campaign=2610_ff_lansare&amp;utm_content=general</v>
      </c>
    </row>
    <row r="234" customFormat="false" ht="15" hidden="false" customHeight="false" outlineLevel="0" collapsed="false">
      <c r="A234" s="10" t="s">
        <v>69</v>
      </c>
      <c r="B234" s="10" t="str">
        <f aca="false">INDEX('Site-uri'!$B$2:$B$20,MATCH(A234,'Site-uri'!$A$2:$A$20,0))</f>
        <v>eu-ai-act.ro</v>
      </c>
      <c r="C234" s="10" t="s">
        <v>103</v>
      </c>
      <c r="D234" s="10" t="str">
        <f aca="false">INDEX(Canale!$C$2:$C$30,MATCH(C234,Canale!$A$2:$A$30,0))</f>
        <v>linkedin_personal</v>
      </c>
      <c r="E234" s="10" t="str">
        <f aca="false">INDEX(Canale!$D$2:$D$30,MATCH(C234,Canale!$A$2:$A$30,0))</f>
        <v>social</v>
      </c>
      <c r="F234" s="10" t="str">
        <f aca="false">INDEX('Site-uri'!$C$2:$C$20,MATCH(A234,'Site-uri'!$A$2:$A$20,0))</f>
        <v>/</v>
      </c>
      <c r="G234" s="10" t="str">
        <f aca="false">Config!$B$3</f>
        <v>2610_ff_lansare</v>
      </c>
      <c r="H234" s="10" t="str">
        <f aca="false">Config!$B$4</f>
        <v>general</v>
      </c>
      <c r="I234" s="10" t="str">
        <f aca="false">"https://"&amp;B234&amp;F234&amp;"?utm_source="&amp;D234&amp;"&amp;utm_medium="&amp;E234&amp;"&amp;utm_campaign="&amp;G234&amp;"&amp;utm_content="&amp;H234</f>
        <v>https://eu-ai-act.ro/?utm_source=linkedin_personal&amp;utm_medium=social&amp;utm_campaign=2610_ff_lansare&amp;utm_content=general</v>
      </c>
    </row>
    <row r="235" customFormat="false" ht="15" hidden="false" customHeight="false" outlineLevel="0" collapsed="false">
      <c r="A235" s="10" t="s">
        <v>69</v>
      </c>
      <c r="B235" s="10" t="str">
        <f aca="false">INDEX('Site-uri'!$B$2:$B$20,MATCH(A235,'Site-uri'!$A$2:$A$20,0))</f>
        <v>eu-ai-act.ro</v>
      </c>
      <c r="C235" s="10" t="s">
        <v>108</v>
      </c>
      <c r="D235" s="10" t="str">
        <f aca="false">INDEX(Canale!$C$2:$C$30,MATCH(C235,Canale!$A$2:$A$30,0))</f>
        <v>linkedin_company</v>
      </c>
      <c r="E235" s="10" t="str">
        <f aca="false">INDEX(Canale!$D$2:$D$30,MATCH(C235,Canale!$A$2:$A$30,0))</f>
        <v>social</v>
      </c>
      <c r="F235" s="10" t="str">
        <f aca="false">INDEX('Site-uri'!$C$2:$C$20,MATCH(A235,'Site-uri'!$A$2:$A$20,0))</f>
        <v>/</v>
      </c>
      <c r="G235" s="10" t="str">
        <f aca="false">Config!$B$3</f>
        <v>2610_ff_lansare</v>
      </c>
      <c r="H235" s="10" t="str">
        <f aca="false">Config!$B$4</f>
        <v>general</v>
      </c>
      <c r="I235" s="10" t="str">
        <f aca="false">"https://"&amp;B235&amp;F235&amp;"?utm_source="&amp;D235&amp;"&amp;utm_medium="&amp;E235&amp;"&amp;utm_campaign="&amp;G235&amp;"&amp;utm_content="&amp;H235</f>
        <v>https://eu-ai-act.ro/?utm_source=linkedin_company&amp;utm_medium=social&amp;utm_campaign=2610_ff_lansare&amp;utm_content=general</v>
      </c>
    </row>
    <row r="236" customFormat="false" ht="15" hidden="false" customHeight="false" outlineLevel="0" collapsed="false">
      <c r="A236" s="10" t="s">
        <v>69</v>
      </c>
      <c r="B236" s="10" t="str">
        <f aca="false">INDEX('Site-uri'!$B$2:$B$20,MATCH(A236,'Site-uri'!$A$2:$A$20,0))</f>
        <v>eu-ai-act.ro</v>
      </c>
      <c r="C236" s="10" t="s">
        <v>111</v>
      </c>
      <c r="D236" s="10" t="str">
        <f aca="false">INDEX(Canale!$C$2:$C$30,MATCH(C236,Canale!$A$2:$A$30,0))</f>
        <v>linkedin_showcase</v>
      </c>
      <c r="E236" s="10" t="str">
        <f aca="false">INDEX(Canale!$D$2:$D$30,MATCH(C236,Canale!$A$2:$A$30,0))</f>
        <v>social</v>
      </c>
      <c r="F236" s="10" t="str">
        <f aca="false">INDEX('Site-uri'!$C$2:$C$20,MATCH(A236,'Site-uri'!$A$2:$A$20,0))</f>
        <v>/</v>
      </c>
      <c r="G236" s="10" t="str">
        <f aca="false">Config!$B$3</f>
        <v>2610_ff_lansare</v>
      </c>
      <c r="H236" s="10" t="str">
        <f aca="false">Config!$B$4</f>
        <v>general</v>
      </c>
      <c r="I236" s="10" t="str">
        <f aca="false">"https://"&amp;B236&amp;F236&amp;"?utm_source="&amp;D236&amp;"&amp;utm_medium="&amp;E236&amp;"&amp;utm_campaign="&amp;G236&amp;"&amp;utm_content="&amp;H236</f>
        <v>https://eu-ai-act.ro/?utm_source=linkedin_showcase&amp;utm_medium=social&amp;utm_campaign=2610_ff_lansare&amp;utm_content=general</v>
      </c>
    </row>
    <row r="237" customFormat="false" ht="15" hidden="false" customHeight="false" outlineLevel="0" collapsed="false">
      <c r="A237" s="10" t="s">
        <v>69</v>
      </c>
      <c r="B237" s="10" t="str">
        <f aca="false">INDEX('Site-uri'!$B$2:$B$20,MATCH(A237,'Site-uri'!$A$2:$A$20,0))</f>
        <v>eu-ai-act.ro</v>
      </c>
      <c r="C237" s="10" t="s">
        <v>114</v>
      </c>
      <c r="D237" s="10" t="str">
        <f aca="false">INDEX(Canale!$C$2:$C$30,MATCH(C237,Canale!$A$2:$A$30,0))</f>
        <v>linkedin_newsletter</v>
      </c>
      <c r="E237" s="10" t="str">
        <f aca="false">INDEX(Canale!$D$2:$D$30,MATCH(C237,Canale!$A$2:$A$30,0))</f>
        <v>social</v>
      </c>
      <c r="F237" s="10" t="str">
        <f aca="false">INDEX('Site-uri'!$C$2:$C$20,MATCH(A237,'Site-uri'!$A$2:$A$20,0))</f>
        <v>/</v>
      </c>
      <c r="G237" s="10" t="str">
        <f aca="false">Config!$B$3</f>
        <v>2610_ff_lansare</v>
      </c>
      <c r="H237" s="10" t="str">
        <f aca="false">Config!$B$4</f>
        <v>general</v>
      </c>
      <c r="I237" s="10" t="str">
        <f aca="false">"https://"&amp;B237&amp;F237&amp;"?utm_source="&amp;D237&amp;"&amp;utm_medium="&amp;E237&amp;"&amp;utm_campaign="&amp;G237&amp;"&amp;utm_content="&amp;H237</f>
        <v>https://eu-ai-act.ro/?utm_source=linkedin_newsletter&amp;utm_medium=social&amp;utm_campaign=2610_ff_lansare&amp;utm_content=general</v>
      </c>
    </row>
    <row r="238" customFormat="false" ht="15" hidden="false" customHeight="false" outlineLevel="0" collapsed="false">
      <c r="A238" s="10" t="s">
        <v>69</v>
      </c>
      <c r="B238" s="10" t="str">
        <f aca="false">INDEX('Site-uri'!$B$2:$B$20,MATCH(A238,'Site-uri'!$A$2:$A$20,0))</f>
        <v>eu-ai-act.ro</v>
      </c>
      <c r="C238" s="10" t="s">
        <v>117</v>
      </c>
      <c r="D238" s="10" t="str">
        <f aca="false">INDEX(Canale!$C$2:$C$30,MATCH(C238,Canale!$A$2:$A$30,0))</f>
        <v>linkedin_ads</v>
      </c>
      <c r="E238" s="10" t="str">
        <f aca="false">INDEX(Canale!$D$2:$D$30,MATCH(C238,Canale!$A$2:$A$30,0))</f>
        <v>paid_social</v>
      </c>
      <c r="F238" s="10" t="str">
        <f aca="false">INDEX('Site-uri'!$C$2:$C$20,MATCH(A238,'Site-uri'!$A$2:$A$20,0))</f>
        <v>/</v>
      </c>
      <c r="G238" s="10" t="str">
        <f aca="false">Config!$B$3</f>
        <v>2610_ff_lansare</v>
      </c>
      <c r="H238" s="10" t="str">
        <f aca="false">Config!$B$4</f>
        <v>general</v>
      </c>
      <c r="I238" s="10" t="str">
        <f aca="false">"https://"&amp;B238&amp;F238&amp;"?utm_source="&amp;D238&amp;"&amp;utm_medium="&amp;E238&amp;"&amp;utm_campaign="&amp;G238&amp;"&amp;utm_content="&amp;H238</f>
        <v>https://eu-ai-act.ro/?utm_source=linkedin_ads&amp;utm_medium=paid_social&amp;utm_campaign=2610_ff_lansare&amp;utm_content=general</v>
      </c>
    </row>
    <row r="239" customFormat="false" ht="15" hidden="false" customHeight="false" outlineLevel="0" collapsed="false">
      <c r="A239" s="10" t="s">
        <v>69</v>
      </c>
      <c r="B239" s="10" t="str">
        <f aca="false">INDEX('Site-uri'!$B$2:$B$20,MATCH(A239,'Site-uri'!$A$2:$A$20,0))</f>
        <v>eu-ai-act.ro</v>
      </c>
      <c r="C239" s="10" t="s">
        <v>121</v>
      </c>
      <c r="D239" s="10" t="str">
        <f aca="false">INDEX(Canale!$C$2:$C$30,MATCH(C239,Canale!$A$2:$A$30,0))</f>
        <v>linkedin_dm</v>
      </c>
      <c r="E239" s="10" t="str">
        <f aca="false">INDEX(Canale!$D$2:$D$30,MATCH(C239,Canale!$A$2:$A$30,0))</f>
        <v>dm</v>
      </c>
      <c r="F239" s="10" t="str">
        <f aca="false">INDEX('Site-uri'!$C$2:$C$20,MATCH(A239,'Site-uri'!$A$2:$A$20,0))</f>
        <v>/</v>
      </c>
      <c r="G239" s="10" t="str">
        <f aca="false">Config!$B$3</f>
        <v>2610_ff_lansare</v>
      </c>
      <c r="H239" s="10" t="str">
        <f aca="false">Config!$B$4</f>
        <v>general</v>
      </c>
      <c r="I239" s="10" t="str">
        <f aca="false">"https://"&amp;B239&amp;F239&amp;"?utm_source="&amp;D239&amp;"&amp;utm_medium="&amp;E239&amp;"&amp;utm_campaign="&amp;G239&amp;"&amp;utm_content="&amp;H239</f>
        <v>https://eu-ai-act.ro/?utm_source=linkedin_dm&amp;utm_medium=dm&amp;utm_campaign=2610_ff_lansare&amp;utm_content=general</v>
      </c>
    </row>
    <row r="240" customFormat="false" ht="15" hidden="false" customHeight="false" outlineLevel="0" collapsed="false">
      <c r="A240" s="10" t="s">
        <v>69</v>
      </c>
      <c r="B240" s="10" t="str">
        <f aca="false">INDEX('Site-uri'!$B$2:$B$20,MATCH(A240,'Site-uri'!$A$2:$A$20,0))</f>
        <v>eu-ai-act.ro</v>
      </c>
      <c r="C240" s="10" t="s">
        <v>125</v>
      </c>
      <c r="D240" s="10" t="str">
        <f aca="false">INDEX(Canale!$C$2:$C$30,MATCH(C240,Canale!$A$2:$A$30,0))</f>
        <v>email_outreach</v>
      </c>
      <c r="E240" s="10" t="str">
        <f aca="false">INDEX(Canale!$D$2:$D$30,MATCH(C240,Canale!$A$2:$A$30,0))</f>
        <v>email</v>
      </c>
      <c r="F240" s="10" t="str">
        <f aca="false">INDEX('Site-uri'!$C$2:$C$20,MATCH(A240,'Site-uri'!$A$2:$A$20,0))</f>
        <v>/</v>
      </c>
      <c r="G240" s="10" t="str">
        <f aca="false">Config!$B$3</f>
        <v>2610_ff_lansare</v>
      </c>
      <c r="H240" s="10" t="str">
        <f aca="false">Config!$B$4</f>
        <v>general</v>
      </c>
      <c r="I240" s="10" t="str">
        <f aca="false">"https://"&amp;B240&amp;F240&amp;"?utm_source="&amp;D240&amp;"&amp;utm_medium="&amp;E240&amp;"&amp;utm_campaign="&amp;G240&amp;"&amp;utm_content="&amp;H240</f>
        <v>https://eu-ai-act.ro/?utm_source=email_outreach&amp;utm_medium=email&amp;utm_campaign=2610_ff_lansare&amp;utm_content=general</v>
      </c>
    </row>
    <row r="241" customFormat="false" ht="15" hidden="false" customHeight="false" outlineLevel="0" collapsed="false">
      <c r="A241" s="10" t="s">
        <v>69</v>
      </c>
      <c r="B241" s="10" t="str">
        <f aca="false">INDEX('Site-uri'!$B$2:$B$20,MATCH(A241,'Site-uri'!$A$2:$A$20,0))</f>
        <v>eu-ai-act.ro</v>
      </c>
      <c r="C241" s="10" t="s">
        <v>130</v>
      </c>
      <c r="D241" s="10" t="str">
        <f aca="false">INDEX(Canale!$C$2:$C$30,MATCH(C241,Canale!$A$2:$A$30,0))</f>
        <v>newsletter</v>
      </c>
      <c r="E241" s="10" t="str">
        <f aca="false">INDEX(Canale!$D$2:$D$30,MATCH(C241,Canale!$A$2:$A$30,0))</f>
        <v>email</v>
      </c>
      <c r="F241" s="10" t="str">
        <f aca="false">INDEX('Site-uri'!$C$2:$C$20,MATCH(A241,'Site-uri'!$A$2:$A$20,0))</f>
        <v>/</v>
      </c>
      <c r="G241" s="10" t="str">
        <f aca="false">Config!$B$3</f>
        <v>2610_ff_lansare</v>
      </c>
      <c r="H241" s="10" t="str">
        <f aca="false">Config!$B$4</f>
        <v>general</v>
      </c>
      <c r="I241" s="10" t="str">
        <f aca="false">"https://"&amp;B241&amp;F241&amp;"?utm_source="&amp;D241&amp;"&amp;utm_medium="&amp;E241&amp;"&amp;utm_campaign="&amp;G241&amp;"&amp;utm_content="&amp;H241</f>
        <v>https://eu-ai-act.ro/?utm_source=newsletter&amp;utm_medium=email&amp;utm_campaign=2610_ff_lansare&amp;utm_content=general</v>
      </c>
    </row>
    <row r="242" customFormat="false" ht="15" hidden="false" customHeight="false" outlineLevel="0" collapsed="false">
      <c r="A242" s="10" t="s">
        <v>69</v>
      </c>
      <c r="B242" s="10" t="str">
        <f aca="false">INDEX('Site-uri'!$B$2:$B$20,MATCH(A242,'Site-uri'!$A$2:$A$20,0))</f>
        <v>eu-ai-act.ro</v>
      </c>
      <c r="C242" s="10" t="s">
        <v>133</v>
      </c>
      <c r="D242" s="10" t="str">
        <f aca="false">INDEX(Canale!$C$2:$C$30,MATCH(C242,Canale!$A$2:$A$30,0))</f>
        <v>email_signature</v>
      </c>
      <c r="E242" s="10" t="str">
        <f aca="false">INDEX(Canale!$D$2:$D$30,MATCH(C242,Canale!$A$2:$A$30,0))</f>
        <v>email</v>
      </c>
      <c r="F242" s="10" t="str">
        <f aca="false">INDEX('Site-uri'!$C$2:$C$20,MATCH(A242,'Site-uri'!$A$2:$A$20,0))</f>
        <v>/</v>
      </c>
      <c r="G242" s="10" t="str">
        <f aca="false">Config!$B$3</f>
        <v>2610_ff_lansare</v>
      </c>
      <c r="H242" s="10" t="str">
        <f aca="false">Config!$B$4</f>
        <v>general</v>
      </c>
      <c r="I242" s="10" t="str">
        <f aca="false">"https://"&amp;B242&amp;F242&amp;"?utm_source="&amp;D242&amp;"&amp;utm_medium="&amp;E242&amp;"&amp;utm_campaign="&amp;G242&amp;"&amp;utm_content="&amp;H242</f>
        <v>https://eu-ai-act.ro/?utm_source=email_signature&amp;utm_medium=email&amp;utm_campaign=2610_ff_lansare&amp;utm_content=general</v>
      </c>
    </row>
    <row r="243" customFormat="false" ht="15" hidden="false" customHeight="false" outlineLevel="0" collapsed="false">
      <c r="A243" s="10" t="s">
        <v>69</v>
      </c>
      <c r="B243" s="10" t="str">
        <f aca="false">INDEX('Site-uri'!$B$2:$B$20,MATCH(A243,'Site-uri'!$A$2:$A$20,0))</f>
        <v>eu-ai-act.ro</v>
      </c>
      <c r="C243" s="10" t="s">
        <v>136</v>
      </c>
      <c r="D243" s="10" t="str">
        <f aca="false">INDEX(Canale!$C$2:$C$30,MATCH(C243,Canale!$A$2:$A$30,0))</f>
        <v>whatsapp</v>
      </c>
      <c r="E243" s="10" t="str">
        <f aca="false">INDEX(Canale!$D$2:$D$30,MATCH(C243,Canale!$A$2:$A$30,0))</f>
        <v>dm</v>
      </c>
      <c r="F243" s="10" t="str">
        <f aca="false">INDEX('Site-uri'!$C$2:$C$20,MATCH(A243,'Site-uri'!$A$2:$A$20,0))</f>
        <v>/</v>
      </c>
      <c r="G243" s="10" t="str">
        <f aca="false">Config!$B$3</f>
        <v>2610_ff_lansare</v>
      </c>
      <c r="H243" s="10" t="str">
        <f aca="false">Config!$B$4</f>
        <v>general</v>
      </c>
      <c r="I243" s="10" t="str">
        <f aca="false">"https://"&amp;B243&amp;F243&amp;"?utm_source="&amp;D243&amp;"&amp;utm_medium="&amp;E243&amp;"&amp;utm_campaign="&amp;G243&amp;"&amp;utm_content="&amp;H243</f>
        <v>https://eu-ai-act.ro/?utm_source=whatsapp&amp;utm_medium=dm&amp;utm_campaign=2610_ff_lansare&amp;utm_content=general</v>
      </c>
    </row>
    <row r="244" customFormat="false" ht="15" hidden="false" customHeight="false" outlineLevel="0" collapsed="false">
      <c r="A244" s="10" t="s">
        <v>69</v>
      </c>
      <c r="B244" s="10" t="str">
        <f aca="false">INDEX('Site-uri'!$B$2:$B$20,MATCH(A244,'Site-uri'!$A$2:$A$20,0))</f>
        <v>eu-ai-act.ro</v>
      </c>
      <c r="C244" s="10" t="s">
        <v>140</v>
      </c>
      <c r="D244" s="10" t="str">
        <f aca="false">INDEX(Canale!$C$2:$C$30,MATCH(C244,Canale!$A$2:$A$30,0))</f>
        <v>google</v>
      </c>
      <c r="E244" s="10" t="str">
        <f aca="false">INDEX(Canale!$D$2:$D$30,MATCH(C244,Canale!$A$2:$A$30,0))</f>
        <v>cpc</v>
      </c>
      <c r="F244" s="10" t="str">
        <f aca="false">INDEX('Site-uri'!$C$2:$C$20,MATCH(A244,'Site-uri'!$A$2:$A$20,0))</f>
        <v>/</v>
      </c>
      <c r="G244" s="10" t="str">
        <f aca="false">Config!$B$3</f>
        <v>2610_ff_lansare</v>
      </c>
      <c r="H244" s="10" t="str">
        <f aca="false">Config!$B$4</f>
        <v>general</v>
      </c>
      <c r="I244" s="10" t="str">
        <f aca="false">"https://"&amp;B244&amp;F244&amp;"?utm_source="&amp;D244&amp;"&amp;utm_medium="&amp;E244&amp;"&amp;utm_campaign="&amp;G244&amp;"&amp;utm_content="&amp;H244</f>
        <v>https://eu-ai-act.ro/?utm_source=google&amp;utm_medium=cpc&amp;utm_campaign=2610_ff_lansare&amp;utm_content=general</v>
      </c>
    </row>
    <row r="245" customFormat="false" ht="15" hidden="false" customHeight="false" outlineLevel="0" collapsed="false">
      <c r="A245" s="10" t="s">
        <v>69</v>
      </c>
      <c r="B245" s="10" t="str">
        <f aca="false">INDEX('Site-uri'!$B$2:$B$20,MATCH(A245,'Site-uri'!$A$2:$A$20,0))</f>
        <v>eu-ai-act.ro</v>
      </c>
      <c r="C245" s="10" t="s">
        <v>145</v>
      </c>
      <c r="D245" s="10" t="str">
        <f aca="false">INDEX(Canale!$C$2:$C$30,MATCH(C245,Canale!$A$2:$A$30,0))</f>
        <v>bing</v>
      </c>
      <c r="E245" s="10" t="str">
        <f aca="false">INDEX(Canale!$D$2:$D$30,MATCH(C245,Canale!$A$2:$A$30,0))</f>
        <v>cpc</v>
      </c>
      <c r="F245" s="10" t="str">
        <f aca="false">INDEX('Site-uri'!$C$2:$C$20,MATCH(A245,'Site-uri'!$A$2:$A$20,0))</f>
        <v>/</v>
      </c>
      <c r="G245" s="10" t="str">
        <f aca="false">Config!$B$3</f>
        <v>2610_ff_lansare</v>
      </c>
      <c r="H245" s="10" t="str">
        <f aca="false">Config!$B$4</f>
        <v>general</v>
      </c>
      <c r="I245" s="10" t="str">
        <f aca="false">"https://"&amp;B245&amp;F245&amp;"?utm_source="&amp;D245&amp;"&amp;utm_medium="&amp;E245&amp;"&amp;utm_campaign="&amp;G245&amp;"&amp;utm_content="&amp;H245</f>
        <v>https://eu-ai-act.ro/?utm_source=bing&amp;utm_medium=cpc&amp;utm_campaign=2610_ff_lansare&amp;utm_content=general</v>
      </c>
    </row>
    <row r="246" customFormat="false" ht="15" hidden="false" customHeight="false" outlineLevel="0" collapsed="false">
      <c r="A246" s="10" t="s">
        <v>69</v>
      </c>
      <c r="B246" s="10" t="str">
        <f aca="false">INDEX('Site-uri'!$B$2:$B$20,MATCH(A246,'Site-uri'!$A$2:$A$20,0))</f>
        <v>eu-ai-act.ro</v>
      </c>
      <c r="C246" s="10" t="s">
        <v>148</v>
      </c>
      <c r="D246" s="10" t="str">
        <f aca="false">INDEX(Canale!$C$2:$C$30,MATCH(C246,Canale!$A$2:$A$30,0))</f>
        <v>facebook</v>
      </c>
      <c r="E246" s="10" t="str">
        <f aca="false">INDEX(Canale!$D$2:$D$30,MATCH(C246,Canale!$A$2:$A$30,0))</f>
        <v>social</v>
      </c>
      <c r="F246" s="10" t="str">
        <f aca="false">INDEX('Site-uri'!$C$2:$C$20,MATCH(A246,'Site-uri'!$A$2:$A$20,0))</f>
        <v>/</v>
      </c>
      <c r="G246" s="10" t="str">
        <f aca="false">Config!$B$3</f>
        <v>2610_ff_lansare</v>
      </c>
      <c r="H246" s="10" t="str">
        <f aca="false">Config!$B$4</f>
        <v>general</v>
      </c>
      <c r="I246" s="10" t="str">
        <f aca="false">"https://"&amp;B246&amp;F246&amp;"?utm_source="&amp;D246&amp;"&amp;utm_medium="&amp;E246&amp;"&amp;utm_campaign="&amp;G246&amp;"&amp;utm_content="&amp;H246</f>
        <v>https://eu-ai-act.ro/?utm_source=facebook&amp;utm_medium=social&amp;utm_campaign=2610_ff_lansare&amp;utm_content=general</v>
      </c>
    </row>
    <row r="247" customFormat="false" ht="15" hidden="false" customHeight="false" outlineLevel="0" collapsed="false">
      <c r="A247" s="10" t="s">
        <v>69</v>
      </c>
      <c r="B247" s="10" t="str">
        <f aca="false">INDEX('Site-uri'!$B$2:$B$20,MATCH(A247,'Site-uri'!$A$2:$A$20,0))</f>
        <v>eu-ai-act.ro</v>
      </c>
      <c r="C247" s="10" t="s">
        <v>152</v>
      </c>
      <c r="D247" s="10" t="str">
        <f aca="false">INDEX(Canale!$C$2:$C$30,MATCH(C247,Canale!$A$2:$A$30,0))</f>
        <v>x</v>
      </c>
      <c r="E247" s="10" t="str">
        <f aca="false">INDEX(Canale!$D$2:$D$30,MATCH(C247,Canale!$A$2:$A$30,0))</f>
        <v>social</v>
      </c>
      <c r="F247" s="10" t="str">
        <f aca="false">INDEX('Site-uri'!$C$2:$C$20,MATCH(A247,'Site-uri'!$A$2:$A$20,0))</f>
        <v>/</v>
      </c>
      <c r="G247" s="10" t="str">
        <f aca="false">Config!$B$3</f>
        <v>2610_ff_lansare</v>
      </c>
      <c r="H247" s="10" t="str">
        <f aca="false">Config!$B$4</f>
        <v>general</v>
      </c>
      <c r="I247" s="10" t="str">
        <f aca="false">"https://"&amp;B247&amp;F247&amp;"?utm_source="&amp;D247&amp;"&amp;utm_medium="&amp;E247&amp;"&amp;utm_campaign="&amp;G247&amp;"&amp;utm_content="&amp;H247</f>
        <v>https://eu-ai-act.ro/?utm_source=x&amp;utm_medium=social&amp;utm_campaign=2610_ff_lansare&amp;utm_content=general</v>
      </c>
    </row>
    <row r="248" customFormat="false" ht="15" hidden="false" customHeight="false" outlineLevel="0" collapsed="false">
      <c r="A248" s="10" t="s">
        <v>69</v>
      </c>
      <c r="B248" s="10" t="str">
        <f aca="false">INDEX('Site-uri'!$B$2:$B$20,MATCH(A248,'Site-uri'!$A$2:$A$20,0))</f>
        <v>eu-ai-act.ro</v>
      </c>
      <c r="C248" s="10" t="s">
        <v>154</v>
      </c>
      <c r="D248" s="10" t="str">
        <f aca="false">INDEX(Canale!$C$2:$C$30,MATCH(C248,Canale!$A$2:$A$30,0))</f>
        <v>youtube</v>
      </c>
      <c r="E248" s="10" t="str">
        <f aca="false">INDEX(Canale!$D$2:$D$30,MATCH(C248,Canale!$A$2:$A$30,0))</f>
        <v>video</v>
      </c>
      <c r="F248" s="10" t="str">
        <f aca="false">INDEX('Site-uri'!$C$2:$C$20,MATCH(A248,'Site-uri'!$A$2:$A$20,0))</f>
        <v>/</v>
      </c>
      <c r="G248" s="10" t="str">
        <f aca="false">Config!$B$3</f>
        <v>2610_ff_lansare</v>
      </c>
      <c r="H248" s="10" t="str">
        <f aca="false">Config!$B$4</f>
        <v>general</v>
      </c>
      <c r="I248" s="10" t="str">
        <f aca="false">"https://"&amp;B248&amp;F248&amp;"?utm_source="&amp;D248&amp;"&amp;utm_medium="&amp;E248&amp;"&amp;utm_campaign="&amp;G248&amp;"&amp;utm_content="&amp;H248</f>
        <v>https://eu-ai-act.ro/?utm_source=youtube&amp;utm_medium=video&amp;utm_campaign=2610_ff_lansare&amp;utm_content=general</v>
      </c>
    </row>
    <row r="249" customFormat="false" ht="15" hidden="false" customHeight="false" outlineLevel="0" collapsed="false">
      <c r="A249" s="10" t="s">
        <v>69</v>
      </c>
      <c r="B249" s="10" t="str">
        <f aca="false">INDEX('Site-uri'!$B$2:$B$20,MATCH(A249,'Site-uri'!$A$2:$A$20,0))</f>
        <v>eu-ai-act.ro</v>
      </c>
      <c r="C249" s="10" t="s">
        <v>159</v>
      </c>
      <c r="D249" s="10" t="str">
        <f aca="false">INDEX(Canale!$C$2:$C$30,MATCH(C249,Canale!$A$2:$A$30,0))</f>
        <v>medium</v>
      </c>
      <c r="E249" s="10" t="str">
        <f aca="false">INDEX(Canale!$D$2:$D$30,MATCH(C249,Canale!$A$2:$A$30,0))</f>
        <v>content</v>
      </c>
      <c r="F249" s="10" t="str">
        <f aca="false">INDEX('Site-uri'!$C$2:$C$20,MATCH(A249,'Site-uri'!$A$2:$A$20,0))</f>
        <v>/</v>
      </c>
      <c r="G249" s="10" t="str">
        <f aca="false">Config!$B$3</f>
        <v>2610_ff_lansare</v>
      </c>
      <c r="H249" s="10" t="str">
        <f aca="false">Config!$B$4</f>
        <v>general</v>
      </c>
      <c r="I249" s="10" t="str">
        <f aca="false">"https://"&amp;B249&amp;F249&amp;"?utm_source="&amp;D249&amp;"&amp;utm_medium="&amp;E249&amp;"&amp;utm_campaign="&amp;G249&amp;"&amp;utm_content="&amp;H249</f>
        <v>https://eu-ai-act.ro/?utm_source=medium&amp;utm_medium=content&amp;utm_campaign=2610_ff_lansare&amp;utm_content=general</v>
      </c>
    </row>
    <row r="250" customFormat="false" ht="15" hidden="false" customHeight="false" outlineLevel="0" collapsed="false">
      <c r="A250" s="10" t="s">
        <v>69</v>
      </c>
      <c r="B250" s="10" t="str">
        <f aca="false">INDEX('Site-uri'!$B$2:$B$20,MATCH(A250,'Site-uri'!$A$2:$A$20,0))</f>
        <v>eu-ai-act.ro</v>
      </c>
      <c r="C250" s="10" t="s">
        <v>164</v>
      </c>
      <c r="D250" s="10" t="str">
        <f aca="false">INDEX(Canale!$C$2:$C$30,MATCH(C250,Canale!$A$2:$A$30,0))</f>
        <v>crunchbase</v>
      </c>
      <c r="E250" s="10" t="str">
        <f aca="false">INDEX(Canale!$D$2:$D$30,MATCH(C250,Canale!$A$2:$A$30,0))</f>
        <v>referral</v>
      </c>
      <c r="F250" s="10" t="str">
        <f aca="false">INDEX('Site-uri'!$C$2:$C$20,MATCH(A250,'Site-uri'!$A$2:$A$20,0))</f>
        <v>/</v>
      </c>
      <c r="G250" s="10" t="str">
        <f aca="false">Config!$B$3</f>
        <v>2610_ff_lansare</v>
      </c>
      <c r="H250" s="10" t="str">
        <f aca="false">Config!$B$4</f>
        <v>general</v>
      </c>
      <c r="I250" s="10" t="str">
        <f aca="false">"https://"&amp;B250&amp;F250&amp;"?utm_source="&amp;D250&amp;"&amp;utm_medium="&amp;E250&amp;"&amp;utm_campaign="&amp;G250&amp;"&amp;utm_content="&amp;H250</f>
        <v>https://eu-ai-act.ro/?utm_source=crunchbase&amp;utm_medium=referral&amp;utm_campaign=2610_ff_lansare&amp;utm_content=general</v>
      </c>
    </row>
    <row r="251" customFormat="false" ht="15" hidden="false" customHeight="false" outlineLevel="0" collapsed="false">
      <c r="A251" s="10" t="s">
        <v>69</v>
      </c>
      <c r="B251" s="10" t="str">
        <f aca="false">INDEX('Site-uri'!$B$2:$B$20,MATCH(A251,'Site-uri'!$A$2:$A$20,0))</f>
        <v>eu-ai-act.ro</v>
      </c>
      <c r="C251" s="10" t="s">
        <v>169</v>
      </c>
      <c r="D251" s="10" t="str">
        <f aca="false">INDEX(Canale!$C$2:$C$30,MATCH(C251,Canale!$A$2:$A$30,0))</f>
        <v>zenodo</v>
      </c>
      <c r="E251" s="10" t="str">
        <f aca="false">INDEX(Canale!$D$2:$D$30,MATCH(C251,Canale!$A$2:$A$30,0))</f>
        <v>referral</v>
      </c>
      <c r="F251" s="10" t="str">
        <f aca="false">INDEX('Site-uri'!$C$2:$C$20,MATCH(A251,'Site-uri'!$A$2:$A$20,0))</f>
        <v>/</v>
      </c>
      <c r="G251" s="10" t="str">
        <f aca="false">Config!$B$3</f>
        <v>2610_ff_lansare</v>
      </c>
      <c r="H251" s="10" t="str">
        <f aca="false">Config!$B$4</f>
        <v>general</v>
      </c>
      <c r="I251" s="10" t="str">
        <f aca="false">"https://"&amp;B251&amp;F251&amp;"?utm_source="&amp;D251&amp;"&amp;utm_medium="&amp;E251&amp;"&amp;utm_campaign="&amp;G251&amp;"&amp;utm_content="&amp;H251</f>
        <v>https://eu-ai-act.ro/?utm_source=zenodo&amp;utm_medium=referral&amp;utm_campaign=2610_ff_lansare&amp;utm_content=general</v>
      </c>
    </row>
    <row r="252" customFormat="false" ht="15" hidden="false" customHeight="false" outlineLevel="0" collapsed="false">
      <c r="A252" s="10" t="s">
        <v>69</v>
      </c>
      <c r="B252" s="10" t="str">
        <f aca="false">INDEX('Site-uri'!$B$2:$B$20,MATCH(A252,'Site-uri'!$A$2:$A$20,0))</f>
        <v>eu-ai-act.ro</v>
      </c>
      <c r="C252" s="10" t="s">
        <v>172</v>
      </c>
      <c r="D252" s="10" t="str">
        <f aca="false">INDEX(Canale!$C$2:$C$30,MATCH(C252,Canale!$A$2:$A$30,0))</f>
        <v>orcid</v>
      </c>
      <c r="E252" s="10" t="str">
        <f aca="false">INDEX(Canale!$D$2:$D$30,MATCH(C252,Canale!$A$2:$A$30,0))</f>
        <v>referral</v>
      </c>
      <c r="F252" s="10" t="str">
        <f aca="false">INDEX('Site-uri'!$C$2:$C$20,MATCH(A252,'Site-uri'!$A$2:$A$20,0))</f>
        <v>/</v>
      </c>
      <c r="G252" s="10" t="str">
        <f aca="false">Config!$B$3</f>
        <v>2610_ff_lansare</v>
      </c>
      <c r="H252" s="10" t="str">
        <f aca="false">Config!$B$4</f>
        <v>general</v>
      </c>
      <c r="I252" s="10" t="str">
        <f aca="false">"https://"&amp;B252&amp;F252&amp;"?utm_source="&amp;D252&amp;"&amp;utm_medium="&amp;E252&amp;"&amp;utm_campaign="&amp;G252&amp;"&amp;utm_content="&amp;H252</f>
        <v>https://eu-ai-act.ro/?utm_source=orcid&amp;utm_medium=referral&amp;utm_campaign=2610_ff_lansare&amp;utm_content=general</v>
      </c>
    </row>
    <row r="253" customFormat="false" ht="15" hidden="false" customHeight="false" outlineLevel="0" collapsed="false">
      <c r="A253" s="10" t="s">
        <v>69</v>
      </c>
      <c r="B253" s="10" t="str">
        <f aca="false">INDEX('Site-uri'!$B$2:$B$20,MATCH(A253,'Site-uri'!$A$2:$A$20,0))</f>
        <v>eu-ai-act.ro</v>
      </c>
      <c r="C253" s="10" t="s">
        <v>175</v>
      </c>
      <c r="D253" s="10" t="str">
        <f aca="false">INDEX(Canale!$C$2:$C$30,MATCH(C253,Canale!$A$2:$A$30,0))</f>
        <v>github</v>
      </c>
      <c r="E253" s="10" t="str">
        <f aca="false">INDEX(Canale!$D$2:$D$30,MATCH(C253,Canale!$A$2:$A$30,0))</f>
        <v>referral</v>
      </c>
      <c r="F253" s="10" t="str">
        <f aca="false">INDEX('Site-uri'!$C$2:$C$20,MATCH(A253,'Site-uri'!$A$2:$A$20,0))</f>
        <v>/</v>
      </c>
      <c r="G253" s="10" t="str">
        <f aca="false">Config!$B$3</f>
        <v>2610_ff_lansare</v>
      </c>
      <c r="H253" s="10" t="str">
        <f aca="false">Config!$B$4</f>
        <v>general</v>
      </c>
      <c r="I253" s="10" t="str">
        <f aca="false">"https://"&amp;B253&amp;F253&amp;"?utm_source="&amp;D253&amp;"&amp;utm_medium="&amp;E253&amp;"&amp;utm_campaign="&amp;G253&amp;"&amp;utm_content="&amp;H253</f>
        <v>https://eu-ai-act.ro/?utm_source=github&amp;utm_medium=referral&amp;utm_campaign=2610_ff_lansare&amp;utm_content=general</v>
      </c>
    </row>
    <row r="254" customFormat="false" ht="15" hidden="false" customHeight="false" outlineLevel="0" collapsed="false">
      <c r="A254" s="10" t="s">
        <v>69</v>
      </c>
      <c r="B254" s="10" t="str">
        <f aca="false">INDEX('Site-uri'!$B$2:$B$20,MATCH(A254,'Site-uri'!$A$2:$A$20,0))</f>
        <v>eu-ai-act.ro</v>
      </c>
      <c r="C254" s="10" t="s">
        <v>178</v>
      </c>
      <c r="D254" s="10" t="str">
        <f aca="false">INDEX(Canale!$C$2:$C$30,MATCH(C254,Canale!$A$2:$A$30,0))</f>
        <v>kdp_book</v>
      </c>
      <c r="E254" s="10" t="str">
        <f aca="false">INDEX(Canale!$D$2:$D$30,MATCH(C254,Canale!$A$2:$A$30,0))</f>
        <v>book</v>
      </c>
      <c r="F254" s="10" t="str">
        <f aca="false">INDEX('Site-uri'!$C$2:$C$20,MATCH(A254,'Site-uri'!$A$2:$A$20,0))</f>
        <v>/</v>
      </c>
      <c r="G254" s="10" t="str">
        <f aca="false">Config!$B$3</f>
        <v>2610_ff_lansare</v>
      </c>
      <c r="H254" s="10" t="str">
        <f aca="false">Config!$B$4</f>
        <v>general</v>
      </c>
      <c r="I254" s="10" t="str">
        <f aca="false">"https://"&amp;B254&amp;F254&amp;"?utm_source="&amp;D254&amp;"&amp;utm_medium="&amp;E254&amp;"&amp;utm_campaign="&amp;G254&amp;"&amp;utm_content="&amp;H254</f>
        <v>https://eu-ai-act.ro/?utm_source=kdp_book&amp;utm_medium=book&amp;utm_campaign=2610_ff_lansare&amp;utm_content=general</v>
      </c>
    </row>
    <row r="255" customFormat="false" ht="15" hidden="false" customHeight="false" outlineLevel="0" collapsed="false">
      <c r="A255" s="10" t="s">
        <v>69</v>
      </c>
      <c r="B255" s="10" t="str">
        <f aca="false">INDEX('Site-uri'!$B$2:$B$20,MATCH(A255,'Site-uri'!$A$2:$A$20,0))</f>
        <v>eu-ai-act.ro</v>
      </c>
      <c r="C255" s="10" t="s">
        <v>183</v>
      </c>
      <c r="D255" s="10" t="str">
        <f aca="false">INDEX(Canale!$C$2:$C$30,MATCH(C255,Canale!$A$2:$A$30,0))</f>
        <v>udemy</v>
      </c>
      <c r="E255" s="10" t="str">
        <f aca="false">INDEX(Canale!$D$2:$D$30,MATCH(C255,Canale!$A$2:$A$30,0))</f>
        <v>course</v>
      </c>
      <c r="F255" s="10" t="str">
        <f aca="false">INDEX('Site-uri'!$C$2:$C$20,MATCH(A255,'Site-uri'!$A$2:$A$20,0))</f>
        <v>/</v>
      </c>
      <c r="G255" s="10" t="str">
        <f aca="false">Config!$B$3</f>
        <v>2610_ff_lansare</v>
      </c>
      <c r="H255" s="10" t="str">
        <f aca="false">Config!$B$4</f>
        <v>general</v>
      </c>
      <c r="I255" s="10" t="str">
        <f aca="false">"https://"&amp;B255&amp;F255&amp;"?utm_source="&amp;D255&amp;"&amp;utm_medium="&amp;E255&amp;"&amp;utm_campaign="&amp;G255&amp;"&amp;utm_content="&amp;H255</f>
        <v>https://eu-ai-act.ro/?utm_source=udemy&amp;utm_medium=course&amp;utm_campaign=2610_ff_lansare&amp;utm_content=general</v>
      </c>
    </row>
    <row r="256" customFormat="false" ht="15" hidden="false" customHeight="false" outlineLevel="0" collapsed="false">
      <c r="A256" s="10" t="s">
        <v>69</v>
      </c>
      <c r="B256" s="10" t="str">
        <f aca="false">INDEX('Site-uri'!$B$2:$B$20,MATCH(A256,'Site-uri'!$A$2:$A$20,0))</f>
        <v>eu-ai-act.ro</v>
      </c>
      <c r="C256" s="10" t="s">
        <v>186</v>
      </c>
      <c r="D256" s="10" t="str">
        <f aca="false">INDEX(Canale!$C$2:$C$30,MATCH(C256,Canale!$A$2:$A$30,0))</f>
        <v>directory</v>
      </c>
      <c r="E256" s="10" t="str">
        <f aca="false">INDEX(Canale!$D$2:$D$30,MATCH(C256,Canale!$A$2:$A$30,0))</f>
        <v>referral</v>
      </c>
      <c r="F256" s="10" t="str">
        <f aca="false">INDEX('Site-uri'!$C$2:$C$20,MATCH(A256,'Site-uri'!$A$2:$A$20,0))</f>
        <v>/</v>
      </c>
      <c r="G256" s="10" t="str">
        <f aca="false">Config!$B$3</f>
        <v>2610_ff_lansare</v>
      </c>
      <c r="H256" s="10" t="str">
        <f aca="false">Config!$B$4</f>
        <v>general</v>
      </c>
      <c r="I256" s="10" t="str">
        <f aca="false">"https://"&amp;B256&amp;F256&amp;"?utm_source="&amp;D256&amp;"&amp;utm_medium="&amp;E256&amp;"&amp;utm_campaign="&amp;G256&amp;"&amp;utm_content="&amp;H256</f>
        <v>https://eu-ai-act.ro/?utm_source=directory&amp;utm_medium=referral&amp;utm_campaign=2610_ff_lansare&amp;utm_content=general</v>
      </c>
    </row>
    <row r="257" customFormat="false" ht="15" hidden="false" customHeight="false" outlineLevel="0" collapsed="false">
      <c r="A257" s="10" t="s">
        <v>69</v>
      </c>
      <c r="B257" s="10" t="str">
        <f aca="false">INDEX('Site-uri'!$B$2:$B$20,MATCH(A257,'Site-uri'!$A$2:$A$20,0))</f>
        <v>eu-ai-act.ro</v>
      </c>
      <c r="C257" s="10" t="s">
        <v>190</v>
      </c>
      <c r="D257" s="10" t="str">
        <f aca="false">INDEX(Canale!$C$2:$C$30,MATCH(C257,Canale!$A$2:$A$30,0))</f>
        <v>partner</v>
      </c>
      <c r="E257" s="10" t="str">
        <f aca="false">INDEX(Canale!$D$2:$D$30,MATCH(C257,Canale!$A$2:$A$30,0))</f>
        <v>partner</v>
      </c>
      <c r="F257" s="10" t="str">
        <f aca="false">INDEX('Site-uri'!$C$2:$C$20,MATCH(A257,'Site-uri'!$A$2:$A$20,0))</f>
        <v>/</v>
      </c>
      <c r="G257" s="10" t="str">
        <f aca="false">Config!$B$3</f>
        <v>2610_ff_lansare</v>
      </c>
      <c r="H257" s="10" t="str">
        <f aca="false">Config!$B$4</f>
        <v>general</v>
      </c>
      <c r="I257" s="10" t="str">
        <f aca="false">"https://"&amp;B257&amp;F257&amp;"?utm_source="&amp;D257&amp;"&amp;utm_medium="&amp;E257&amp;"&amp;utm_campaign="&amp;G257&amp;"&amp;utm_content="&amp;H257</f>
        <v>https://eu-ai-act.ro/?utm_source=partner&amp;utm_medium=partner&amp;utm_campaign=2610_ff_lansare&amp;utm_content=general</v>
      </c>
    </row>
    <row r="258" customFormat="false" ht="15" hidden="false" customHeight="false" outlineLevel="0" collapsed="false">
      <c r="A258" s="10" t="s">
        <v>69</v>
      </c>
      <c r="B258" s="10" t="str">
        <f aca="false">INDEX('Site-uri'!$B$2:$B$20,MATCH(A258,'Site-uri'!$A$2:$A$20,0))</f>
        <v>eu-ai-act.ro</v>
      </c>
      <c r="C258" s="10" t="s">
        <v>192</v>
      </c>
      <c r="D258" s="10" t="str">
        <f aca="false">INDEX(Canale!$C$2:$C$30,MATCH(C258,Canale!$A$2:$A$30,0))</f>
        <v>pdf_proposal</v>
      </c>
      <c r="E258" s="10" t="str">
        <f aca="false">INDEX(Canale!$D$2:$D$30,MATCH(C258,Canale!$A$2:$A$30,0))</f>
        <v>document</v>
      </c>
      <c r="F258" s="10" t="str">
        <f aca="false">INDEX('Site-uri'!$C$2:$C$20,MATCH(A258,'Site-uri'!$A$2:$A$20,0))</f>
        <v>/</v>
      </c>
      <c r="G258" s="10" t="str">
        <f aca="false">Config!$B$3</f>
        <v>2610_ff_lansare</v>
      </c>
      <c r="H258" s="10" t="str">
        <f aca="false">Config!$B$4</f>
        <v>general</v>
      </c>
      <c r="I258" s="10" t="str">
        <f aca="false">"https://"&amp;B258&amp;F258&amp;"?utm_source="&amp;D258&amp;"&amp;utm_medium="&amp;E258&amp;"&amp;utm_campaign="&amp;G258&amp;"&amp;utm_content="&amp;H258</f>
        <v>https://eu-ai-act.ro/?utm_source=pdf_proposal&amp;utm_medium=document&amp;utm_campaign=2610_ff_lansare&amp;utm_content=general</v>
      </c>
    </row>
    <row r="259" customFormat="false" ht="15" hidden="false" customHeight="false" outlineLevel="0" collapsed="false">
      <c r="A259" s="10" t="s">
        <v>69</v>
      </c>
      <c r="B259" s="10" t="str">
        <f aca="false">INDEX('Site-uri'!$B$2:$B$20,MATCH(A259,'Site-uri'!$A$2:$A$20,0))</f>
        <v>eu-ai-act.ro</v>
      </c>
      <c r="C259" s="10" t="s">
        <v>197</v>
      </c>
      <c r="D259" s="10" t="str">
        <f aca="false">INDEX(Canale!$C$2:$C$30,MATCH(C259,Canale!$A$2:$A$30,0))</f>
        <v>qr_print</v>
      </c>
      <c r="E259" s="10" t="str">
        <f aca="false">INDEX(Canale!$D$2:$D$30,MATCH(C259,Canale!$A$2:$A$30,0))</f>
        <v>qr</v>
      </c>
      <c r="F259" s="10" t="str">
        <f aca="false">INDEX('Site-uri'!$C$2:$C$20,MATCH(A259,'Site-uri'!$A$2:$A$20,0))</f>
        <v>/</v>
      </c>
      <c r="G259" s="10" t="str">
        <f aca="false">Config!$B$3</f>
        <v>2610_ff_lansare</v>
      </c>
      <c r="H259" s="10" t="str">
        <f aca="false">Config!$B$4</f>
        <v>general</v>
      </c>
      <c r="I259" s="10" t="str">
        <f aca="false">"https://"&amp;B259&amp;F259&amp;"?utm_source="&amp;D259&amp;"&amp;utm_medium="&amp;E259&amp;"&amp;utm_campaign="&amp;G259&amp;"&amp;utm_content="&amp;H259</f>
        <v>https://eu-ai-act.ro/?utm_source=qr_print&amp;utm_medium=qr&amp;utm_campaign=2610_ff_lansare&amp;utm_content=general</v>
      </c>
    </row>
    <row r="260" customFormat="false" ht="15" hidden="false" customHeight="false" outlineLevel="0" collapsed="false">
      <c r="A260" s="10" t="s">
        <v>69</v>
      </c>
      <c r="B260" s="10" t="str">
        <f aca="false">INDEX('Site-uri'!$B$2:$B$20,MATCH(A260,'Site-uri'!$A$2:$A$20,0))</f>
        <v>eu-ai-act.ro</v>
      </c>
      <c r="C260" s="10" t="s">
        <v>201</v>
      </c>
      <c r="D260" s="10" t="str">
        <f aca="false">INDEX(Canale!$C$2:$C$30,MATCH(C260,Canale!$A$2:$A$30,0))</f>
        <v>event</v>
      </c>
      <c r="E260" s="10" t="str">
        <f aca="false">INDEX(Canale!$D$2:$D$30,MATCH(C260,Canale!$A$2:$A$30,0))</f>
        <v>event</v>
      </c>
      <c r="F260" s="10" t="str">
        <f aca="false">INDEX('Site-uri'!$C$2:$C$20,MATCH(A260,'Site-uri'!$A$2:$A$20,0))</f>
        <v>/</v>
      </c>
      <c r="G260" s="10" t="str">
        <f aca="false">Config!$B$3</f>
        <v>2610_ff_lansare</v>
      </c>
      <c r="H260" s="10" t="str">
        <f aca="false">Config!$B$4</f>
        <v>general</v>
      </c>
      <c r="I260" s="10" t="str">
        <f aca="false">"https://"&amp;B260&amp;F260&amp;"?utm_source="&amp;D260&amp;"&amp;utm_medium="&amp;E260&amp;"&amp;utm_campaign="&amp;G260&amp;"&amp;utm_content="&amp;H260</f>
        <v>https://eu-ai-act.ro/?utm_source=event&amp;utm_medium=event&amp;utm_campaign=2610_ff_lansare&amp;utm_content=general</v>
      </c>
    </row>
    <row r="261" customFormat="false" ht="15" hidden="false" customHeight="false" outlineLevel="0" collapsed="false">
      <c r="A261" s="10" t="s">
        <v>69</v>
      </c>
      <c r="B261" s="10" t="str">
        <f aca="false">INDEX('Site-uri'!$B$2:$B$20,MATCH(A261,'Site-uri'!$A$2:$A$20,0))</f>
        <v>eu-ai-act.ro</v>
      </c>
      <c r="C261" s="10" t="s">
        <v>203</v>
      </c>
      <c r="D261" s="10" t="str">
        <f aca="false">INDEX(Canale!$C$2:$C$30,MATCH(C261,Canale!$A$2:$A$30,0))</f>
        <v>a2a_agent_card</v>
      </c>
      <c r="E261" s="10" t="str">
        <f aca="false">INDEX(Canale!$D$2:$D$30,MATCH(C261,Canale!$A$2:$A$30,0))</f>
        <v>agent</v>
      </c>
      <c r="F261" s="10" t="str">
        <f aca="false">INDEX('Site-uri'!$C$2:$C$20,MATCH(A261,'Site-uri'!$A$2:$A$20,0))</f>
        <v>/</v>
      </c>
      <c r="G261" s="10" t="str">
        <f aca="false">Config!$B$3</f>
        <v>2610_ff_lansare</v>
      </c>
      <c r="H261" s="10" t="str">
        <f aca="false">Config!$B$4</f>
        <v>general</v>
      </c>
      <c r="I261" s="10" t="str">
        <f aca="false">"https://"&amp;B261&amp;F261&amp;"?utm_source="&amp;D261&amp;"&amp;utm_medium="&amp;E261&amp;"&amp;utm_campaign="&amp;G261&amp;"&amp;utm_content="&amp;H261</f>
        <v>https://eu-ai-act.ro/?utm_source=a2a_agent_card&amp;utm_medium=agent&amp;utm_campaign=2610_ff_lansare&amp;utm_content=general</v>
      </c>
    </row>
    <row r="262" customFormat="false" ht="15" hidden="false" customHeight="false" outlineLevel="0" collapsed="false">
      <c r="A262" s="10" t="s">
        <v>69</v>
      </c>
      <c r="B262" s="10" t="str">
        <f aca="false">INDEX('Site-uri'!$B$2:$B$20,MATCH(A262,'Site-uri'!$A$2:$A$20,0))</f>
        <v>eu-ai-act.ro</v>
      </c>
      <c r="C262" s="10" t="s">
        <v>208</v>
      </c>
      <c r="D262" s="10" t="str">
        <f aca="false">INDEX(Canale!$C$2:$C$30,MATCH(C262,Canale!$A$2:$A$30,0))</f>
        <v>llms_txt</v>
      </c>
      <c r="E262" s="10" t="str">
        <f aca="false">INDEX(Canale!$D$2:$D$30,MATCH(C262,Canale!$A$2:$A$30,0))</f>
        <v>ai_web</v>
      </c>
      <c r="F262" s="10" t="str">
        <f aca="false">INDEX('Site-uri'!$C$2:$C$20,MATCH(A262,'Site-uri'!$A$2:$A$20,0))</f>
        <v>/</v>
      </c>
      <c r="G262" s="10" t="str">
        <f aca="false">Config!$B$3</f>
        <v>2610_ff_lansare</v>
      </c>
      <c r="H262" s="10" t="str">
        <f aca="false">Config!$B$4</f>
        <v>general</v>
      </c>
      <c r="I262" s="10" t="str">
        <f aca="false">"https://"&amp;B262&amp;F262&amp;"?utm_source="&amp;D262&amp;"&amp;utm_medium="&amp;E262&amp;"&amp;utm_campaign="&amp;G262&amp;"&amp;utm_content="&amp;H262</f>
        <v>https://eu-ai-act.ro/?utm_source=llms_txt&amp;utm_medium=ai_web&amp;utm_campaign=2610_ff_lansare&amp;utm_content=general</v>
      </c>
    </row>
    <row r="263" customFormat="false" ht="15" hidden="false" customHeight="false" outlineLevel="0" collapsed="false">
      <c r="A263" s="10" t="s">
        <v>72</v>
      </c>
      <c r="B263" s="10" t="str">
        <f aca="false">INDEX('Site-uri'!$B$2:$B$20,MATCH(A263,'Site-uri'!$A$2:$A$20,0))</f>
        <v>eu-ai-act-ready.eu</v>
      </c>
      <c r="C263" s="10" t="s">
        <v>103</v>
      </c>
      <c r="D263" s="10" t="str">
        <f aca="false">INDEX(Canale!$C$2:$C$30,MATCH(C263,Canale!$A$2:$A$30,0))</f>
        <v>linkedin_personal</v>
      </c>
      <c r="E263" s="10" t="str">
        <f aca="false">INDEX(Canale!$D$2:$D$30,MATCH(C263,Canale!$A$2:$A$30,0))</f>
        <v>social</v>
      </c>
      <c r="F263" s="10" t="str">
        <f aca="false">INDEX('Site-uri'!$C$2:$C$20,MATCH(A263,'Site-uri'!$A$2:$A$20,0))</f>
        <v>/</v>
      </c>
      <c r="G263" s="10" t="str">
        <f aca="false">Config!$B$3</f>
        <v>2610_ff_lansare</v>
      </c>
      <c r="H263" s="10" t="str">
        <f aca="false">Config!$B$4</f>
        <v>general</v>
      </c>
      <c r="I263" s="10" t="str">
        <f aca="false">"https://"&amp;B263&amp;F263&amp;"?utm_source="&amp;D263&amp;"&amp;utm_medium="&amp;E263&amp;"&amp;utm_campaign="&amp;G263&amp;"&amp;utm_content="&amp;H263</f>
        <v>https://eu-ai-act-ready.eu/?utm_source=linkedin_personal&amp;utm_medium=social&amp;utm_campaign=2610_ff_lansare&amp;utm_content=general</v>
      </c>
    </row>
    <row r="264" customFormat="false" ht="15" hidden="false" customHeight="false" outlineLevel="0" collapsed="false">
      <c r="A264" s="10" t="s">
        <v>72</v>
      </c>
      <c r="B264" s="10" t="str">
        <f aca="false">INDEX('Site-uri'!$B$2:$B$20,MATCH(A264,'Site-uri'!$A$2:$A$20,0))</f>
        <v>eu-ai-act-ready.eu</v>
      </c>
      <c r="C264" s="10" t="s">
        <v>108</v>
      </c>
      <c r="D264" s="10" t="str">
        <f aca="false">INDEX(Canale!$C$2:$C$30,MATCH(C264,Canale!$A$2:$A$30,0))</f>
        <v>linkedin_company</v>
      </c>
      <c r="E264" s="10" t="str">
        <f aca="false">INDEX(Canale!$D$2:$D$30,MATCH(C264,Canale!$A$2:$A$30,0))</f>
        <v>social</v>
      </c>
      <c r="F264" s="10" t="str">
        <f aca="false">INDEX('Site-uri'!$C$2:$C$20,MATCH(A264,'Site-uri'!$A$2:$A$20,0))</f>
        <v>/</v>
      </c>
      <c r="G264" s="10" t="str">
        <f aca="false">Config!$B$3</f>
        <v>2610_ff_lansare</v>
      </c>
      <c r="H264" s="10" t="str">
        <f aca="false">Config!$B$4</f>
        <v>general</v>
      </c>
      <c r="I264" s="10" t="str">
        <f aca="false">"https://"&amp;B264&amp;F264&amp;"?utm_source="&amp;D264&amp;"&amp;utm_medium="&amp;E264&amp;"&amp;utm_campaign="&amp;G264&amp;"&amp;utm_content="&amp;H264</f>
        <v>https://eu-ai-act-ready.eu/?utm_source=linkedin_company&amp;utm_medium=social&amp;utm_campaign=2610_ff_lansare&amp;utm_content=general</v>
      </c>
    </row>
    <row r="265" customFormat="false" ht="15" hidden="false" customHeight="false" outlineLevel="0" collapsed="false">
      <c r="A265" s="10" t="s">
        <v>72</v>
      </c>
      <c r="B265" s="10" t="str">
        <f aca="false">INDEX('Site-uri'!$B$2:$B$20,MATCH(A265,'Site-uri'!$A$2:$A$20,0))</f>
        <v>eu-ai-act-ready.eu</v>
      </c>
      <c r="C265" s="10" t="s">
        <v>111</v>
      </c>
      <c r="D265" s="10" t="str">
        <f aca="false">INDEX(Canale!$C$2:$C$30,MATCH(C265,Canale!$A$2:$A$30,0))</f>
        <v>linkedin_showcase</v>
      </c>
      <c r="E265" s="10" t="str">
        <f aca="false">INDEX(Canale!$D$2:$D$30,MATCH(C265,Canale!$A$2:$A$30,0))</f>
        <v>social</v>
      </c>
      <c r="F265" s="10" t="str">
        <f aca="false">INDEX('Site-uri'!$C$2:$C$20,MATCH(A265,'Site-uri'!$A$2:$A$20,0))</f>
        <v>/</v>
      </c>
      <c r="G265" s="10" t="str">
        <f aca="false">Config!$B$3</f>
        <v>2610_ff_lansare</v>
      </c>
      <c r="H265" s="10" t="str">
        <f aca="false">Config!$B$4</f>
        <v>general</v>
      </c>
      <c r="I265" s="10" t="str">
        <f aca="false">"https://"&amp;B265&amp;F265&amp;"?utm_source="&amp;D265&amp;"&amp;utm_medium="&amp;E265&amp;"&amp;utm_campaign="&amp;G265&amp;"&amp;utm_content="&amp;H265</f>
        <v>https://eu-ai-act-ready.eu/?utm_source=linkedin_showcase&amp;utm_medium=social&amp;utm_campaign=2610_ff_lansare&amp;utm_content=general</v>
      </c>
    </row>
    <row r="266" customFormat="false" ht="15" hidden="false" customHeight="false" outlineLevel="0" collapsed="false">
      <c r="A266" s="10" t="s">
        <v>72</v>
      </c>
      <c r="B266" s="10" t="str">
        <f aca="false">INDEX('Site-uri'!$B$2:$B$20,MATCH(A266,'Site-uri'!$A$2:$A$20,0))</f>
        <v>eu-ai-act-ready.eu</v>
      </c>
      <c r="C266" s="10" t="s">
        <v>114</v>
      </c>
      <c r="D266" s="10" t="str">
        <f aca="false">INDEX(Canale!$C$2:$C$30,MATCH(C266,Canale!$A$2:$A$30,0))</f>
        <v>linkedin_newsletter</v>
      </c>
      <c r="E266" s="10" t="str">
        <f aca="false">INDEX(Canale!$D$2:$D$30,MATCH(C266,Canale!$A$2:$A$30,0))</f>
        <v>social</v>
      </c>
      <c r="F266" s="10" t="str">
        <f aca="false">INDEX('Site-uri'!$C$2:$C$20,MATCH(A266,'Site-uri'!$A$2:$A$20,0))</f>
        <v>/</v>
      </c>
      <c r="G266" s="10" t="str">
        <f aca="false">Config!$B$3</f>
        <v>2610_ff_lansare</v>
      </c>
      <c r="H266" s="10" t="str">
        <f aca="false">Config!$B$4</f>
        <v>general</v>
      </c>
      <c r="I266" s="10" t="str">
        <f aca="false">"https://"&amp;B266&amp;F266&amp;"?utm_source="&amp;D266&amp;"&amp;utm_medium="&amp;E266&amp;"&amp;utm_campaign="&amp;G266&amp;"&amp;utm_content="&amp;H266</f>
        <v>https://eu-ai-act-ready.eu/?utm_source=linkedin_newsletter&amp;utm_medium=social&amp;utm_campaign=2610_ff_lansare&amp;utm_content=general</v>
      </c>
    </row>
    <row r="267" customFormat="false" ht="15" hidden="false" customHeight="false" outlineLevel="0" collapsed="false">
      <c r="A267" s="10" t="s">
        <v>72</v>
      </c>
      <c r="B267" s="10" t="str">
        <f aca="false">INDEX('Site-uri'!$B$2:$B$20,MATCH(A267,'Site-uri'!$A$2:$A$20,0))</f>
        <v>eu-ai-act-ready.eu</v>
      </c>
      <c r="C267" s="10" t="s">
        <v>117</v>
      </c>
      <c r="D267" s="10" t="str">
        <f aca="false">INDEX(Canale!$C$2:$C$30,MATCH(C267,Canale!$A$2:$A$30,0))</f>
        <v>linkedin_ads</v>
      </c>
      <c r="E267" s="10" t="str">
        <f aca="false">INDEX(Canale!$D$2:$D$30,MATCH(C267,Canale!$A$2:$A$30,0))</f>
        <v>paid_social</v>
      </c>
      <c r="F267" s="10" t="str">
        <f aca="false">INDEX('Site-uri'!$C$2:$C$20,MATCH(A267,'Site-uri'!$A$2:$A$20,0))</f>
        <v>/</v>
      </c>
      <c r="G267" s="10" t="str">
        <f aca="false">Config!$B$3</f>
        <v>2610_ff_lansare</v>
      </c>
      <c r="H267" s="10" t="str">
        <f aca="false">Config!$B$4</f>
        <v>general</v>
      </c>
      <c r="I267" s="10" t="str">
        <f aca="false">"https://"&amp;B267&amp;F267&amp;"?utm_source="&amp;D267&amp;"&amp;utm_medium="&amp;E267&amp;"&amp;utm_campaign="&amp;G267&amp;"&amp;utm_content="&amp;H267</f>
        <v>https://eu-ai-act-ready.eu/?utm_source=linkedin_ads&amp;utm_medium=paid_social&amp;utm_campaign=2610_ff_lansare&amp;utm_content=general</v>
      </c>
    </row>
    <row r="268" customFormat="false" ht="15" hidden="false" customHeight="false" outlineLevel="0" collapsed="false">
      <c r="A268" s="10" t="s">
        <v>72</v>
      </c>
      <c r="B268" s="10" t="str">
        <f aca="false">INDEX('Site-uri'!$B$2:$B$20,MATCH(A268,'Site-uri'!$A$2:$A$20,0))</f>
        <v>eu-ai-act-ready.eu</v>
      </c>
      <c r="C268" s="10" t="s">
        <v>121</v>
      </c>
      <c r="D268" s="10" t="str">
        <f aca="false">INDEX(Canale!$C$2:$C$30,MATCH(C268,Canale!$A$2:$A$30,0))</f>
        <v>linkedin_dm</v>
      </c>
      <c r="E268" s="10" t="str">
        <f aca="false">INDEX(Canale!$D$2:$D$30,MATCH(C268,Canale!$A$2:$A$30,0))</f>
        <v>dm</v>
      </c>
      <c r="F268" s="10" t="str">
        <f aca="false">INDEX('Site-uri'!$C$2:$C$20,MATCH(A268,'Site-uri'!$A$2:$A$20,0))</f>
        <v>/</v>
      </c>
      <c r="G268" s="10" t="str">
        <f aca="false">Config!$B$3</f>
        <v>2610_ff_lansare</v>
      </c>
      <c r="H268" s="10" t="str">
        <f aca="false">Config!$B$4</f>
        <v>general</v>
      </c>
      <c r="I268" s="10" t="str">
        <f aca="false">"https://"&amp;B268&amp;F268&amp;"?utm_source="&amp;D268&amp;"&amp;utm_medium="&amp;E268&amp;"&amp;utm_campaign="&amp;G268&amp;"&amp;utm_content="&amp;H268</f>
        <v>https://eu-ai-act-ready.eu/?utm_source=linkedin_dm&amp;utm_medium=dm&amp;utm_campaign=2610_ff_lansare&amp;utm_content=general</v>
      </c>
    </row>
    <row r="269" customFormat="false" ht="15" hidden="false" customHeight="false" outlineLevel="0" collapsed="false">
      <c r="A269" s="10" t="s">
        <v>72</v>
      </c>
      <c r="B269" s="10" t="str">
        <f aca="false">INDEX('Site-uri'!$B$2:$B$20,MATCH(A269,'Site-uri'!$A$2:$A$20,0))</f>
        <v>eu-ai-act-ready.eu</v>
      </c>
      <c r="C269" s="10" t="s">
        <v>125</v>
      </c>
      <c r="D269" s="10" t="str">
        <f aca="false">INDEX(Canale!$C$2:$C$30,MATCH(C269,Canale!$A$2:$A$30,0))</f>
        <v>email_outreach</v>
      </c>
      <c r="E269" s="10" t="str">
        <f aca="false">INDEX(Canale!$D$2:$D$30,MATCH(C269,Canale!$A$2:$A$30,0))</f>
        <v>email</v>
      </c>
      <c r="F269" s="10" t="str">
        <f aca="false">INDEX('Site-uri'!$C$2:$C$20,MATCH(A269,'Site-uri'!$A$2:$A$20,0))</f>
        <v>/</v>
      </c>
      <c r="G269" s="10" t="str">
        <f aca="false">Config!$B$3</f>
        <v>2610_ff_lansare</v>
      </c>
      <c r="H269" s="10" t="str">
        <f aca="false">Config!$B$4</f>
        <v>general</v>
      </c>
      <c r="I269" s="10" t="str">
        <f aca="false">"https://"&amp;B269&amp;F269&amp;"?utm_source="&amp;D269&amp;"&amp;utm_medium="&amp;E269&amp;"&amp;utm_campaign="&amp;G269&amp;"&amp;utm_content="&amp;H269</f>
        <v>https://eu-ai-act-ready.eu/?utm_source=email_outreach&amp;utm_medium=email&amp;utm_campaign=2610_ff_lansare&amp;utm_content=general</v>
      </c>
    </row>
    <row r="270" customFormat="false" ht="15" hidden="false" customHeight="false" outlineLevel="0" collapsed="false">
      <c r="A270" s="10" t="s">
        <v>72</v>
      </c>
      <c r="B270" s="10" t="str">
        <f aca="false">INDEX('Site-uri'!$B$2:$B$20,MATCH(A270,'Site-uri'!$A$2:$A$20,0))</f>
        <v>eu-ai-act-ready.eu</v>
      </c>
      <c r="C270" s="10" t="s">
        <v>130</v>
      </c>
      <c r="D270" s="10" t="str">
        <f aca="false">INDEX(Canale!$C$2:$C$30,MATCH(C270,Canale!$A$2:$A$30,0))</f>
        <v>newsletter</v>
      </c>
      <c r="E270" s="10" t="str">
        <f aca="false">INDEX(Canale!$D$2:$D$30,MATCH(C270,Canale!$A$2:$A$30,0))</f>
        <v>email</v>
      </c>
      <c r="F270" s="10" t="str">
        <f aca="false">INDEX('Site-uri'!$C$2:$C$20,MATCH(A270,'Site-uri'!$A$2:$A$20,0))</f>
        <v>/</v>
      </c>
      <c r="G270" s="10" t="str">
        <f aca="false">Config!$B$3</f>
        <v>2610_ff_lansare</v>
      </c>
      <c r="H270" s="10" t="str">
        <f aca="false">Config!$B$4</f>
        <v>general</v>
      </c>
      <c r="I270" s="10" t="str">
        <f aca="false">"https://"&amp;B270&amp;F270&amp;"?utm_source="&amp;D270&amp;"&amp;utm_medium="&amp;E270&amp;"&amp;utm_campaign="&amp;G270&amp;"&amp;utm_content="&amp;H270</f>
        <v>https://eu-ai-act-ready.eu/?utm_source=newsletter&amp;utm_medium=email&amp;utm_campaign=2610_ff_lansare&amp;utm_content=general</v>
      </c>
    </row>
    <row r="271" customFormat="false" ht="15" hidden="false" customHeight="false" outlineLevel="0" collapsed="false">
      <c r="A271" s="10" t="s">
        <v>72</v>
      </c>
      <c r="B271" s="10" t="str">
        <f aca="false">INDEX('Site-uri'!$B$2:$B$20,MATCH(A271,'Site-uri'!$A$2:$A$20,0))</f>
        <v>eu-ai-act-ready.eu</v>
      </c>
      <c r="C271" s="10" t="s">
        <v>133</v>
      </c>
      <c r="D271" s="10" t="str">
        <f aca="false">INDEX(Canale!$C$2:$C$30,MATCH(C271,Canale!$A$2:$A$30,0))</f>
        <v>email_signature</v>
      </c>
      <c r="E271" s="10" t="str">
        <f aca="false">INDEX(Canale!$D$2:$D$30,MATCH(C271,Canale!$A$2:$A$30,0))</f>
        <v>email</v>
      </c>
      <c r="F271" s="10" t="str">
        <f aca="false">INDEX('Site-uri'!$C$2:$C$20,MATCH(A271,'Site-uri'!$A$2:$A$20,0))</f>
        <v>/</v>
      </c>
      <c r="G271" s="10" t="str">
        <f aca="false">Config!$B$3</f>
        <v>2610_ff_lansare</v>
      </c>
      <c r="H271" s="10" t="str">
        <f aca="false">Config!$B$4</f>
        <v>general</v>
      </c>
      <c r="I271" s="10" t="str">
        <f aca="false">"https://"&amp;B271&amp;F271&amp;"?utm_source="&amp;D271&amp;"&amp;utm_medium="&amp;E271&amp;"&amp;utm_campaign="&amp;G271&amp;"&amp;utm_content="&amp;H271</f>
        <v>https://eu-ai-act-ready.eu/?utm_source=email_signature&amp;utm_medium=email&amp;utm_campaign=2610_ff_lansare&amp;utm_content=general</v>
      </c>
    </row>
    <row r="272" customFormat="false" ht="15" hidden="false" customHeight="false" outlineLevel="0" collapsed="false">
      <c r="A272" s="10" t="s">
        <v>72</v>
      </c>
      <c r="B272" s="10" t="str">
        <f aca="false">INDEX('Site-uri'!$B$2:$B$20,MATCH(A272,'Site-uri'!$A$2:$A$20,0))</f>
        <v>eu-ai-act-ready.eu</v>
      </c>
      <c r="C272" s="10" t="s">
        <v>136</v>
      </c>
      <c r="D272" s="10" t="str">
        <f aca="false">INDEX(Canale!$C$2:$C$30,MATCH(C272,Canale!$A$2:$A$30,0))</f>
        <v>whatsapp</v>
      </c>
      <c r="E272" s="10" t="str">
        <f aca="false">INDEX(Canale!$D$2:$D$30,MATCH(C272,Canale!$A$2:$A$30,0))</f>
        <v>dm</v>
      </c>
      <c r="F272" s="10" t="str">
        <f aca="false">INDEX('Site-uri'!$C$2:$C$20,MATCH(A272,'Site-uri'!$A$2:$A$20,0))</f>
        <v>/</v>
      </c>
      <c r="G272" s="10" t="str">
        <f aca="false">Config!$B$3</f>
        <v>2610_ff_lansare</v>
      </c>
      <c r="H272" s="10" t="str">
        <f aca="false">Config!$B$4</f>
        <v>general</v>
      </c>
      <c r="I272" s="10" t="str">
        <f aca="false">"https://"&amp;B272&amp;F272&amp;"?utm_source="&amp;D272&amp;"&amp;utm_medium="&amp;E272&amp;"&amp;utm_campaign="&amp;G272&amp;"&amp;utm_content="&amp;H272</f>
        <v>https://eu-ai-act-ready.eu/?utm_source=whatsapp&amp;utm_medium=dm&amp;utm_campaign=2610_ff_lansare&amp;utm_content=general</v>
      </c>
    </row>
    <row r="273" customFormat="false" ht="15" hidden="false" customHeight="false" outlineLevel="0" collapsed="false">
      <c r="A273" s="10" t="s">
        <v>72</v>
      </c>
      <c r="B273" s="10" t="str">
        <f aca="false">INDEX('Site-uri'!$B$2:$B$20,MATCH(A273,'Site-uri'!$A$2:$A$20,0))</f>
        <v>eu-ai-act-ready.eu</v>
      </c>
      <c r="C273" s="10" t="s">
        <v>140</v>
      </c>
      <c r="D273" s="10" t="str">
        <f aca="false">INDEX(Canale!$C$2:$C$30,MATCH(C273,Canale!$A$2:$A$30,0))</f>
        <v>google</v>
      </c>
      <c r="E273" s="10" t="str">
        <f aca="false">INDEX(Canale!$D$2:$D$30,MATCH(C273,Canale!$A$2:$A$30,0))</f>
        <v>cpc</v>
      </c>
      <c r="F273" s="10" t="str">
        <f aca="false">INDEX('Site-uri'!$C$2:$C$20,MATCH(A273,'Site-uri'!$A$2:$A$20,0))</f>
        <v>/</v>
      </c>
      <c r="G273" s="10" t="str">
        <f aca="false">Config!$B$3</f>
        <v>2610_ff_lansare</v>
      </c>
      <c r="H273" s="10" t="str">
        <f aca="false">Config!$B$4</f>
        <v>general</v>
      </c>
      <c r="I273" s="10" t="str">
        <f aca="false">"https://"&amp;B273&amp;F273&amp;"?utm_source="&amp;D273&amp;"&amp;utm_medium="&amp;E273&amp;"&amp;utm_campaign="&amp;G273&amp;"&amp;utm_content="&amp;H273</f>
        <v>https://eu-ai-act-ready.eu/?utm_source=google&amp;utm_medium=cpc&amp;utm_campaign=2610_ff_lansare&amp;utm_content=general</v>
      </c>
    </row>
    <row r="274" customFormat="false" ht="15" hidden="false" customHeight="false" outlineLevel="0" collapsed="false">
      <c r="A274" s="10" t="s">
        <v>72</v>
      </c>
      <c r="B274" s="10" t="str">
        <f aca="false">INDEX('Site-uri'!$B$2:$B$20,MATCH(A274,'Site-uri'!$A$2:$A$20,0))</f>
        <v>eu-ai-act-ready.eu</v>
      </c>
      <c r="C274" s="10" t="s">
        <v>145</v>
      </c>
      <c r="D274" s="10" t="str">
        <f aca="false">INDEX(Canale!$C$2:$C$30,MATCH(C274,Canale!$A$2:$A$30,0))</f>
        <v>bing</v>
      </c>
      <c r="E274" s="10" t="str">
        <f aca="false">INDEX(Canale!$D$2:$D$30,MATCH(C274,Canale!$A$2:$A$30,0))</f>
        <v>cpc</v>
      </c>
      <c r="F274" s="10" t="str">
        <f aca="false">INDEX('Site-uri'!$C$2:$C$20,MATCH(A274,'Site-uri'!$A$2:$A$20,0))</f>
        <v>/</v>
      </c>
      <c r="G274" s="10" t="str">
        <f aca="false">Config!$B$3</f>
        <v>2610_ff_lansare</v>
      </c>
      <c r="H274" s="10" t="str">
        <f aca="false">Config!$B$4</f>
        <v>general</v>
      </c>
      <c r="I274" s="10" t="str">
        <f aca="false">"https://"&amp;B274&amp;F274&amp;"?utm_source="&amp;D274&amp;"&amp;utm_medium="&amp;E274&amp;"&amp;utm_campaign="&amp;G274&amp;"&amp;utm_content="&amp;H274</f>
        <v>https://eu-ai-act-ready.eu/?utm_source=bing&amp;utm_medium=cpc&amp;utm_campaign=2610_ff_lansare&amp;utm_content=general</v>
      </c>
    </row>
    <row r="275" customFormat="false" ht="15" hidden="false" customHeight="false" outlineLevel="0" collapsed="false">
      <c r="A275" s="10" t="s">
        <v>72</v>
      </c>
      <c r="B275" s="10" t="str">
        <f aca="false">INDEX('Site-uri'!$B$2:$B$20,MATCH(A275,'Site-uri'!$A$2:$A$20,0))</f>
        <v>eu-ai-act-ready.eu</v>
      </c>
      <c r="C275" s="10" t="s">
        <v>148</v>
      </c>
      <c r="D275" s="10" t="str">
        <f aca="false">INDEX(Canale!$C$2:$C$30,MATCH(C275,Canale!$A$2:$A$30,0))</f>
        <v>facebook</v>
      </c>
      <c r="E275" s="10" t="str">
        <f aca="false">INDEX(Canale!$D$2:$D$30,MATCH(C275,Canale!$A$2:$A$30,0))</f>
        <v>social</v>
      </c>
      <c r="F275" s="10" t="str">
        <f aca="false">INDEX('Site-uri'!$C$2:$C$20,MATCH(A275,'Site-uri'!$A$2:$A$20,0))</f>
        <v>/</v>
      </c>
      <c r="G275" s="10" t="str">
        <f aca="false">Config!$B$3</f>
        <v>2610_ff_lansare</v>
      </c>
      <c r="H275" s="10" t="str">
        <f aca="false">Config!$B$4</f>
        <v>general</v>
      </c>
      <c r="I275" s="10" t="str">
        <f aca="false">"https://"&amp;B275&amp;F275&amp;"?utm_source="&amp;D275&amp;"&amp;utm_medium="&amp;E275&amp;"&amp;utm_campaign="&amp;G275&amp;"&amp;utm_content="&amp;H275</f>
        <v>https://eu-ai-act-ready.eu/?utm_source=facebook&amp;utm_medium=social&amp;utm_campaign=2610_ff_lansare&amp;utm_content=general</v>
      </c>
    </row>
    <row r="276" customFormat="false" ht="15" hidden="false" customHeight="false" outlineLevel="0" collapsed="false">
      <c r="A276" s="10" t="s">
        <v>72</v>
      </c>
      <c r="B276" s="10" t="str">
        <f aca="false">INDEX('Site-uri'!$B$2:$B$20,MATCH(A276,'Site-uri'!$A$2:$A$20,0))</f>
        <v>eu-ai-act-ready.eu</v>
      </c>
      <c r="C276" s="10" t="s">
        <v>152</v>
      </c>
      <c r="D276" s="10" t="str">
        <f aca="false">INDEX(Canale!$C$2:$C$30,MATCH(C276,Canale!$A$2:$A$30,0))</f>
        <v>x</v>
      </c>
      <c r="E276" s="10" t="str">
        <f aca="false">INDEX(Canale!$D$2:$D$30,MATCH(C276,Canale!$A$2:$A$30,0))</f>
        <v>social</v>
      </c>
      <c r="F276" s="10" t="str">
        <f aca="false">INDEX('Site-uri'!$C$2:$C$20,MATCH(A276,'Site-uri'!$A$2:$A$20,0))</f>
        <v>/</v>
      </c>
      <c r="G276" s="10" t="str">
        <f aca="false">Config!$B$3</f>
        <v>2610_ff_lansare</v>
      </c>
      <c r="H276" s="10" t="str">
        <f aca="false">Config!$B$4</f>
        <v>general</v>
      </c>
      <c r="I276" s="10" t="str">
        <f aca="false">"https://"&amp;B276&amp;F276&amp;"?utm_source="&amp;D276&amp;"&amp;utm_medium="&amp;E276&amp;"&amp;utm_campaign="&amp;G276&amp;"&amp;utm_content="&amp;H276</f>
        <v>https://eu-ai-act-ready.eu/?utm_source=x&amp;utm_medium=social&amp;utm_campaign=2610_ff_lansare&amp;utm_content=general</v>
      </c>
    </row>
    <row r="277" customFormat="false" ht="15" hidden="false" customHeight="false" outlineLevel="0" collapsed="false">
      <c r="A277" s="10" t="s">
        <v>72</v>
      </c>
      <c r="B277" s="10" t="str">
        <f aca="false">INDEX('Site-uri'!$B$2:$B$20,MATCH(A277,'Site-uri'!$A$2:$A$20,0))</f>
        <v>eu-ai-act-ready.eu</v>
      </c>
      <c r="C277" s="10" t="s">
        <v>154</v>
      </c>
      <c r="D277" s="10" t="str">
        <f aca="false">INDEX(Canale!$C$2:$C$30,MATCH(C277,Canale!$A$2:$A$30,0))</f>
        <v>youtube</v>
      </c>
      <c r="E277" s="10" t="str">
        <f aca="false">INDEX(Canale!$D$2:$D$30,MATCH(C277,Canale!$A$2:$A$30,0))</f>
        <v>video</v>
      </c>
      <c r="F277" s="10" t="str">
        <f aca="false">INDEX('Site-uri'!$C$2:$C$20,MATCH(A277,'Site-uri'!$A$2:$A$20,0))</f>
        <v>/</v>
      </c>
      <c r="G277" s="10" t="str">
        <f aca="false">Config!$B$3</f>
        <v>2610_ff_lansare</v>
      </c>
      <c r="H277" s="10" t="str">
        <f aca="false">Config!$B$4</f>
        <v>general</v>
      </c>
      <c r="I277" s="10" t="str">
        <f aca="false">"https://"&amp;B277&amp;F277&amp;"?utm_source="&amp;D277&amp;"&amp;utm_medium="&amp;E277&amp;"&amp;utm_campaign="&amp;G277&amp;"&amp;utm_content="&amp;H277</f>
        <v>https://eu-ai-act-ready.eu/?utm_source=youtube&amp;utm_medium=video&amp;utm_campaign=2610_ff_lansare&amp;utm_content=general</v>
      </c>
    </row>
    <row r="278" customFormat="false" ht="15" hidden="false" customHeight="false" outlineLevel="0" collapsed="false">
      <c r="A278" s="10" t="s">
        <v>72</v>
      </c>
      <c r="B278" s="10" t="str">
        <f aca="false">INDEX('Site-uri'!$B$2:$B$20,MATCH(A278,'Site-uri'!$A$2:$A$20,0))</f>
        <v>eu-ai-act-ready.eu</v>
      </c>
      <c r="C278" s="10" t="s">
        <v>159</v>
      </c>
      <c r="D278" s="10" t="str">
        <f aca="false">INDEX(Canale!$C$2:$C$30,MATCH(C278,Canale!$A$2:$A$30,0))</f>
        <v>medium</v>
      </c>
      <c r="E278" s="10" t="str">
        <f aca="false">INDEX(Canale!$D$2:$D$30,MATCH(C278,Canale!$A$2:$A$30,0))</f>
        <v>content</v>
      </c>
      <c r="F278" s="10" t="str">
        <f aca="false">INDEX('Site-uri'!$C$2:$C$20,MATCH(A278,'Site-uri'!$A$2:$A$20,0))</f>
        <v>/</v>
      </c>
      <c r="G278" s="10" t="str">
        <f aca="false">Config!$B$3</f>
        <v>2610_ff_lansare</v>
      </c>
      <c r="H278" s="10" t="str">
        <f aca="false">Config!$B$4</f>
        <v>general</v>
      </c>
      <c r="I278" s="10" t="str">
        <f aca="false">"https://"&amp;B278&amp;F278&amp;"?utm_source="&amp;D278&amp;"&amp;utm_medium="&amp;E278&amp;"&amp;utm_campaign="&amp;G278&amp;"&amp;utm_content="&amp;H278</f>
        <v>https://eu-ai-act-ready.eu/?utm_source=medium&amp;utm_medium=content&amp;utm_campaign=2610_ff_lansare&amp;utm_content=general</v>
      </c>
    </row>
    <row r="279" customFormat="false" ht="15" hidden="false" customHeight="false" outlineLevel="0" collapsed="false">
      <c r="A279" s="10" t="s">
        <v>72</v>
      </c>
      <c r="B279" s="10" t="str">
        <f aca="false">INDEX('Site-uri'!$B$2:$B$20,MATCH(A279,'Site-uri'!$A$2:$A$20,0))</f>
        <v>eu-ai-act-ready.eu</v>
      </c>
      <c r="C279" s="10" t="s">
        <v>164</v>
      </c>
      <c r="D279" s="10" t="str">
        <f aca="false">INDEX(Canale!$C$2:$C$30,MATCH(C279,Canale!$A$2:$A$30,0))</f>
        <v>crunchbase</v>
      </c>
      <c r="E279" s="10" t="str">
        <f aca="false">INDEX(Canale!$D$2:$D$30,MATCH(C279,Canale!$A$2:$A$30,0))</f>
        <v>referral</v>
      </c>
      <c r="F279" s="10" t="str">
        <f aca="false">INDEX('Site-uri'!$C$2:$C$20,MATCH(A279,'Site-uri'!$A$2:$A$20,0))</f>
        <v>/</v>
      </c>
      <c r="G279" s="10" t="str">
        <f aca="false">Config!$B$3</f>
        <v>2610_ff_lansare</v>
      </c>
      <c r="H279" s="10" t="str">
        <f aca="false">Config!$B$4</f>
        <v>general</v>
      </c>
      <c r="I279" s="10" t="str">
        <f aca="false">"https://"&amp;B279&amp;F279&amp;"?utm_source="&amp;D279&amp;"&amp;utm_medium="&amp;E279&amp;"&amp;utm_campaign="&amp;G279&amp;"&amp;utm_content="&amp;H279</f>
        <v>https://eu-ai-act-ready.eu/?utm_source=crunchbase&amp;utm_medium=referral&amp;utm_campaign=2610_ff_lansare&amp;utm_content=general</v>
      </c>
    </row>
    <row r="280" customFormat="false" ht="15" hidden="false" customHeight="false" outlineLevel="0" collapsed="false">
      <c r="A280" s="10" t="s">
        <v>72</v>
      </c>
      <c r="B280" s="10" t="str">
        <f aca="false">INDEX('Site-uri'!$B$2:$B$20,MATCH(A280,'Site-uri'!$A$2:$A$20,0))</f>
        <v>eu-ai-act-ready.eu</v>
      </c>
      <c r="C280" s="10" t="s">
        <v>169</v>
      </c>
      <c r="D280" s="10" t="str">
        <f aca="false">INDEX(Canale!$C$2:$C$30,MATCH(C280,Canale!$A$2:$A$30,0))</f>
        <v>zenodo</v>
      </c>
      <c r="E280" s="10" t="str">
        <f aca="false">INDEX(Canale!$D$2:$D$30,MATCH(C280,Canale!$A$2:$A$30,0))</f>
        <v>referral</v>
      </c>
      <c r="F280" s="10" t="str">
        <f aca="false">INDEX('Site-uri'!$C$2:$C$20,MATCH(A280,'Site-uri'!$A$2:$A$20,0))</f>
        <v>/</v>
      </c>
      <c r="G280" s="10" t="str">
        <f aca="false">Config!$B$3</f>
        <v>2610_ff_lansare</v>
      </c>
      <c r="H280" s="10" t="str">
        <f aca="false">Config!$B$4</f>
        <v>general</v>
      </c>
      <c r="I280" s="10" t="str">
        <f aca="false">"https://"&amp;B280&amp;F280&amp;"?utm_source="&amp;D280&amp;"&amp;utm_medium="&amp;E280&amp;"&amp;utm_campaign="&amp;G280&amp;"&amp;utm_content="&amp;H280</f>
        <v>https://eu-ai-act-ready.eu/?utm_source=zenodo&amp;utm_medium=referral&amp;utm_campaign=2610_ff_lansare&amp;utm_content=general</v>
      </c>
    </row>
    <row r="281" customFormat="false" ht="15" hidden="false" customHeight="false" outlineLevel="0" collapsed="false">
      <c r="A281" s="10" t="s">
        <v>72</v>
      </c>
      <c r="B281" s="10" t="str">
        <f aca="false">INDEX('Site-uri'!$B$2:$B$20,MATCH(A281,'Site-uri'!$A$2:$A$20,0))</f>
        <v>eu-ai-act-ready.eu</v>
      </c>
      <c r="C281" s="10" t="s">
        <v>172</v>
      </c>
      <c r="D281" s="10" t="str">
        <f aca="false">INDEX(Canale!$C$2:$C$30,MATCH(C281,Canale!$A$2:$A$30,0))</f>
        <v>orcid</v>
      </c>
      <c r="E281" s="10" t="str">
        <f aca="false">INDEX(Canale!$D$2:$D$30,MATCH(C281,Canale!$A$2:$A$30,0))</f>
        <v>referral</v>
      </c>
      <c r="F281" s="10" t="str">
        <f aca="false">INDEX('Site-uri'!$C$2:$C$20,MATCH(A281,'Site-uri'!$A$2:$A$20,0))</f>
        <v>/</v>
      </c>
      <c r="G281" s="10" t="str">
        <f aca="false">Config!$B$3</f>
        <v>2610_ff_lansare</v>
      </c>
      <c r="H281" s="10" t="str">
        <f aca="false">Config!$B$4</f>
        <v>general</v>
      </c>
      <c r="I281" s="10" t="str">
        <f aca="false">"https://"&amp;B281&amp;F281&amp;"?utm_source="&amp;D281&amp;"&amp;utm_medium="&amp;E281&amp;"&amp;utm_campaign="&amp;G281&amp;"&amp;utm_content="&amp;H281</f>
        <v>https://eu-ai-act-ready.eu/?utm_source=orcid&amp;utm_medium=referral&amp;utm_campaign=2610_ff_lansare&amp;utm_content=general</v>
      </c>
    </row>
    <row r="282" customFormat="false" ht="15" hidden="false" customHeight="false" outlineLevel="0" collapsed="false">
      <c r="A282" s="10" t="s">
        <v>72</v>
      </c>
      <c r="B282" s="10" t="str">
        <f aca="false">INDEX('Site-uri'!$B$2:$B$20,MATCH(A282,'Site-uri'!$A$2:$A$20,0))</f>
        <v>eu-ai-act-ready.eu</v>
      </c>
      <c r="C282" s="10" t="s">
        <v>175</v>
      </c>
      <c r="D282" s="10" t="str">
        <f aca="false">INDEX(Canale!$C$2:$C$30,MATCH(C282,Canale!$A$2:$A$30,0))</f>
        <v>github</v>
      </c>
      <c r="E282" s="10" t="str">
        <f aca="false">INDEX(Canale!$D$2:$D$30,MATCH(C282,Canale!$A$2:$A$30,0))</f>
        <v>referral</v>
      </c>
      <c r="F282" s="10" t="str">
        <f aca="false">INDEX('Site-uri'!$C$2:$C$20,MATCH(A282,'Site-uri'!$A$2:$A$20,0))</f>
        <v>/</v>
      </c>
      <c r="G282" s="10" t="str">
        <f aca="false">Config!$B$3</f>
        <v>2610_ff_lansare</v>
      </c>
      <c r="H282" s="10" t="str">
        <f aca="false">Config!$B$4</f>
        <v>general</v>
      </c>
      <c r="I282" s="10" t="str">
        <f aca="false">"https://"&amp;B282&amp;F282&amp;"?utm_source="&amp;D282&amp;"&amp;utm_medium="&amp;E282&amp;"&amp;utm_campaign="&amp;G282&amp;"&amp;utm_content="&amp;H282</f>
        <v>https://eu-ai-act-ready.eu/?utm_source=github&amp;utm_medium=referral&amp;utm_campaign=2610_ff_lansare&amp;utm_content=general</v>
      </c>
    </row>
    <row r="283" customFormat="false" ht="15" hidden="false" customHeight="false" outlineLevel="0" collapsed="false">
      <c r="A283" s="10" t="s">
        <v>72</v>
      </c>
      <c r="B283" s="10" t="str">
        <f aca="false">INDEX('Site-uri'!$B$2:$B$20,MATCH(A283,'Site-uri'!$A$2:$A$20,0))</f>
        <v>eu-ai-act-ready.eu</v>
      </c>
      <c r="C283" s="10" t="s">
        <v>178</v>
      </c>
      <c r="D283" s="10" t="str">
        <f aca="false">INDEX(Canale!$C$2:$C$30,MATCH(C283,Canale!$A$2:$A$30,0))</f>
        <v>kdp_book</v>
      </c>
      <c r="E283" s="10" t="str">
        <f aca="false">INDEX(Canale!$D$2:$D$30,MATCH(C283,Canale!$A$2:$A$30,0))</f>
        <v>book</v>
      </c>
      <c r="F283" s="10" t="str">
        <f aca="false">INDEX('Site-uri'!$C$2:$C$20,MATCH(A283,'Site-uri'!$A$2:$A$20,0))</f>
        <v>/</v>
      </c>
      <c r="G283" s="10" t="str">
        <f aca="false">Config!$B$3</f>
        <v>2610_ff_lansare</v>
      </c>
      <c r="H283" s="10" t="str">
        <f aca="false">Config!$B$4</f>
        <v>general</v>
      </c>
      <c r="I283" s="10" t="str">
        <f aca="false">"https://"&amp;B283&amp;F283&amp;"?utm_source="&amp;D283&amp;"&amp;utm_medium="&amp;E283&amp;"&amp;utm_campaign="&amp;G283&amp;"&amp;utm_content="&amp;H283</f>
        <v>https://eu-ai-act-ready.eu/?utm_source=kdp_book&amp;utm_medium=book&amp;utm_campaign=2610_ff_lansare&amp;utm_content=general</v>
      </c>
    </row>
    <row r="284" customFormat="false" ht="15" hidden="false" customHeight="false" outlineLevel="0" collapsed="false">
      <c r="A284" s="10" t="s">
        <v>72</v>
      </c>
      <c r="B284" s="10" t="str">
        <f aca="false">INDEX('Site-uri'!$B$2:$B$20,MATCH(A284,'Site-uri'!$A$2:$A$20,0))</f>
        <v>eu-ai-act-ready.eu</v>
      </c>
      <c r="C284" s="10" t="s">
        <v>183</v>
      </c>
      <c r="D284" s="10" t="str">
        <f aca="false">INDEX(Canale!$C$2:$C$30,MATCH(C284,Canale!$A$2:$A$30,0))</f>
        <v>udemy</v>
      </c>
      <c r="E284" s="10" t="str">
        <f aca="false">INDEX(Canale!$D$2:$D$30,MATCH(C284,Canale!$A$2:$A$30,0))</f>
        <v>course</v>
      </c>
      <c r="F284" s="10" t="str">
        <f aca="false">INDEX('Site-uri'!$C$2:$C$20,MATCH(A284,'Site-uri'!$A$2:$A$20,0))</f>
        <v>/</v>
      </c>
      <c r="G284" s="10" t="str">
        <f aca="false">Config!$B$3</f>
        <v>2610_ff_lansare</v>
      </c>
      <c r="H284" s="10" t="str">
        <f aca="false">Config!$B$4</f>
        <v>general</v>
      </c>
      <c r="I284" s="10" t="str">
        <f aca="false">"https://"&amp;B284&amp;F284&amp;"?utm_source="&amp;D284&amp;"&amp;utm_medium="&amp;E284&amp;"&amp;utm_campaign="&amp;G284&amp;"&amp;utm_content="&amp;H284</f>
        <v>https://eu-ai-act-ready.eu/?utm_source=udemy&amp;utm_medium=course&amp;utm_campaign=2610_ff_lansare&amp;utm_content=general</v>
      </c>
    </row>
    <row r="285" customFormat="false" ht="15" hidden="false" customHeight="false" outlineLevel="0" collapsed="false">
      <c r="A285" s="10" t="s">
        <v>72</v>
      </c>
      <c r="B285" s="10" t="str">
        <f aca="false">INDEX('Site-uri'!$B$2:$B$20,MATCH(A285,'Site-uri'!$A$2:$A$20,0))</f>
        <v>eu-ai-act-ready.eu</v>
      </c>
      <c r="C285" s="10" t="s">
        <v>186</v>
      </c>
      <c r="D285" s="10" t="str">
        <f aca="false">INDEX(Canale!$C$2:$C$30,MATCH(C285,Canale!$A$2:$A$30,0))</f>
        <v>directory</v>
      </c>
      <c r="E285" s="10" t="str">
        <f aca="false">INDEX(Canale!$D$2:$D$30,MATCH(C285,Canale!$A$2:$A$30,0))</f>
        <v>referral</v>
      </c>
      <c r="F285" s="10" t="str">
        <f aca="false">INDEX('Site-uri'!$C$2:$C$20,MATCH(A285,'Site-uri'!$A$2:$A$20,0))</f>
        <v>/</v>
      </c>
      <c r="G285" s="10" t="str">
        <f aca="false">Config!$B$3</f>
        <v>2610_ff_lansare</v>
      </c>
      <c r="H285" s="10" t="str">
        <f aca="false">Config!$B$4</f>
        <v>general</v>
      </c>
      <c r="I285" s="10" t="str">
        <f aca="false">"https://"&amp;B285&amp;F285&amp;"?utm_source="&amp;D285&amp;"&amp;utm_medium="&amp;E285&amp;"&amp;utm_campaign="&amp;G285&amp;"&amp;utm_content="&amp;H285</f>
        <v>https://eu-ai-act-ready.eu/?utm_source=directory&amp;utm_medium=referral&amp;utm_campaign=2610_ff_lansare&amp;utm_content=general</v>
      </c>
    </row>
    <row r="286" customFormat="false" ht="15" hidden="false" customHeight="false" outlineLevel="0" collapsed="false">
      <c r="A286" s="10" t="s">
        <v>72</v>
      </c>
      <c r="B286" s="10" t="str">
        <f aca="false">INDEX('Site-uri'!$B$2:$B$20,MATCH(A286,'Site-uri'!$A$2:$A$20,0))</f>
        <v>eu-ai-act-ready.eu</v>
      </c>
      <c r="C286" s="10" t="s">
        <v>190</v>
      </c>
      <c r="D286" s="10" t="str">
        <f aca="false">INDEX(Canale!$C$2:$C$30,MATCH(C286,Canale!$A$2:$A$30,0))</f>
        <v>partner</v>
      </c>
      <c r="E286" s="10" t="str">
        <f aca="false">INDEX(Canale!$D$2:$D$30,MATCH(C286,Canale!$A$2:$A$30,0))</f>
        <v>partner</v>
      </c>
      <c r="F286" s="10" t="str">
        <f aca="false">INDEX('Site-uri'!$C$2:$C$20,MATCH(A286,'Site-uri'!$A$2:$A$20,0))</f>
        <v>/</v>
      </c>
      <c r="G286" s="10" t="str">
        <f aca="false">Config!$B$3</f>
        <v>2610_ff_lansare</v>
      </c>
      <c r="H286" s="10" t="str">
        <f aca="false">Config!$B$4</f>
        <v>general</v>
      </c>
      <c r="I286" s="10" t="str">
        <f aca="false">"https://"&amp;B286&amp;F286&amp;"?utm_source="&amp;D286&amp;"&amp;utm_medium="&amp;E286&amp;"&amp;utm_campaign="&amp;G286&amp;"&amp;utm_content="&amp;H286</f>
        <v>https://eu-ai-act-ready.eu/?utm_source=partner&amp;utm_medium=partner&amp;utm_campaign=2610_ff_lansare&amp;utm_content=general</v>
      </c>
    </row>
    <row r="287" customFormat="false" ht="15" hidden="false" customHeight="false" outlineLevel="0" collapsed="false">
      <c r="A287" s="10" t="s">
        <v>72</v>
      </c>
      <c r="B287" s="10" t="str">
        <f aca="false">INDEX('Site-uri'!$B$2:$B$20,MATCH(A287,'Site-uri'!$A$2:$A$20,0))</f>
        <v>eu-ai-act-ready.eu</v>
      </c>
      <c r="C287" s="10" t="s">
        <v>192</v>
      </c>
      <c r="D287" s="10" t="str">
        <f aca="false">INDEX(Canale!$C$2:$C$30,MATCH(C287,Canale!$A$2:$A$30,0))</f>
        <v>pdf_proposal</v>
      </c>
      <c r="E287" s="10" t="str">
        <f aca="false">INDEX(Canale!$D$2:$D$30,MATCH(C287,Canale!$A$2:$A$30,0))</f>
        <v>document</v>
      </c>
      <c r="F287" s="10" t="str">
        <f aca="false">INDEX('Site-uri'!$C$2:$C$20,MATCH(A287,'Site-uri'!$A$2:$A$20,0))</f>
        <v>/</v>
      </c>
      <c r="G287" s="10" t="str">
        <f aca="false">Config!$B$3</f>
        <v>2610_ff_lansare</v>
      </c>
      <c r="H287" s="10" t="str">
        <f aca="false">Config!$B$4</f>
        <v>general</v>
      </c>
      <c r="I287" s="10" t="str">
        <f aca="false">"https://"&amp;B287&amp;F287&amp;"?utm_source="&amp;D287&amp;"&amp;utm_medium="&amp;E287&amp;"&amp;utm_campaign="&amp;G287&amp;"&amp;utm_content="&amp;H287</f>
        <v>https://eu-ai-act-ready.eu/?utm_source=pdf_proposal&amp;utm_medium=document&amp;utm_campaign=2610_ff_lansare&amp;utm_content=general</v>
      </c>
    </row>
    <row r="288" customFormat="false" ht="15" hidden="false" customHeight="false" outlineLevel="0" collapsed="false">
      <c r="A288" s="10" t="s">
        <v>72</v>
      </c>
      <c r="B288" s="10" t="str">
        <f aca="false">INDEX('Site-uri'!$B$2:$B$20,MATCH(A288,'Site-uri'!$A$2:$A$20,0))</f>
        <v>eu-ai-act-ready.eu</v>
      </c>
      <c r="C288" s="10" t="s">
        <v>197</v>
      </c>
      <c r="D288" s="10" t="str">
        <f aca="false">INDEX(Canale!$C$2:$C$30,MATCH(C288,Canale!$A$2:$A$30,0))</f>
        <v>qr_print</v>
      </c>
      <c r="E288" s="10" t="str">
        <f aca="false">INDEX(Canale!$D$2:$D$30,MATCH(C288,Canale!$A$2:$A$30,0))</f>
        <v>qr</v>
      </c>
      <c r="F288" s="10" t="str">
        <f aca="false">INDEX('Site-uri'!$C$2:$C$20,MATCH(A288,'Site-uri'!$A$2:$A$20,0))</f>
        <v>/</v>
      </c>
      <c r="G288" s="10" t="str">
        <f aca="false">Config!$B$3</f>
        <v>2610_ff_lansare</v>
      </c>
      <c r="H288" s="10" t="str">
        <f aca="false">Config!$B$4</f>
        <v>general</v>
      </c>
      <c r="I288" s="10" t="str">
        <f aca="false">"https://"&amp;B288&amp;F288&amp;"?utm_source="&amp;D288&amp;"&amp;utm_medium="&amp;E288&amp;"&amp;utm_campaign="&amp;G288&amp;"&amp;utm_content="&amp;H288</f>
        <v>https://eu-ai-act-ready.eu/?utm_source=qr_print&amp;utm_medium=qr&amp;utm_campaign=2610_ff_lansare&amp;utm_content=general</v>
      </c>
    </row>
    <row r="289" customFormat="false" ht="15" hidden="false" customHeight="false" outlineLevel="0" collapsed="false">
      <c r="A289" s="10" t="s">
        <v>72</v>
      </c>
      <c r="B289" s="10" t="str">
        <f aca="false">INDEX('Site-uri'!$B$2:$B$20,MATCH(A289,'Site-uri'!$A$2:$A$20,0))</f>
        <v>eu-ai-act-ready.eu</v>
      </c>
      <c r="C289" s="10" t="s">
        <v>201</v>
      </c>
      <c r="D289" s="10" t="str">
        <f aca="false">INDEX(Canale!$C$2:$C$30,MATCH(C289,Canale!$A$2:$A$30,0))</f>
        <v>event</v>
      </c>
      <c r="E289" s="10" t="str">
        <f aca="false">INDEX(Canale!$D$2:$D$30,MATCH(C289,Canale!$A$2:$A$30,0))</f>
        <v>event</v>
      </c>
      <c r="F289" s="10" t="str">
        <f aca="false">INDEX('Site-uri'!$C$2:$C$20,MATCH(A289,'Site-uri'!$A$2:$A$20,0))</f>
        <v>/</v>
      </c>
      <c r="G289" s="10" t="str">
        <f aca="false">Config!$B$3</f>
        <v>2610_ff_lansare</v>
      </c>
      <c r="H289" s="10" t="str">
        <f aca="false">Config!$B$4</f>
        <v>general</v>
      </c>
      <c r="I289" s="10" t="str">
        <f aca="false">"https://"&amp;B289&amp;F289&amp;"?utm_source="&amp;D289&amp;"&amp;utm_medium="&amp;E289&amp;"&amp;utm_campaign="&amp;G289&amp;"&amp;utm_content="&amp;H289</f>
        <v>https://eu-ai-act-ready.eu/?utm_source=event&amp;utm_medium=event&amp;utm_campaign=2610_ff_lansare&amp;utm_content=general</v>
      </c>
    </row>
    <row r="290" customFormat="false" ht="15" hidden="false" customHeight="false" outlineLevel="0" collapsed="false">
      <c r="A290" s="10" t="s">
        <v>72</v>
      </c>
      <c r="B290" s="10" t="str">
        <f aca="false">INDEX('Site-uri'!$B$2:$B$20,MATCH(A290,'Site-uri'!$A$2:$A$20,0))</f>
        <v>eu-ai-act-ready.eu</v>
      </c>
      <c r="C290" s="10" t="s">
        <v>203</v>
      </c>
      <c r="D290" s="10" t="str">
        <f aca="false">INDEX(Canale!$C$2:$C$30,MATCH(C290,Canale!$A$2:$A$30,0))</f>
        <v>a2a_agent_card</v>
      </c>
      <c r="E290" s="10" t="str">
        <f aca="false">INDEX(Canale!$D$2:$D$30,MATCH(C290,Canale!$A$2:$A$30,0))</f>
        <v>agent</v>
      </c>
      <c r="F290" s="10" t="str">
        <f aca="false">INDEX('Site-uri'!$C$2:$C$20,MATCH(A290,'Site-uri'!$A$2:$A$20,0))</f>
        <v>/</v>
      </c>
      <c r="G290" s="10" t="str">
        <f aca="false">Config!$B$3</f>
        <v>2610_ff_lansare</v>
      </c>
      <c r="H290" s="10" t="str">
        <f aca="false">Config!$B$4</f>
        <v>general</v>
      </c>
      <c r="I290" s="10" t="str">
        <f aca="false">"https://"&amp;B290&amp;F290&amp;"?utm_source="&amp;D290&amp;"&amp;utm_medium="&amp;E290&amp;"&amp;utm_campaign="&amp;G290&amp;"&amp;utm_content="&amp;H290</f>
        <v>https://eu-ai-act-ready.eu/?utm_source=a2a_agent_card&amp;utm_medium=agent&amp;utm_campaign=2610_ff_lansare&amp;utm_content=general</v>
      </c>
    </row>
    <row r="291" customFormat="false" ht="15" hidden="false" customHeight="false" outlineLevel="0" collapsed="false">
      <c r="A291" s="10" t="s">
        <v>72</v>
      </c>
      <c r="B291" s="10" t="str">
        <f aca="false">INDEX('Site-uri'!$B$2:$B$20,MATCH(A291,'Site-uri'!$A$2:$A$20,0))</f>
        <v>eu-ai-act-ready.eu</v>
      </c>
      <c r="C291" s="10" t="s">
        <v>208</v>
      </c>
      <c r="D291" s="10" t="str">
        <f aca="false">INDEX(Canale!$C$2:$C$30,MATCH(C291,Canale!$A$2:$A$30,0))</f>
        <v>llms_txt</v>
      </c>
      <c r="E291" s="10" t="str">
        <f aca="false">INDEX(Canale!$D$2:$D$30,MATCH(C291,Canale!$A$2:$A$30,0))</f>
        <v>ai_web</v>
      </c>
      <c r="F291" s="10" t="str">
        <f aca="false">INDEX('Site-uri'!$C$2:$C$20,MATCH(A291,'Site-uri'!$A$2:$A$20,0))</f>
        <v>/</v>
      </c>
      <c r="G291" s="10" t="str">
        <f aca="false">Config!$B$3</f>
        <v>2610_ff_lansare</v>
      </c>
      <c r="H291" s="10" t="str">
        <f aca="false">Config!$B$4</f>
        <v>general</v>
      </c>
      <c r="I291" s="10" t="str">
        <f aca="false">"https://"&amp;B291&amp;F291&amp;"?utm_source="&amp;D291&amp;"&amp;utm_medium="&amp;E291&amp;"&amp;utm_campaign="&amp;G291&amp;"&amp;utm_content="&amp;H291</f>
        <v>https://eu-ai-act-ready.eu/?utm_source=llms_txt&amp;utm_medium=ai_web&amp;utm_campaign=2610_ff_lansare&amp;utm_content=general</v>
      </c>
    </row>
    <row r="292" customFormat="false" ht="15" hidden="false" customHeight="false" outlineLevel="0" collapsed="false">
      <c r="A292" s="10" t="s">
        <v>75</v>
      </c>
      <c r="B292" s="10" t="str">
        <f aca="false">INDEX('Site-uri'!$B$2:$B$20,MATCH(A292,'Site-uri'!$A$2:$A$20,0))</f>
        <v>eu-112.ro</v>
      </c>
      <c r="C292" s="10" t="s">
        <v>103</v>
      </c>
      <c r="D292" s="10" t="str">
        <f aca="false">INDEX(Canale!$C$2:$C$30,MATCH(C292,Canale!$A$2:$A$30,0))</f>
        <v>linkedin_personal</v>
      </c>
      <c r="E292" s="10" t="str">
        <f aca="false">INDEX(Canale!$D$2:$D$30,MATCH(C292,Canale!$A$2:$A$30,0))</f>
        <v>social</v>
      </c>
      <c r="F292" s="10" t="str">
        <f aca="false">INDEX('Site-uri'!$C$2:$C$20,MATCH(A292,'Site-uri'!$A$2:$A$20,0))</f>
        <v>/</v>
      </c>
      <c r="G292" s="10" t="str">
        <f aca="false">Config!$B$3</f>
        <v>2610_ff_lansare</v>
      </c>
      <c r="H292" s="10" t="str">
        <f aca="false">Config!$B$4</f>
        <v>general</v>
      </c>
      <c r="I292" s="10" t="str">
        <f aca="false">"https://"&amp;B292&amp;F292&amp;"?utm_source="&amp;D292&amp;"&amp;utm_medium="&amp;E292&amp;"&amp;utm_campaign="&amp;G292&amp;"&amp;utm_content="&amp;H292</f>
        <v>https://eu-112.ro/?utm_source=linkedin_personal&amp;utm_medium=social&amp;utm_campaign=2610_ff_lansare&amp;utm_content=general</v>
      </c>
    </row>
    <row r="293" customFormat="false" ht="15" hidden="false" customHeight="false" outlineLevel="0" collapsed="false">
      <c r="A293" s="10" t="s">
        <v>75</v>
      </c>
      <c r="B293" s="10" t="str">
        <f aca="false">INDEX('Site-uri'!$B$2:$B$20,MATCH(A293,'Site-uri'!$A$2:$A$20,0))</f>
        <v>eu-112.ro</v>
      </c>
      <c r="C293" s="10" t="s">
        <v>108</v>
      </c>
      <c r="D293" s="10" t="str">
        <f aca="false">INDEX(Canale!$C$2:$C$30,MATCH(C293,Canale!$A$2:$A$30,0))</f>
        <v>linkedin_company</v>
      </c>
      <c r="E293" s="10" t="str">
        <f aca="false">INDEX(Canale!$D$2:$D$30,MATCH(C293,Canale!$A$2:$A$30,0))</f>
        <v>social</v>
      </c>
      <c r="F293" s="10" t="str">
        <f aca="false">INDEX('Site-uri'!$C$2:$C$20,MATCH(A293,'Site-uri'!$A$2:$A$20,0))</f>
        <v>/</v>
      </c>
      <c r="G293" s="10" t="str">
        <f aca="false">Config!$B$3</f>
        <v>2610_ff_lansare</v>
      </c>
      <c r="H293" s="10" t="str">
        <f aca="false">Config!$B$4</f>
        <v>general</v>
      </c>
      <c r="I293" s="10" t="str">
        <f aca="false">"https://"&amp;B293&amp;F293&amp;"?utm_source="&amp;D293&amp;"&amp;utm_medium="&amp;E293&amp;"&amp;utm_campaign="&amp;G293&amp;"&amp;utm_content="&amp;H293</f>
        <v>https://eu-112.ro/?utm_source=linkedin_company&amp;utm_medium=social&amp;utm_campaign=2610_ff_lansare&amp;utm_content=general</v>
      </c>
    </row>
    <row r="294" customFormat="false" ht="15" hidden="false" customHeight="false" outlineLevel="0" collapsed="false">
      <c r="A294" s="10" t="s">
        <v>75</v>
      </c>
      <c r="B294" s="10" t="str">
        <f aca="false">INDEX('Site-uri'!$B$2:$B$20,MATCH(A294,'Site-uri'!$A$2:$A$20,0))</f>
        <v>eu-112.ro</v>
      </c>
      <c r="C294" s="10" t="s">
        <v>111</v>
      </c>
      <c r="D294" s="10" t="str">
        <f aca="false">INDEX(Canale!$C$2:$C$30,MATCH(C294,Canale!$A$2:$A$30,0))</f>
        <v>linkedin_showcase</v>
      </c>
      <c r="E294" s="10" t="str">
        <f aca="false">INDEX(Canale!$D$2:$D$30,MATCH(C294,Canale!$A$2:$A$30,0))</f>
        <v>social</v>
      </c>
      <c r="F294" s="10" t="str">
        <f aca="false">INDEX('Site-uri'!$C$2:$C$20,MATCH(A294,'Site-uri'!$A$2:$A$20,0))</f>
        <v>/</v>
      </c>
      <c r="G294" s="10" t="str">
        <f aca="false">Config!$B$3</f>
        <v>2610_ff_lansare</v>
      </c>
      <c r="H294" s="10" t="str">
        <f aca="false">Config!$B$4</f>
        <v>general</v>
      </c>
      <c r="I294" s="10" t="str">
        <f aca="false">"https://"&amp;B294&amp;F294&amp;"?utm_source="&amp;D294&amp;"&amp;utm_medium="&amp;E294&amp;"&amp;utm_campaign="&amp;G294&amp;"&amp;utm_content="&amp;H294</f>
        <v>https://eu-112.ro/?utm_source=linkedin_showcase&amp;utm_medium=social&amp;utm_campaign=2610_ff_lansare&amp;utm_content=general</v>
      </c>
    </row>
    <row r="295" customFormat="false" ht="15" hidden="false" customHeight="false" outlineLevel="0" collapsed="false">
      <c r="A295" s="10" t="s">
        <v>75</v>
      </c>
      <c r="B295" s="10" t="str">
        <f aca="false">INDEX('Site-uri'!$B$2:$B$20,MATCH(A295,'Site-uri'!$A$2:$A$20,0))</f>
        <v>eu-112.ro</v>
      </c>
      <c r="C295" s="10" t="s">
        <v>114</v>
      </c>
      <c r="D295" s="10" t="str">
        <f aca="false">INDEX(Canale!$C$2:$C$30,MATCH(C295,Canale!$A$2:$A$30,0))</f>
        <v>linkedin_newsletter</v>
      </c>
      <c r="E295" s="10" t="str">
        <f aca="false">INDEX(Canale!$D$2:$D$30,MATCH(C295,Canale!$A$2:$A$30,0))</f>
        <v>social</v>
      </c>
      <c r="F295" s="10" t="str">
        <f aca="false">INDEX('Site-uri'!$C$2:$C$20,MATCH(A295,'Site-uri'!$A$2:$A$20,0))</f>
        <v>/</v>
      </c>
      <c r="G295" s="10" t="str">
        <f aca="false">Config!$B$3</f>
        <v>2610_ff_lansare</v>
      </c>
      <c r="H295" s="10" t="str">
        <f aca="false">Config!$B$4</f>
        <v>general</v>
      </c>
      <c r="I295" s="10" t="str">
        <f aca="false">"https://"&amp;B295&amp;F295&amp;"?utm_source="&amp;D295&amp;"&amp;utm_medium="&amp;E295&amp;"&amp;utm_campaign="&amp;G295&amp;"&amp;utm_content="&amp;H295</f>
        <v>https://eu-112.ro/?utm_source=linkedin_newsletter&amp;utm_medium=social&amp;utm_campaign=2610_ff_lansare&amp;utm_content=general</v>
      </c>
    </row>
    <row r="296" customFormat="false" ht="15" hidden="false" customHeight="false" outlineLevel="0" collapsed="false">
      <c r="A296" s="10" t="s">
        <v>75</v>
      </c>
      <c r="B296" s="10" t="str">
        <f aca="false">INDEX('Site-uri'!$B$2:$B$20,MATCH(A296,'Site-uri'!$A$2:$A$20,0))</f>
        <v>eu-112.ro</v>
      </c>
      <c r="C296" s="10" t="s">
        <v>117</v>
      </c>
      <c r="D296" s="10" t="str">
        <f aca="false">INDEX(Canale!$C$2:$C$30,MATCH(C296,Canale!$A$2:$A$30,0))</f>
        <v>linkedin_ads</v>
      </c>
      <c r="E296" s="10" t="str">
        <f aca="false">INDEX(Canale!$D$2:$D$30,MATCH(C296,Canale!$A$2:$A$30,0))</f>
        <v>paid_social</v>
      </c>
      <c r="F296" s="10" t="str">
        <f aca="false">INDEX('Site-uri'!$C$2:$C$20,MATCH(A296,'Site-uri'!$A$2:$A$20,0))</f>
        <v>/</v>
      </c>
      <c r="G296" s="10" t="str">
        <f aca="false">Config!$B$3</f>
        <v>2610_ff_lansare</v>
      </c>
      <c r="H296" s="10" t="str">
        <f aca="false">Config!$B$4</f>
        <v>general</v>
      </c>
      <c r="I296" s="10" t="str">
        <f aca="false">"https://"&amp;B296&amp;F296&amp;"?utm_source="&amp;D296&amp;"&amp;utm_medium="&amp;E296&amp;"&amp;utm_campaign="&amp;G296&amp;"&amp;utm_content="&amp;H296</f>
        <v>https://eu-112.ro/?utm_source=linkedin_ads&amp;utm_medium=paid_social&amp;utm_campaign=2610_ff_lansare&amp;utm_content=general</v>
      </c>
    </row>
    <row r="297" customFormat="false" ht="15" hidden="false" customHeight="false" outlineLevel="0" collapsed="false">
      <c r="A297" s="10" t="s">
        <v>75</v>
      </c>
      <c r="B297" s="10" t="str">
        <f aca="false">INDEX('Site-uri'!$B$2:$B$20,MATCH(A297,'Site-uri'!$A$2:$A$20,0))</f>
        <v>eu-112.ro</v>
      </c>
      <c r="C297" s="10" t="s">
        <v>121</v>
      </c>
      <c r="D297" s="10" t="str">
        <f aca="false">INDEX(Canale!$C$2:$C$30,MATCH(C297,Canale!$A$2:$A$30,0))</f>
        <v>linkedin_dm</v>
      </c>
      <c r="E297" s="10" t="str">
        <f aca="false">INDEX(Canale!$D$2:$D$30,MATCH(C297,Canale!$A$2:$A$30,0))</f>
        <v>dm</v>
      </c>
      <c r="F297" s="10" t="str">
        <f aca="false">INDEX('Site-uri'!$C$2:$C$20,MATCH(A297,'Site-uri'!$A$2:$A$20,0))</f>
        <v>/</v>
      </c>
      <c r="G297" s="10" t="str">
        <f aca="false">Config!$B$3</f>
        <v>2610_ff_lansare</v>
      </c>
      <c r="H297" s="10" t="str">
        <f aca="false">Config!$B$4</f>
        <v>general</v>
      </c>
      <c r="I297" s="10" t="str">
        <f aca="false">"https://"&amp;B297&amp;F297&amp;"?utm_source="&amp;D297&amp;"&amp;utm_medium="&amp;E297&amp;"&amp;utm_campaign="&amp;G297&amp;"&amp;utm_content="&amp;H297</f>
        <v>https://eu-112.ro/?utm_source=linkedin_dm&amp;utm_medium=dm&amp;utm_campaign=2610_ff_lansare&amp;utm_content=general</v>
      </c>
    </row>
    <row r="298" customFormat="false" ht="15" hidden="false" customHeight="false" outlineLevel="0" collapsed="false">
      <c r="A298" s="10" t="s">
        <v>75</v>
      </c>
      <c r="B298" s="10" t="str">
        <f aca="false">INDEX('Site-uri'!$B$2:$B$20,MATCH(A298,'Site-uri'!$A$2:$A$20,0))</f>
        <v>eu-112.ro</v>
      </c>
      <c r="C298" s="10" t="s">
        <v>125</v>
      </c>
      <c r="D298" s="10" t="str">
        <f aca="false">INDEX(Canale!$C$2:$C$30,MATCH(C298,Canale!$A$2:$A$30,0))</f>
        <v>email_outreach</v>
      </c>
      <c r="E298" s="10" t="str">
        <f aca="false">INDEX(Canale!$D$2:$D$30,MATCH(C298,Canale!$A$2:$A$30,0))</f>
        <v>email</v>
      </c>
      <c r="F298" s="10" t="str">
        <f aca="false">INDEX('Site-uri'!$C$2:$C$20,MATCH(A298,'Site-uri'!$A$2:$A$20,0))</f>
        <v>/</v>
      </c>
      <c r="G298" s="10" t="str">
        <f aca="false">Config!$B$3</f>
        <v>2610_ff_lansare</v>
      </c>
      <c r="H298" s="10" t="str">
        <f aca="false">Config!$B$4</f>
        <v>general</v>
      </c>
      <c r="I298" s="10" t="str">
        <f aca="false">"https://"&amp;B298&amp;F298&amp;"?utm_source="&amp;D298&amp;"&amp;utm_medium="&amp;E298&amp;"&amp;utm_campaign="&amp;G298&amp;"&amp;utm_content="&amp;H298</f>
        <v>https://eu-112.ro/?utm_source=email_outreach&amp;utm_medium=email&amp;utm_campaign=2610_ff_lansare&amp;utm_content=general</v>
      </c>
    </row>
    <row r="299" customFormat="false" ht="15" hidden="false" customHeight="false" outlineLevel="0" collapsed="false">
      <c r="A299" s="10" t="s">
        <v>75</v>
      </c>
      <c r="B299" s="10" t="str">
        <f aca="false">INDEX('Site-uri'!$B$2:$B$20,MATCH(A299,'Site-uri'!$A$2:$A$20,0))</f>
        <v>eu-112.ro</v>
      </c>
      <c r="C299" s="10" t="s">
        <v>130</v>
      </c>
      <c r="D299" s="10" t="str">
        <f aca="false">INDEX(Canale!$C$2:$C$30,MATCH(C299,Canale!$A$2:$A$30,0))</f>
        <v>newsletter</v>
      </c>
      <c r="E299" s="10" t="str">
        <f aca="false">INDEX(Canale!$D$2:$D$30,MATCH(C299,Canale!$A$2:$A$30,0))</f>
        <v>email</v>
      </c>
      <c r="F299" s="10" t="str">
        <f aca="false">INDEX('Site-uri'!$C$2:$C$20,MATCH(A299,'Site-uri'!$A$2:$A$20,0))</f>
        <v>/</v>
      </c>
      <c r="G299" s="10" t="str">
        <f aca="false">Config!$B$3</f>
        <v>2610_ff_lansare</v>
      </c>
      <c r="H299" s="10" t="str">
        <f aca="false">Config!$B$4</f>
        <v>general</v>
      </c>
      <c r="I299" s="10" t="str">
        <f aca="false">"https://"&amp;B299&amp;F299&amp;"?utm_source="&amp;D299&amp;"&amp;utm_medium="&amp;E299&amp;"&amp;utm_campaign="&amp;G299&amp;"&amp;utm_content="&amp;H299</f>
        <v>https://eu-112.ro/?utm_source=newsletter&amp;utm_medium=email&amp;utm_campaign=2610_ff_lansare&amp;utm_content=general</v>
      </c>
    </row>
    <row r="300" customFormat="false" ht="15" hidden="false" customHeight="false" outlineLevel="0" collapsed="false">
      <c r="A300" s="10" t="s">
        <v>75</v>
      </c>
      <c r="B300" s="10" t="str">
        <f aca="false">INDEX('Site-uri'!$B$2:$B$20,MATCH(A300,'Site-uri'!$A$2:$A$20,0))</f>
        <v>eu-112.ro</v>
      </c>
      <c r="C300" s="10" t="s">
        <v>133</v>
      </c>
      <c r="D300" s="10" t="str">
        <f aca="false">INDEX(Canale!$C$2:$C$30,MATCH(C300,Canale!$A$2:$A$30,0))</f>
        <v>email_signature</v>
      </c>
      <c r="E300" s="10" t="str">
        <f aca="false">INDEX(Canale!$D$2:$D$30,MATCH(C300,Canale!$A$2:$A$30,0))</f>
        <v>email</v>
      </c>
      <c r="F300" s="10" t="str">
        <f aca="false">INDEX('Site-uri'!$C$2:$C$20,MATCH(A300,'Site-uri'!$A$2:$A$20,0))</f>
        <v>/</v>
      </c>
      <c r="G300" s="10" t="str">
        <f aca="false">Config!$B$3</f>
        <v>2610_ff_lansare</v>
      </c>
      <c r="H300" s="10" t="str">
        <f aca="false">Config!$B$4</f>
        <v>general</v>
      </c>
      <c r="I300" s="10" t="str">
        <f aca="false">"https://"&amp;B300&amp;F300&amp;"?utm_source="&amp;D300&amp;"&amp;utm_medium="&amp;E300&amp;"&amp;utm_campaign="&amp;G300&amp;"&amp;utm_content="&amp;H300</f>
        <v>https://eu-112.ro/?utm_source=email_signature&amp;utm_medium=email&amp;utm_campaign=2610_ff_lansare&amp;utm_content=general</v>
      </c>
    </row>
    <row r="301" customFormat="false" ht="15" hidden="false" customHeight="false" outlineLevel="0" collapsed="false">
      <c r="A301" s="10" t="s">
        <v>75</v>
      </c>
      <c r="B301" s="10" t="str">
        <f aca="false">INDEX('Site-uri'!$B$2:$B$20,MATCH(A301,'Site-uri'!$A$2:$A$20,0))</f>
        <v>eu-112.ro</v>
      </c>
      <c r="C301" s="10" t="s">
        <v>136</v>
      </c>
      <c r="D301" s="10" t="str">
        <f aca="false">INDEX(Canale!$C$2:$C$30,MATCH(C301,Canale!$A$2:$A$30,0))</f>
        <v>whatsapp</v>
      </c>
      <c r="E301" s="10" t="str">
        <f aca="false">INDEX(Canale!$D$2:$D$30,MATCH(C301,Canale!$A$2:$A$30,0))</f>
        <v>dm</v>
      </c>
      <c r="F301" s="10" t="str">
        <f aca="false">INDEX('Site-uri'!$C$2:$C$20,MATCH(A301,'Site-uri'!$A$2:$A$20,0))</f>
        <v>/</v>
      </c>
      <c r="G301" s="10" t="str">
        <f aca="false">Config!$B$3</f>
        <v>2610_ff_lansare</v>
      </c>
      <c r="H301" s="10" t="str">
        <f aca="false">Config!$B$4</f>
        <v>general</v>
      </c>
      <c r="I301" s="10" t="str">
        <f aca="false">"https://"&amp;B301&amp;F301&amp;"?utm_source="&amp;D301&amp;"&amp;utm_medium="&amp;E301&amp;"&amp;utm_campaign="&amp;G301&amp;"&amp;utm_content="&amp;H301</f>
        <v>https://eu-112.ro/?utm_source=whatsapp&amp;utm_medium=dm&amp;utm_campaign=2610_ff_lansare&amp;utm_content=general</v>
      </c>
    </row>
    <row r="302" customFormat="false" ht="15" hidden="false" customHeight="false" outlineLevel="0" collapsed="false">
      <c r="A302" s="10" t="s">
        <v>75</v>
      </c>
      <c r="B302" s="10" t="str">
        <f aca="false">INDEX('Site-uri'!$B$2:$B$20,MATCH(A302,'Site-uri'!$A$2:$A$20,0))</f>
        <v>eu-112.ro</v>
      </c>
      <c r="C302" s="10" t="s">
        <v>140</v>
      </c>
      <c r="D302" s="10" t="str">
        <f aca="false">INDEX(Canale!$C$2:$C$30,MATCH(C302,Canale!$A$2:$A$30,0))</f>
        <v>google</v>
      </c>
      <c r="E302" s="10" t="str">
        <f aca="false">INDEX(Canale!$D$2:$D$30,MATCH(C302,Canale!$A$2:$A$30,0))</f>
        <v>cpc</v>
      </c>
      <c r="F302" s="10" t="str">
        <f aca="false">INDEX('Site-uri'!$C$2:$C$20,MATCH(A302,'Site-uri'!$A$2:$A$20,0))</f>
        <v>/</v>
      </c>
      <c r="G302" s="10" t="str">
        <f aca="false">Config!$B$3</f>
        <v>2610_ff_lansare</v>
      </c>
      <c r="H302" s="10" t="str">
        <f aca="false">Config!$B$4</f>
        <v>general</v>
      </c>
      <c r="I302" s="10" t="str">
        <f aca="false">"https://"&amp;B302&amp;F302&amp;"?utm_source="&amp;D302&amp;"&amp;utm_medium="&amp;E302&amp;"&amp;utm_campaign="&amp;G302&amp;"&amp;utm_content="&amp;H302</f>
        <v>https://eu-112.ro/?utm_source=google&amp;utm_medium=cpc&amp;utm_campaign=2610_ff_lansare&amp;utm_content=general</v>
      </c>
    </row>
    <row r="303" customFormat="false" ht="15" hidden="false" customHeight="false" outlineLevel="0" collapsed="false">
      <c r="A303" s="10" t="s">
        <v>75</v>
      </c>
      <c r="B303" s="10" t="str">
        <f aca="false">INDEX('Site-uri'!$B$2:$B$20,MATCH(A303,'Site-uri'!$A$2:$A$20,0))</f>
        <v>eu-112.ro</v>
      </c>
      <c r="C303" s="10" t="s">
        <v>145</v>
      </c>
      <c r="D303" s="10" t="str">
        <f aca="false">INDEX(Canale!$C$2:$C$30,MATCH(C303,Canale!$A$2:$A$30,0))</f>
        <v>bing</v>
      </c>
      <c r="E303" s="10" t="str">
        <f aca="false">INDEX(Canale!$D$2:$D$30,MATCH(C303,Canale!$A$2:$A$30,0))</f>
        <v>cpc</v>
      </c>
      <c r="F303" s="10" t="str">
        <f aca="false">INDEX('Site-uri'!$C$2:$C$20,MATCH(A303,'Site-uri'!$A$2:$A$20,0))</f>
        <v>/</v>
      </c>
      <c r="G303" s="10" t="str">
        <f aca="false">Config!$B$3</f>
        <v>2610_ff_lansare</v>
      </c>
      <c r="H303" s="10" t="str">
        <f aca="false">Config!$B$4</f>
        <v>general</v>
      </c>
      <c r="I303" s="10" t="str">
        <f aca="false">"https://"&amp;B303&amp;F303&amp;"?utm_source="&amp;D303&amp;"&amp;utm_medium="&amp;E303&amp;"&amp;utm_campaign="&amp;G303&amp;"&amp;utm_content="&amp;H303</f>
        <v>https://eu-112.ro/?utm_source=bing&amp;utm_medium=cpc&amp;utm_campaign=2610_ff_lansare&amp;utm_content=general</v>
      </c>
    </row>
    <row r="304" customFormat="false" ht="15" hidden="false" customHeight="false" outlineLevel="0" collapsed="false">
      <c r="A304" s="10" t="s">
        <v>75</v>
      </c>
      <c r="B304" s="10" t="str">
        <f aca="false">INDEX('Site-uri'!$B$2:$B$20,MATCH(A304,'Site-uri'!$A$2:$A$20,0))</f>
        <v>eu-112.ro</v>
      </c>
      <c r="C304" s="10" t="s">
        <v>148</v>
      </c>
      <c r="D304" s="10" t="str">
        <f aca="false">INDEX(Canale!$C$2:$C$30,MATCH(C304,Canale!$A$2:$A$30,0))</f>
        <v>facebook</v>
      </c>
      <c r="E304" s="10" t="str">
        <f aca="false">INDEX(Canale!$D$2:$D$30,MATCH(C304,Canale!$A$2:$A$30,0))</f>
        <v>social</v>
      </c>
      <c r="F304" s="10" t="str">
        <f aca="false">INDEX('Site-uri'!$C$2:$C$20,MATCH(A304,'Site-uri'!$A$2:$A$20,0))</f>
        <v>/</v>
      </c>
      <c r="G304" s="10" t="str">
        <f aca="false">Config!$B$3</f>
        <v>2610_ff_lansare</v>
      </c>
      <c r="H304" s="10" t="str">
        <f aca="false">Config!$B$4</f>
        <v>general</v>
      </c>
      <c r="I304" s="10" t="str">
        <f aca="false">"https://"&amp;B304&amp;F304&amp;"?utm_source="&amp;D304&amp;"&amp;utm_medium="&amp;E304&amp;"&amp;utm_campaign="&amp;G304&amp;"&amp;utm_content="&amp;H304</f>
        <v>https://eu-112.ro/?utm_source=facebook&amp;utm_medium=social&amp;utm_campaign=2610_ff_lansare&amp;utm_content=general</v>
      </c>
    </row>
    <row r="305" customFormat="false" ht="15" hidden="false" customHeight="false" outlineLevel="0" collapsed="false">
      <c r="A305" s="10" t="s">
        <v>75</v>
      </c>
      <c r="B305" s="10" t="str">
        <f aca="false">INDEX('Site-uri'!$B$2:$B$20,MATCH(A305,'Site-uri'!$A$2:$A$20,0))</f>
        <v>eu-112.ro</v>
      </c>
      <c r="C305" s="10" t="s">
        <v>152</v>
      </c>
      <c r="D305" s="10" t="str">
        <f aca="false">INDEX(Canale!$C$2:$C$30,MATCH(C305,Canale!$A$2:$A$30,0))</f>
        <v>x</v>
      </c>
      <c r="E305" s="10" t="str">
        <f aca="false">INDEX(Canale!$D$2:$D$30,MATCH(C305,Canale!$A$2:$A$30,0))</f>
        <v>social</v>
      </c>
      <c r="F305" s="10" t="str">
        <f aca="false">INDEX('Site-uri'!$C$2:$C$20,MATCH(A305,'Site-uri'!$A$2:$A$20,0))</f>
        <v>/</v>
      </c>
      <c r="G305" s="10" t="str">
        <f aca="false">Config!$B$3</f>
        <v>2610_ff_lansare</v>
      </c>
      <c r="H305" s="10" t="str">
        <f aca="false">Config!$B$4</f>
        <v>general</v>
      </c>
      <c r="I305" s="10" t="str">
        <f aca="false">"https://"&amp;B305&amp;F305&amp;"?utm_source="&amp;D305&amp;"&amp;utm_medium="&amp;E305&amp;"&amp;utm_campaign="&amp;G305&amp;"&amp;utm_content="&amp;H305</f>
        <v>https://eu-112.ro/?utm_source=x&amp;utm_medium=social&amp;utm_campaign=2610_ff_lansare&amp;utm_content=general</v>
      </c>
    </row>
    <row r="306" customFormat="false" ht="15" hidden="false" customHeight="false" outlineLevel="0" collapsed="false">
      <c r="A306" s="10" t="s">
        <v>75</v>
      </c>
      <c r="B306" s="10" t="str">
        <f aca="false">INDEX('Site-uri'!$B$2:$B$20,MATCH(A306,'Site-uri'!$A$2:$A$20,0))</f>
        <v>eu-112.ro</v>
      </c>
      <c r="C306" s="10" t="s">
        <v>154</v>
      </c>
      <c r="D306" s="10" t="str">
        <f aca="false">INDEX(Canale!$C$2:$C$30,MATCH(C306,Canale!$A$2:$A$30,0))</f>
        <v>youtube</v>
      </c>
      <c r="E306" s="10" t="str">
        <f aca="false">INDEX(Canale!$D$2:$D$30,MATCH(C306,Canale!$A$2:$A$30,0))</f>
        <v>video</v>
      </c>
      <c r="F306" s="10" t="str">
        <f aca="false">INDEX('Site-uri'!$C$2:$C$20,MATCH(A306,'Site-uri'!$A$2:$A$20,0))</f>
        <v>/</v>
      </c>
      <c r="G306" s="10" t="str">
        <f aca="false">Config!$B$3</f>
        <v>2610_ff_lansare</v>
      </c>
      <c r="H306" s="10" t="str">
        <f aca="false">Config!$B$4</f>
        <v>general</v>
      </c>
      <c r="I306" s="10" t="str">
        <f aca="false">"https://"&amp;B306&amp;F306&amp;"?utm_source="&amp;D306&amp;"&amp;utm_medium="&amp;E306&amp;"&amp;utm_campaign="&amp;G306&amp;"&amp;utm_content="&amp;H306</f>
        <v>https://eu-112.ro/?utm_source=youtube&amp;utm_medium=video&amp;utm_campaign=2610_ff_lansare&amp;utm_content=general</v>
      </c>
    </row>
    <row r="307" customFormat="false" ht="15" hidden="false" customHeight="false" outlineLevel="0" collapsed="false">
      <c r="A307" s="10" t="s">
        <v>75</v>
      </c>
      <c r="B307" s="10" t="str">
        <f aca="false">INDEX('Site-uri'!$B$2:$B$20,MATCH(A307,'Site-uri'!$A$2:$A$20,0))</f>
        <v>eu-112.ro</v>
      </c>
      <c r="C307" s="10" t="s">
        <v>159</v>
      </c>
      <c r="D307" s="10" t="str">
        <f aca="false">INDEX(Canale!$C$2:$C$30,MATCH(C307,Canale!$A$2:$A$30,0))</f>
        <v>medium</v>
      </c>
      <c r="E307" s="10" t="str">
        <f aca="false">INDEX(Canale!$D$2:$D$30,MATCH(C307,Canale!$A$2:$A$30,0))</f>
        <v>content</v>
      </c>
      <c r="F307" s="10" t="str">
        <f aca="false">INDEX('Site-uri'!$C$2:$C$20,MATCH(A307,'Site-uri'!$A$2:$A$20,0))</f>
        <v>/</v>
      </c>
      <c r="G307" s="10" t="str">
        <f aca="false">Config!$B$3</f>
        <v>2610_ff_lansare</v>
      </c>
      <c r="H307" s="10" t="str">
        <f aca="false">Config!$B$4</f>
        <v>general</v>
      </c>
      <c r="I307" s="10" t="str">
        <f aca="false">"https://"&amp;B307&amp;F307&amp;"?utm_source="&amp;D307&amp;"&amp;utm_medium="&amp;E307&amp;"&amp;utm_campaign="&amp;G307&amp;"&amp;utm_content="&amp;H307</f>
        <v>https://eu-112.ro/?utm_source=medium&amp;utm_medium=content&amp;utm_campaign=2610_ff_lansare&amp;utm_content=general</v>
      </c>
    </row>
    <row r="308" customFormat="false" ht="15" hidden="false" customHeight="false" outlineLevel="0" collapsed="false">
      <c r="A308" s="10" t="s">
        <v>75</v>
      </c>
      <c r="B308" s="10" t="str">
        <f aca="false">INDEX('Site-uri'!$B$2:$B$20,MATCH(A308,'Site-uri'!$A$2:$A$20,0))</f>
        <v>eu-112.ro</v>
      </c>
      <c r="C308" s="10" t="s">
        <v>164</v>
      </c>
      <c r="D308" s="10" t="str">
        <f aca="false">INDEX(Canale!$C$2:$C$30,MATCH(C308,Canale!$A$2:$A$30,0))</f>
        <v>crunchbase</v>
      </c>
      <c r="E308" s="10" t="str">
        <f aca="false">INDEX(Canale!$D$2:$D$30,MATCH(C308,Canale!$A$2:$A$30,0))</f>
        <v>referral</v>
      </c>
      <c r="F308" s="10" t="str">
        <f aca="false">INDEX('Site-uri'!$C$2:$C$20,MATCH(A308,'Site-uri'!$A$2:$A$20,0))</f>
        <v>/</v>
      </c>
      <c r="G308" s="10" t="str">
        <f aca="false">Config!$B$3</f>
        <v>2610_ff_lansare</v>
      </c>
      <c r="H308" s="10" t="str">
        <f aca="false">Config!$B$4</f>
        <v>general</v>
      </c>
      <c r="I308" s="10" t="str">
        <f aca="false">"https://"&amp;B308&amp;F308&amp;"?utm_source="&amp;D308&amp;"&amp;utm_medium="&amp;E308&amp;"&amp;utm_campaign="&amp;G308&amp;"&amp;utm_content="&amp;H308</f>
        <v>https://eu-112.ro/?utm_source=crunchbase&amp;utm_medium=referral&amp;utm_campaign=2610_ff_lansare&amp;utm_content=general</v>
      </c>
    </row>
    <row r="309" customFormat="false" ht="15" hidden="false" customHeight="false" outlineLevel="0" collapsed="false">
      <c r="A309" s="10" t="s">
        <v>75</v>
      </c>
      <c r="B309" s="10" t="str">
        <f aca="false">INDEX('Site-uri'!$B$2:$B$20,MATCH(A309,'Site-uri'!$A$2:$A$20,0))</f>
        <v>eu-112.ro</v>
      </c>
      <c r="C309" s="10" t="s">
        <v>169</v>
      </c>
      <c r="D309" s="10" t="str">
        <f aca="false">INDEX(Canale!$C$2:$C$30,MATCH(C309,Canale!$A$2:$A$30,0))</f>
        <v>zenodo</v>
      </c>
      <c r="E309" s="10" t="str">
        <f aca="false">INDEX(Canale!$D$2:$D$30,MATCH(C309,Canale!$A$2:$A$30,0))</f>
        <v>referral</v>
      </c>
      <c r="F309" s="10" t="str">
        <f aca="false">INDEX('Site-uri'!$C$2:$C$20,MATCH(A309,'Site-uri'!$A$2:$A$20,0))</f>
        <v>/</v>
      </c>
      <c r="G309" s="10" t="str">
        <f aca="false">Config!$B$3</f>
        <v>2610_ff_lansare</v>
      </c>
      <c r="H309" s="10" t="str">
        <f aca="false">Config!$B$4</f>
        <v>general</v>
      </c>
      <c r="I309" s="10" t="str">
        <f aca="false">"https://"&amp;B309&amp;F309&amp;"?utm_source="&amp;D309&amp;"&amp;utm_medium="&amp;E309&amp;"&amp;utm_campaign="&amp;G309&amp;"&amp;utm_content="&amp;H309</f>
        <v>https://eu-112.ro/?utm_source=zenodo&amp;utm_medium=referral&amp;utm_campaign=2610_ff_lansare&amp;utm_content=general</v>
      </c>
    </row>
    <row r="310" customFormat="false" ht="15" hidden="false" customHeight="false" outlineLevel="0" collapsed="false">
      <c r="A310" s="10" t="s">
        <v>75</v>
      </c>
      <c r="B310" s="10" t="str">
        <f aca="false">INDEX('Site-uri'!$B$2:$B$20,MATCH(A310,'Site-uri'!$A$2:$A$20,0))</f>
        <v>eu-112.ro</v>
      </c>
      <c r="C310" s="10" t="s">
        <v>172</v>
      </c>
      <c r="D310" s="10" t="str">
        <f aca="false">INDEX(Canale!$C$2:$C$30,MATCH(C310,Canale!$A$2:$A$30,0))</f>
        <v>orcid</v>
      </c>
      <c r="E310" s="10" t="str">
        <f aca="false">INDEX(Canale!$D$2:$D$30,MATCH(C310,Canale!$A$2:$A$30,0))</f>
        <v>referral</v>
      </c>
      <c r="F310" s="10" t="str">
        <f aca="false">INDEX('Site-uri'!$C$2:$C$20,MATCH(A310,'Site-uri'!$A$2:$A$20,0))</f>
        <v>/</v>
      </c>
      <c r="G310" s="10" t="str">
        <f aca="false">Config!$B$3</f>
        <v>2610_ff_lansare</v>
      </c>
      <c r="H310" s="10" t="str">
        <f aca="false">Config!$B$4</f>
        <v>general</v>
      </c>
      <c r="I310" s="10" t="str">
        <f aca="false">"https://"&amp;B310&amp;F310&amp;"?utm_source="&amp;D310&amp;"&amp;utm_medium="&amp;E310&amp;"&amp;utm_campaign="&amp;G310&amp;"&amp;utm_content="&amp;H310</f>
        <v>https://eu-112.ro/?utm_source=orcid&amp;utm_medium=referral&amp;utm_campaign=2610_ff_lansare&amp;utm_content=general</v>
      </c>
    </row>
    <row r="311" customFormat="false" ht="15" hidden="false" customHeight="false" outlineLevel="0" collapsed="false">
      <c r="A311" s="10" t="s">
        <v>75</v>
      </c>
      <c r="B311" s="10" t="str">
        <f aca="false">INDEX('Site-uri'!$B$2:$B$20,MATCH(A311,'Site-uri'!$A$2:$A$20,0))</f>
        <v>eu-112.ro</v>
      </c>
      <c r="C311" s="10" t="s">
        <v>175</v>
      </c>
      <c r="D311" s="10" t="str">
        <f aca="false">INDEX(Canale!$C$2:$C$30,MATCH(C311,Canale!$A$2:$A$30,0))</f>
        <v>github</v>
      </c>
      <c r="E311" s="10" t="str">
        <f aca="false">INDEX(Canale!$D$2:$D$30,MATCH(C311,Canale!$A$2:$A$30,0))</f>
        <v>referral</v>
      </c>
      <c r="F311" s="10" t="str">
        <f aca="false">INDEX('Site-uri'!$C$2:$C$20,MATCH(A311,'Site-uri'!$A$2:$A$20,0))</f>
        <v>/</v>
      </c>
      <c r="G311" s="10" t="str">
        <f aca="false">Config!$B$3</f>
        <v>2610_ff_lansare</v>
      </c>
      <c r="H311" s="10" t="str">
        <f aca="false">Config!$B$4</f>
        <v>general</v>
      </c>
      <c r="I311" s="10" t="str">
        <f aca="false">"https://"&amp;B311&amp;F311&amp;"?utm_source="&amp;D311&amp;"&amp;utm_medium="&amp;E311&amp;"&amp;utm_campaign="&amp;G311&amp;"&amp;utm_content="&amp;H311</f>
        <v>https://eu-112.ro/?utm_source=github&amp;utm_medium=referral&amp;utm_campaign=2610_ff_lansare&amp;utm_content=general</v>
      </c>
    </row>
    <row r="312" customFormat="false" ht="15" hidden="false" customHeight="false" outlineLevel="0" collapsed="false">
      <c r="A312" s="10" t="s">
        <v>75</v>
      </c>
      <c r="B312" s="10" t="str">
        <f aca="false">INDEX('Site-uri'!$B$2:$B$20,MATCH(A312,'Site-uri'!$A$2:$A$20,0))</f>
        <v>eu-112.ro</v>
      </c>
      <c r="C312" s="10" t="s">
        <v>178</v>
      </c>
      <c r="D312" s="10" t="str">
        <f aca="false">INDEX(Canale!$C$2:$C$30,MATCH(C312,Canale!$A$2:$A$30,0))</f>
        <v>kdp_book</v>
      </c>
      <c r="E312" s="10" t="str">
        <f aca="false">INDEX(Canale!$D$2:$D$30,MATCH(C312,Canale!$A$2:$A$30,0))</f>
        <v>book</v>
      </c>
      <c r="F312" s="10" t="str">
        <f aca="false">INDEX('Site-uri'!$C$2:$C$20,MATCH(A312,'Site-uri'!$A$2:$A$20,0))</f>
        <v>/</v>
      </c>
      <c r="G312" s="10" t="str">
        <f aca="false">Config!$B$3</f>
        <v>2610_ff_lansare</v>
      </c>
      <c r="H312" s="10" t="str">
        <f aca="false">Config!$B$4</f>
        <v>general</v>
      </c>
      <c r="I312" s="10" t="str">
        <f aca="false">"https://"&amp;B312&amp;F312&amp;"?utm_source="&amp;D312&amp;"&amp;utm_medium="&amp;E312&amp;"&amp;utm_campaign="&amp;G312&amp;"&amp;utm_content="&amp;H312</f>
        <v>https://eu-112.ro/?utm_source=kdp_book&amp;utm_medium=book&amp;utm_campaign=2610_ff_lansare&amp;utm_content=general</v>
      </c>
    </row>
    <row r="313" customFormat="false" ht="15" hidden="false" customHeight="false" outlineLevel="0" collapsed="false">
      <c r="A313" s="10" t="s">
        <v>75</v>
      </c>
      <c r="B313" s="10" t="str">
        <f aca="false">INDEX('Site-uri'!$B$2:$B$20,MATCH(A313,'Site-uri'!$A$2:$A$20,0))</f>
        <v>eu-112.ro</v>
      </c>
      <c r="C313" s="10" t="s">
        <v>183</v>
      </c>
      <c r="D313" s="10" t="str">
        <f aca="false">INDEX(Canale!$C$2:$C$30,MATCH(C313,Canale!$A$2:$A$30,0))</f>
        <v>udemy</v>
      </c>
      <c r="E313" s="10" t="str">
        <f aca="false">INDEX(Canale!$D$2:$D$30,MATCH(C313,Canale!$A$2:$A$30,0))</f>
        <v>course</v>
      </c>
      <c r="F313" s="10" t="str">
        <f aca="false">INDEX('Site-uri'!$C$2:$C$20,MATCH(A313,'Site-uri'!$A$2:$A$20,0))</f>
        <v>/</v>
      </c>
      <c r="G313" s="10" t="str">
        <f aca="false">Config!$B$3</f>
        <v>2610_ff_lansare</v>
      </c>
      <c r="H313" s="10" t="str">
        <f aca="false">Config!$B$4</f>
        <v>general</v>
      </c>
      <c r="I313" s="10" t="str">
        <f aca="false">"https://"&amp;B313&amp;F313&amp;"?utm_source="&amp;D313&amp;"&amp;utm_medium="&amp;E313&amp;"&amp;utm_campaign="&amp;G313&amp;"&amp;utm_content="&amp;H313</f>
        <v>https://eu-112.ro/?utm_source=udemy&amp;utm_medium=course&amp;utm_campaign=2610_ff_lansare&amp;utm_content=general</v>
      </c>
    </row>
    <row r="314" customFormat="false" ht="15" hidden="false" customHeight="false" outlineLevel="0" collapsed="false">
      <c r="A314" s="10" t="s">
        <v>75</v>
      </c>
      <c r="B314" s="10" t="str">
        <f aca="false">INDEX('Site-uri'!$B$2:$B$20,MATCH(A314,'Site-uri'!$A$2:$A$20,0))</f>
        <v>eu-112.ro</v>
      </c>
      <c r="C314" s="10" t="s">
        <v>186</v>
      </c>
      <c r="D314" s="10" t="str">
        <f aca="false">INDEX(Canale!$C$2:$C$30,MATCH(C314,Canale!$A$2:$A$30,0))</f>
        <v>directory</v>
      </c>
      <c r="E314" s="10" t="str">
        <f aca="false">INDEX(Canale!$D$2:$D$30,MATCH(C314,Canale!$A$2:$A$30,0))</f>
        <v>referral</v>
      </c>
      <c r="F314" s="10" t="str">
        <f aca="false">INDEX('Site-uri'!$C$2:$C$20,MATCH(A314,'Site-uri'!$A$2:$A$20,0))</f>
        <v>/</v>
      </c>
      <c r="G314" s="10" t="str">
        <f aca="false">Config!$B$3</f>
        <v>2610_ff_lansare</v>
      </c>
      <c r="H314" s="10" t="str">
        <f aca="false">Config!$B$4</f>
        <v>general</v>
      </c>
      <c r="I314" s="10" t="str">
        <f aca="false">"https://"&amp;B314&amp;F314&amp;"?utm_source="&amp;D314&amp;"&amp;utm_medium="&amp;E314&amp;"&amp;utm_campaign="&amp;G314&amp;"&amp;utm_content="&amp;H314</f>
        <v>https://eu-112.ro/?utm_source=directory&amp;utm_medium=referral&amp;utm_campaign=2610_ff_lansare&amp;utm_content=general</v>
      </c>
    </row>
    <row r="315" customFormat="false" ht="15" hidden="false" customHeight="false" outlineLevel="0" collapsed="false">
      <c r="A315" s="10" t="s">
        <v>75</v>
      </c>
      <c r="B315" s="10" t="str">
        <f aca="false">INDEX('Site-uri'!$B$2:$B$20,MATCH(A315,'Site-uri'!$A$2:$A$20,0))</f>
        <v>eu-112.ro</v>
      </c>
      <c r="C315" s="10" t="s">
        <v>190</v>
      </c>
      <c r="D315" s="10" t="str">
        <f aca="false">INDEX(Canale!$C$2:$C$30,MATCH(C315,Canale!$A$2:$A$30,0))</f>
        <v>partner</v>
      </c>
      <c r="E315" s="10" t="str">
        <f aca="false">INDEX(Canale!$D$2:$D$30,MATCH(C315,Canale!$A$2:$A$30,0))</f>
        <v>partner</v>
      </c>
      <c r="F315" s="10" t="str">
        <f aca="false">INDEX('Site-uri'!$C$2:$C$20,MATCH(A315,'Site-uri'!$A$2:$A$20,0))</f>
        <v>/</v>
      </c>
      <c r="G315" s="10" t="str">
        <f aca="false">Config!$B$3</f>
        <v>2610_ff_lansare</v>
      </c>
      <c r="H315" s="10" t="str">
        <f aca="false">Config!$B$4</f>
        <v>general</v>
      </c>
      <c r="I315" s="10" t="str">
        <f aca="false">"https://"&amp;B315&amp;F315&amp;"?utm_source="&amp;D315&amp;"&amp;utm_medium="&amp;E315&amp;"&amp;utm_campaign="&amp;G315&amp;"&amp;utm_content="&amp;H315</f>
        <v>https://eu-112.ro/?utm_source=partner&amp;utm_medium=partner&amp;utm_campaign=2610_ff_lansare&amp;utm_content=general</v>
      </c>
    </row>
    <row r="316" customFormat="false" ht="15" hidden="false" customHeight="false" outlineLevel="0" collapsed="false">
      <c r="A316" s="10" t="s">
        <v>75</v>
      </c>
      <c r="B316" s="10" t="str">
        <f aca="false">INDEX('Site-uri'!$B$2:$B$20,MATCH(A316,'Site-uri'!$A$2:$A$20,0))</f>
        <v>eu-112.ro</v>
      </c>
      <c r="C316" s="10" t="s">
        <v>192</v>
      </c>
      <c r="D316" s="10" t="str">
        <f aca="false">INDEX(Canale!$C$2:$C$30,MATCH(C316,Canale!$A$2:$A$30,0))</f>
        <v>pdf_proposal</v>
      </c>
      <c r="E316" s="10" t="str">
        <f aca="false">INDEX(Canale!$D$2:$D$30,MATCH(C316,Canale!$A$2:$A$30,0))</f>
        <v>document</v>
      </c>
      <c r="F316" s="10" t="str">
        <f aca="false">INDEX('Site-uri'!$C$2:$C$20,MATCH(A316,'Site-uri'!$A$2:$A$20,0))</f>
        <v>/</v>
      </c>
      <c r="G316" s="10" t="str">
        <f aca="false">Config!$B$3</f>
        <v>2610_ff_lansare</v>
      </c>
      <c r="H316" s="10" t="str">
        <f aca="false">Config!$B$4</f>
        <v>general</v>
      </c>
      <c r="I316" s="10" t="str">
        <f aca="false">"https://"&amp;B316&amp;F316&amp;"?utm_source="&amp;D316&amp;"&amp;utm_medium="&amp;E316&amp;"&amp;utm_campaign="&amp;G316&amp;"&amp;utm_content="&amp;H316</f>
        <v>https://eu-112.ro/?utm_source=pdf_proposal&amp;utm_medium=document&amp;utm_campaign=2610_ff_lansare&amp;utm_content=general</v>
      </c>
    </row>
    <row r="317" customFormat="false" ht="15" hidden="false" customHeight="false" outlineLevel="0" collapsed="false">
      <c r="A317" s="10" t="s">
        <v>75</v>
      </c>
      <c r="B317" s="10" t="str">
        <f aca="false">INDEX('Site-uri'!$B$2:$B$20,MATCH(A317,'Site-uri'!$A$2:$A$20,0))</f>
        <v>eu-112.ro</v>
      </c>
      <c r="C317" s="10" t="s">
        <v>197</v>
      </c>
      <c r="D317" s="10" t="str">
        <f aca="false">INDEX(Canale!$C$2:$C$30,MATCH(C317,Canale!$A$2:$A$30,0))</f>
        <v>qr_print</v>
      </c>
      <c r="E317" s="10" t="str">
        <f aca="false">INDEX(Canale!$D$2:$D$30,MATCH(C317,Canale!$A$2:$A$30,0))</f>
        <v>qr</v>
      </c>
      <c r="F317" s="10" t="str">
        <f aca="false">INDEX('Site-uri'!$C$2:$C$20,MATCH(A317,'Site-uri'!$A$2:$A$20,0))</f>
        <v>/</v>
      </c>
      <c r="G317" s="10" t="str">
        <f aca="false">Config!$B$3</f>
        <v>2610_ff_lansare</v>
      </c>
      <c r="H317" s="10" t="str">
        <f aca="false">Config!$B$4</f>
        <v>general</v>
      </c>
      <c r="I317" s="10" t="str">
        <f aca="false">"https://"&amp;B317&amp;F317&amp;"?utm_source="&amp;D317&amp;"&amp;utm_medium="&amp;E317&amp;"&amp;utm_campaign="&amp;G317&amp;"&amp;utm_content="&amp;H317</f>
        <v>https://eu-112.ro/?utm_source=qr_print&amp;utm_medium=qr&amp;utm_campaign=2610_ff_lansare&amp;utm_content=general</v>
      </c>
    </row>
    <row r="318" customFormat="false" ht="15" hidden="false" customHeight="false" outlineLevel="0" collapsed="false">
      <c r="A318" s="10" t="s">
        <v>75</v>
      </c>
      <c r="B318" s="10" t="str">
        <f aca="false">INDEX('Site-uri'!$B$2:$B$20,MATCH(A318,'Site-uri'!$A$2:$A$20,0))</f>
        <v>eu-112.ro</v>
      </c>
      <c r="C318" s="10" t="s">
        <v>201</v>
      </c>
      <c r="D318" s="10" t="str">
        <f aca="false">INDEX(Canale!$C$2:$C$30,MATCH(C318,Canale!$A$2:$A$30,0))</f>
        <v>event</v>
      </c>
      <c r="E318" s="10" t="str">
        <f aca="false">INDEX(Canale!$D$2:$D$30,MATCH(C318,Canale!$A$2:$A$30,0))</f>
        <v>event</v>
      </c>
      <c r="F318" s="10" t="str">
        <f aca="false">INDEX('Site-uri'!$C$2:$C$20,MATCH(A318,'Site-uri'!$A$2:$A$20,0))</f>
        <v>/</v>
      </c>
      <c r="G318" s="10" t="str">
        <f aca="false">Config!$B$3</f>
        <v>2610_ff_lansare</v>
      </c>
      <c r="H318" s="10" t="str">
        <f aca="false">Config!$B$4</f>
        <v>general</v>
      </c>
      <c r="I318" s="10" t="str">
        <f aca="false">"https://"&amp;B318&amp;F318&amp;"?utm_source="&amp;D318&amp;"&amp;utm_medium="&amp;E318&amp;"&amp;utm_campaign="&amp;G318&amp;"&amp;utm_content="&amp;H318</f>
        <v>https://eu-112.ro/?utm_source=event&amp;utm_medium=event&amp;utm_campaign=2610_ff_lansare&amp;utm_content=general</v>
      </c>
    </row>
    <row r="319" customFormat="false" ht="15" hidden="false" customHeight="false" outlineLevel="0" collapsed="false">
      <c r="A319" s="10" t="s">
        <v>75</v>
      </c>
      <c r="B319" s="10" t="str">
        <f aca="false">INDEX('Site-uri'!$B$2:$B$20,MATCH(A319,'Site-uri'!$A$2:$A$20,0))</f>
        <v>eu-112.ro</v>
      </c>
      <c r="C319" s="10" t="s">
        <v>203</v>
      </c>
      <c r="D319" s="10" t="str">
        <f aca="false">INDEX(Canale!$C$2:$C$30,MATCH(C319,Canale!$A$2:$A$30,0))</f>
        <v>a2a_agent_card</v>
      </c>
      <c r="E319" s="10" t="str">
        <f aca="false">INDEX(Canale!$D$2:$D$30,MATCH(C319,Canale!$A$2:$A$30,0))</f>
        <v>agent</v>
      </c>
      <c r="F319" s="10" t="str">
        <f aca="false">INDEX('Site-uri'!$C$2:$C$20,MATCH(A319,'Site-uri'!$A$2:$A$20,0))</f>
        <v>/</v>
      </c>
      <c r="G319" s="10" t="str">
        <f aca="false">Config!$B$3</f>
        <v>2610_ff_lansare</v>
      </c>
      <c r="H319" s="10" t="str">
        <f aca="false">Config!$B$4</f>
        <v>general</v>
      </c>
      <c r="I319" s="10" t="str">
        <f aca="false">"https://"&amp;B319&amp;F319&amp;"?utm_source="&amp;D319&amp;"&amp;utm_medium="&amp;E319&amp;"&amp;utm_campaign="&amp;G319&amp;"&amp;utm_content="&amp;H319</f>
        <v>https://eu-112.ro/?utm_source=a2a_agent_card&amp;utm_medium=agent&amp;utm_campaign=2610_ff_lansare&amp;utm_content=general</v>
      </c>
    </row>
    <row r="320" customFormat="false" ht="15" hidden="false" customHeight="false" outlineLevel="0" collapsed="false">
      <c r="A320" s="10" t="s">
        <v>75</v>
      </c>
      <c r="B320" s="10" t="str">
        <f aca="false">INDEX('Site-uri'!$B$2:$B$20,MATCH(A320,'Site-uri'!$A$2:$A$20,0))</f>
        <v>eu-112.ro</v>
      </c>
      <c r="C320" s="10" t="s">
        <v>208</v>
      </c>
      <c r="D320" s="10" t="str">
        <f aca="false">INDEX(Canale!$C$2:$C$30,MATCH(C320,Canale!$A$2:$A$30,0))</f>
        <v>llms_txt</v>
      </c>
      <c r="E320" s="10" t="str">
        <f aca="false">INDEX(Canale!$D$2:$D$30,MATCH(C320,Canale!$A$2:$A$30,0))</f>
        <v>ai_web</v>
      </c>
      <c r="F320" s="10" t="str">
        <f aca="false">INDEX('Site-uri'!$C$2:$C$20,MATCH(A320,'Site-uri'!$A$2:$A$20,0))</f>
        <v>/</v>
      </c>
      <c r="G320" s="10" t="str">
        <f aca="false">Config!$B$3</f>
        <v>2610_ff_lansare</v>
      </c>
      <c r="H320" s="10" t="str">
        <f aca="false">Config!$B$4</f>
        <v>general</v>
      </c>
      <c r="I320" s="10" t="str">
        <f aca="false">"https://"&amp;B320&amp;F320&amp;"?utm_source="&amp;D320&amp;"&amp;utm_medium="&amp;E320&amp;"&amp;utm_campaign="&amp;G320&amp;"&amp;utm_content="&amp;H320</f>
        <v>https://eu-112.ro/?utm_source=llms_txt&amp;utm_medium=ai_web&amp;utm_campaign=2610_ff_lansare&amp;utm_content=general</v>
      </c>
    </row>
    <row r="321" customFormat="false" ht="15" hidden="false" customHeight="false" outlineLevel="0" collapsed="false">
      <c r="A321" s="10" t="s">
        <v>78</v>
      </c>
      <c r="B321" s="10" t="str">
        <f aca="false">INDEX('Site-uri'!$B$2:$B$20,MATCH(A321,'Site-uri'!$A$2:$A$20,0))</f>
        <v>eu-112.eu</v>
      </c>
      <c r="C321" s="10" t="s">
        <v>103</v>
      </c>
      <c r="D321" s="10" t="str">
        <f aca="false">INDEX(Canale!$C$2:$C$30,MATCH(C321,Canale!$A$2:$A$30,0))</f>
        <v>linkedin_personal</v>
      </c>
      <c r="E321" s="10" t="str">
        <f aca="false">INDEX(Canale!$D$2:$D$30,MATCH(C321,Canale!$A$2:$A$30,0))</f>
        <v>social</v>
      </c>
      <c r="F321" s="10" t="str">
        <f aca="false">INDEX('Site-uri'!$C$2:$C$20,MATCH(A321,'Site-uri'!$A$2:$A$20,0))</f>
        <v>/</v>
      </c>
      <c r="G321" s="10" t="str">
        <f aca="false">Config!$B$3</f>
        <v>2610_ff_lansare</v>
      </c>
      <c r="H321" s="10" t="str">
        <f aca="false">Config!$B$4</f>
        <v>general</v>
      </c>
      <c r="I321" s="10" t="str">
        <f aca="false">"https://"&amp;B321&amp;F321&amp;"?utm_source="&amp;D321&amp;"&amp;utm_medium="&amp;E321&amp;"&amp;utm_campaign="&amp;G321&amp;"&amp;utm_content="&amp;H321</f>
        <v>https://eu-112.eu/?utm_source=linkedin_personal&amp;utm_medium=social&amp;utm_campaign=2610_ff_lansare&amp;utm_content=general</v>
      </c>
    </row>
    <row r="322" customFormat="false" ht="15" hidden="false" customHeight="false" outlineLevel="0" collapsed="false">
      <c r="A322" s="10" t="s">
        <v>78</v>
      </c>
      <c r="B322" s="10" t="str">
        <f aca="false">INDEX('Site-uri'!$B$2:$B$20,MATCH(A322,'Site-uri'!$A$2:$A$20,0))</f>
        <v>eu-112.eu</v>
      </c>
      <c r="C322" s="10" t="s">
        <v>108</v>
      </c>
      <c r="D322" s="10" t="str">
        <f aca="false">INDEX(Canale!$C$2:$C$30,MATCH(C322,Canale!$A$2:$A$30,0))</f>
        <v>linkedin_company</v>
      </c>
      <c r="E322" s="10" t="str">
        <f aca="false">INDEX(Canale!$D$2:$D$30,MATCH(C322,Canale!$A$2:$A$30,0))</f>
        <v>social</v>
      </c>
      <c r="F322" s="10" t="str">
        <f aca="false">INDEX('Site-uri'!$C$2:$C$20,MATCH(A322,'Site-uri'!$A$2:$A$20,0))</f>
        <v>/</v>
      </c>
      <c r="G322" s="10" t="str">
        <f aca="false">Config!$B$3</f>
        <v>2610_ff_lansare</v>
      </c>
      <c r="H322" s="10" t="str">
        <f aca="false">Config!$B$4</f>
        <v>general</v>
      </c>
      <c r="I322" s="10" t="str">
        <f aca="false">"https://"&amp;B322&amp;F322&amp;"?utm_source="&amp;D322&amp;"&amp;utm_medium="&amp;E322&amp;"&amp;utm_campaign="&amp;G322&amp;"&amp;utm_content="&amp;H322</f>
        <v>https://eu-112.eu/?utm_source=linkedin_company&amp;utm_medium=social&amp;utm_campaign=2610_ff_lansare&amp;utm_content=general</v>
      </c>
    </row>
    <row r="323" customFormat="false" ht="15" hidden="false" customHeight="false" outlineLevel="0" collapsed="false">
      <c r="A323" s="10" t="s">
        <v>78</v>
      </c>
      <c r="B323" s="10" t="str">
        <f aca="false">INDEX('Site-uri'!$B$2:$B$20,MATCH(A323,'Site-uri'!$A$2:$A$20,0))</f>
        <v>eu-112.eu</v>
      </c>
      <c r="C323" s="10" t="s">
        <v>111</v>
      </c>
      <c r="D323" s="10" t="str">
        <f aca="false">INDEX(Canale!$C$2:$C$30,MATCH(C323,Canale!$A$2:$A$30,0))</f>
        <v>linkedin_showcase</v>
      </c>
      <c r="E323" s="10" t="str">
        <f aca="false">INDEX(Canale!$D$2:$D$30,MATCH(C323,Canale!$A$2:$A$30,0))</f>
        <v>social</v>
      </c>
      <c r="F323" s="10" t="str">
        <f aca="false">INDEX('Site-uri'!$C$2:$C$20,MATCH(A323,'Site-uri'!$A$2:$A$20,0))</f>
        <v>/</v>
      </c>
      <c r="G323" s="10" t="str">
        <f aca="false">Config!$B$3</f>
        <v>2610_ff_lansare</v>
      </c>
      <c r="H323" s="10" t="str">
        <f aca="false">Config!$B$4</f>
        <v>general</v>
      </c>
      <c r="I323" s="10" t="str">
        <f aca="false">"https://"&amp;B323&amp;F323&amp;"?utm_source="&amp;D323&amp;"&amp;utm_medium="&amp;E323&amp;"&amp;utm_campaign="&amp;G323&amp;"&amp;utm_content="&amp;H323</f>
        <v>https://eu-112.eu/?utm_source=linkedin_showcase&amp;utm_medium=social&amp;utm_campaign=2610_ff_lansare&amp;utm_content=general</v>
      </c>
    </row>
    <row r="324" customFormat="false" ht="15" hidden="false" customHeight="false" outlineLevel="0" collapsed="false">
      <c r="A324" s="10" t="s">
        <v>78</v>
      </c>
      <c r="B324" s="10" t="str">
        <f aca="false">INDEX('Site-uri'!$B$2:$B$20,MATCH(A324,'Site-uri'!$A$2:$A$20,0))</f>
        <v>eu-112.eu</v>
      </c>
      <c r="C324" s="10" t="s">
        <v>114</v>
      </c>
      <c r="D324" s="10" t="str">
        <f aca="false">INDEX(Canale!$C$2:$C$30,MATCH(C324,Canale!$A$2:$A$30,0))</f>
        <v>linkedin_newsletter</v>
      </c>
      <c r="E324" s="10" t="str">
        <f aca="false">INDEX(Canale!$D$2:$D$30,MATCH(C324,Canale!$A$2:$A$30,0))</f>
        <v>social</v>
      </c>
      <c r="F324" s="10" t="str">
        <f aca="false">INDEX('Site-uri'!$C$2:$C$20,MATCH(A324,'Site-uri'!$A$2:$A$20,0))</f>
        <v>/</v>
      </c>
      <c r="G324" s="10" t="str">
        <f aca="false">Config!$B$3</f>
        <v>2610_ff_lansare</v>
      </c>
      <c r="H324" s="10" t="str">
        <f aca="false">Config!$B$4</f>
        <v>general</v>
      </c>
      <c r="I324" s="10" t="str">
        <f aca="false">"https://"&amp;B324&amp;F324&amp;"?utm_source="&amp;D324&amp;"&amp;utm_medium="&amp;E324&amp;"&amp;utm_campaign="&amp;G324&amp;"&amp;utm_content="&amp;H324</f>
        <v>https://eu-112.eu/?utm_source=linkedin_newsletter&amp;utm_medium=social&amp;utm_campaign=2610_ff_lansare&amp;utm_content=general</v>
      </c>
    </row>
    <row r="325" customFormat="false" ht="15" hidden="false" customHeight="false" outlineLevel="0" collapsed="false">
      <c r="A325" s="10" t="s">
        <v>78</v>
      </c>
      <c r="B325" s="10" t="str">
        <f aca="false">INDEX('Site-uri'!$B$2:$B$20,MATCH(A325,'Site-uri'!$A$2:$A$20,0))</f>
        <v>eu-112.eu</v>
      </c>
      <c r="C325" s="10" t="s">
        <v>117</v>
      </c>
      <c r="D325" s="10" t="str">
        <f aca="false">INDEX(Canale!$C$2:$C$30,MATCH(C325,Canale!$A$2:$A$30,0))</f>
        <v>linkedin_ads</v>
      </c>
      <c r="E325" s="10" t="str">
        <f aca="false">INDEX(Canale!$D$2:$D$30,MATCH(C325,Canale!$A$2:$A$30,0))</f>
        <v>paid_social</v>
      </c>
      <c r="F325" s="10" t="str">
        <f aca="false">INDEX('Site-uri'!$C$2:$C$20,MATCH(A325,'Site-uri'!$A$2:$A$20,0))</f>
        <v>/</v>
      </c>
      <c r="G325" s="10" t="str">
        <f aca="false">Config!$B$3</f>
        <v>2610_ff_lansare</v>
      </c>
      <c r="H325" s="10" t="str">
        <f aca="false">Config!$B$4</f>
        <v>general</v>
      </c>
      <c r="I325" s="10" t="str">
        <f aca="false">"https://"&amp;B325&amp;F325&amp;"?utm_source="&amp;D325&amp;"&amp;utm_medium="&amp;E325&amp;"&amp;utm_campaign="&amp;G325&amp;"&amp;utm_content="&amp;H325</f>
        <v>https://eu-112.eu/?utm_source=linkedin_ads&amp;utm_medium=paid_social&amp;utm_campaign=2610_ff_lansare&amp;utm_content=general</v>
      </c>
    </row>
    <row r="326" customFormat="false" ht="15" hidden="false" customHeight="false" outlineLevel="0" collapsed="false">
      <c r="A326" s="10" t="s">
        <v>78</v>
      </c>
      <c r="B326" s="10" t="str">
        <f aca="false">INDEX('Site-uri'!$B$2:$B$20,MATCH(A326,'Site-uri'!$A$2:$A$20,0))</f>
        <v>eu-112.eu</v>
      </c>
      <c r="C326" s="10" t="s">
        <v>121</v>
      </c>
      <c r="D326" s="10" t="str">
        <f aca="false">INDEX(Canale!$C$2:$C$30,MATCH(C326,Canale!$A$2:$A$30,0))</f>
        <v>linkedin_dm</v>
      </c>
      <c r="E326" s="10" t="str">
        <f aca="false">INDEX(Canale!$D$2:$D$30,MATCH(C326,Canale!$A$2:$A$30,0))</f>
        <v>dm</v>
      </c>
      <c r="F326" s="10" t="str">
        <f aca="false">INDEX('Site-uri'!$C$2:$C$20,MATCH(A326,'Site-uri'!$A$2:$A$20,0))</f>
        <v>/</v>
      </c>
      <c r="G326" s="10" t="str">
        <f aca="false">Config!$B$3</f>
        <v>2610_ff_lansare</v>
      </c>
      <c r="H326" s="10" t="str">
        <f aca="false">Config!$B$4</f>
        <v>general</v>
      </c>
      <c r="I326" s="10" t="str">
        <f aca="false">"https://"&amp;B326&amp;F326&amp;"?utm_source="&amp;D326&amp;"&amp;utm_medium="&amp;E326&amp;"&amp;utm_campaign="&amp;G326&amp;"&amp;utm_content="&amp;H326</f>
        <v>https://eu-112.eu/?utm_source=linkedin_dm&amp;utm_medium=dm&amp;utm_campaign=2610_ff_lansare&amp;utm_content=general</v>
      </c>
    </row>
    <row r="327" customFormat="false" ht="15" hidden="false" customHeight="false" outlineLevel="0" collapsed="false">
      <c r="A327" s="10" t="s">
        <v>78</v>
      </c>
      <c r="B327" s="10" t="str">
        <f aca="false">INDEX('Site-uri'!$B$2:$B$20,MATCH(A327,'Site-uri'!$A$2:$A$20,0))</f>
        <v>eu-112.eu</v>
      </c>
      <c r="C327" s="10" t="s">
        <v>125</v>
      </c>
      <c r="D327" s="10" t="str">
        <f aca="false">INDEX(Canale!$C$2:$C$30,MATCH(C327,Canale!$A$2:$A$30,0))</f>
        <v>email_outreach</v>
      </c>
      <c r="E327" s="10" t="str">
        <f aca="false">INDEX(Canale!$D$2:$D$30,MATCH(C327,Canale!$A$2:$A$30,0))</f>
        <v>email</v>
      </c>
      <c r="F327" s="10" t="str">
        <f aca="false">INDEX('Site-uri'!$C$2:$C$20,MATCH(A327,'Site-uri'!$A$2:$A$20,0))</f>
        <v>/</v>
      </c>
      <c r="G327" s="10" t="str">
        <f aca="false">Config!$B$3</f>
        <v>2610_ff_lansare</v>
      </c>
      <c r="H327" s="10" t="str">
        <f aca="false">Config!$B$4</f>
        <v>general</v>
      </c>
      <c r="I327" s="10" t="str">
        <f aca="false">"https://"&amp;B327&amp;F327&amp;"?utm_source="&amp;D327&amp;"&amp;utm_medium="&amp;E327&amp;"&amp;utm_campaign="&amp;G327&amp;"&amp;utm_content="&amp;H327</f>
        <v>https://eu-112.eu/?utm_source=email_outreach&amp;utm_medium=email&amp;utm_campaign=2610_ff_lansare&amp;utm_content=general</v>
      </c>
    </row>
    <row r="328" customFormat="false" ht="15" hidden="false" customHeight="false" outlineLevel="0" collapsed="false">
      <c r="A328" s="10" t="s">
        <v>78</v>
      </c>
      <c r="B328" s="10" t="str">
        <f aca="false">INDEX('Site-uri'!$B$2:$B$20,MATCH(A328,'Site-uri'!$A$2:$A$20,0))</f>
        <v>eu-112.eu</v>
      </c>
      <c r="C328" s="10" t="s">
        <v>130</v>
      </c>
      <c r="D328" s="10" t="str">
        <f aca="false">INDEX(Canale!$C$2:$C$30,MATCH(C328,Canale!$A$2:$A$30,0))</f>
        <v>newsletter</v>
      </c>
      <c r="E328" s="10" t="str">
        <f aca="false">INDEX(Canale!$D$2:$D$30,MATCH(C328,Canale!$A$2:$A$30,0))</f>
        <v>email</v>
      </c>
      <c r="F328" s="10" t="str">
        <f aca="false">INDEX('Site-uri'!$C$2:$C$20,MATCH(A328,'Site-uri'!$A$2:$A$20,0))</f>
        <v>/</v>
      </c>
      <c r="G328" s="10" t="str">
        <f aca="false">Config!$B$3</f>
        <v>2610_ff_lansare</v>
      </c>
      <c r="H328" s="10" t="str">
        <f aca="false">Config!$B$4</f>
        <v>general</v>
      </c>
      <c r="I328" s="10" t="str">
        <f aca="false">"https://"&amp;B328&amp;F328&amp;"?utm_source="&amp;D328&amp;"&amp;utm_medium="&amp;E328&amp;"&amp;utm_campaign="&amp;G328&amp;"&amp;utm_content="&amp;H328</f>
        <v>https://eu-112.eu/?utm_source=newsletter&amp;utm_medium=email&amp;utm_campaign=2610_ff_lansare&amp;utm_content=general</v>
      </c>
    </row>
    <row r="329" customFormat="false" ht="15" hidden="false" customHeight="false" outlineLevel="0" collapsed="false">
      <c r="A329" s="10" t="s">
        <v>78</v>
      </c>
      <c r="B329" s="10" t="str">
        <f aca="false">INDEX('Site-uri'!$B$2:$B$20,MATCH(A329,'Site-uri'!$A$2:$A$20,0))</f>
        <v>eu-112.eu</v>
      </c>
      <c r="C329" s="10" t="s">
        <v>133</v>
      </c>
      <c r="D329" s="10" t="str">
        <f aca="false">INDEX(Canale!$C$2:$C$30,MATCH(C329,Canale!$A$2:$A$30,0))</f>
        <v>email_signature</v>
      </c>
      <c r="E329" s="10" t="str">
        <f aca="false">INDEX(Canale!$D$2:$D$30,MATCH(C329,Canale!$A$2:$A$30,0))</f>
        <v>email</v>
      </c>
      <c r="F329" s="10" t="str">
        <f aca="false">INDEX('Site-uri'!$C$2:$C$20,MATCH(A329,'Site-uri'!$A$2:$A$20,0))</f>
        <v>/</v>
      </c>
      <c r="G329" s="10" t="str">
        <f aca="false">Config!$B$3</f>
        <v>2610_ff_lansare</v>
      </c>
      <c r="H329" s="10" t="str">
        <f aca="false">Config!$B$4</f>
        <v>general</v>
      </c>
      <c r="I329" s="10" t="str">
        <f aca="false">"https://"&amp;B329&amp;F329&amp;"?utm_source="&amp;D329&amp;"&amp;utm_medium="&amp;E329&amp;"&amp;utm_campaign="&amp;G329&amp;"&amp;utm_content="&amp;H329</f>
        <v>https://eu-112.eu/?utm_source=email_signature&amp;utm_medium=email&amp;utm_campaign=2610_ff_lansare&amp;utm_content=general</v>
      </c>
    </row>
    <row r="330" customFormat="false" ht="15" hidden="false" customHeight="false" outlineLevel="0" collapsed="false">
      <c r="A330" s="10" t="s">
        <v>78</v>
      </c>
      <c r="B330" s="10" t="str">
        <f aca="false">INDEX('Site-uri'!$B$2:$B$20,MATCH(A330,'Site-uri'!$A$2:$A$20,0))</f>
        <v>eu-112.eu</v>
      </c>
      <c r="C330" s="10" t="s">
        <v>136</v>
      </c>
      <c r="D330" s="10" t="str">
        <f aca="false">INDEX(Canale!$C$2:$C$30,MATCH(C330,Canale!$A$2:$A$30,0))</f>
        <v>whatsapp</v>
      </c>
      <c r="E330" s="10" t="str">
        <f aca="false">INDEX(Canale!$D$2:$D$30,MATCH(C330,Canale!$A$2:$A$30,0))</f>
        <v>dm</v>
      </c>
      <c r="F330" s="10" t="str">
        <f aca="false">INDEX('Site-uri'!$C$2:$C$20,MATCH(A330,'Site-uri'!$A$2:$A$20,0))</f>
        <v>/</v>
      </c>
      <c r="G330" s="10" t="str">
        <f aca="false">Config!$B$3</f>
        <v>2610_ff_lansare</v>
      </c>
      <c r="H330" s="10" t="str">
        <f aca="false">Config!$B$4</f>
        <v>general</v>
      </c>
      <c r="I330" s="10" t="str">
        <f aca="false">"https://"&amp;B330&amp;F330&amp;"?utm_source="&amp;D330&amp;"&amp;utm_medium="&amp;E330&amp;"&amp;utm_campaign="&amp;G330&amp;"&amp;utm_content="&amp;H330</f>
        <v>https://eu-112.eu/?utm_source=whatsapp&amp;utm_medium=dm&amp;utm_campaign=2610_ff_lansare&amp;utm_content=general</v>
      </c>
    </row>
    <row r="331" customFormat="false" ht="15" hidden="false" customHeight="false" outlineLevel="0" collapsed="false">
      <c r="A331" s="10" t="s">
        <v>78</v>
      </c>
      <c r="B331" s="10" t="str">
        <f aca="false">INDEX('Site-uri'!$B$2:$B$20,MATCH(A331,'Site-uri'!$A$2:$A$20,0))</f>
        <v>eu-112.eu</v>
      </c>
      <c r="C331" s="10" t="s">
        <v>140</v>
      </c>
      <c r="D331" s="10" t="str">
        <f aca="false">INDEX(Canale!$C$2:$C$30,MATCH(C331,Canale!$A$2:$A$30,0))</f>
        <v>google</v>
      </c>
      <c r="E331" s="10" t="str">
        <f aca="false">INDEX(Canale!$D$2:$D$30,MATCH(C331,Canale!$A$2:$A$30,0))</f>
        <v>cpc</v>
      </c>
      <c r="F331" s="10" t="str">
        <f aca="false">INDEX('Site-uri'!$C$2:$C$20,MATCH(A331,'Site-uri'!$A$2:$A$20,0))</f>
        <v>/</v>
      </c>
      <c r="G331" s="10" t="str">
        <f aca="false">Config!$B$3</f>
        <v>2610_ff_lansare</v>
      </c>
      <c r="H331" s="10" t="str">
        <f aca="false">Config!$B$4</f>
        <v>general</v>
      </c>
      <c r="I331" s="10" t="str">
        <f aca="false">"https://"&amp;B331&amp;F331&amp;"?utm_source="&amp;D331&amp;"&amp;utm_medium="&amp;E331&amp;"&amp;utm_campaign="&amp;G331&amp;"&amp;utm_content="&amp;H331</f>
        <v>https://eu-112.eu/?utm_source=google&amp;utm_medium=cpc&amp;utm_campaign=2610_ff_lansare&amp;utm_content=general</v>
      </c>
    </row>
    <row r="332" customFormat="false" ht="15" hidden="false" customHeight="false" outlineLevel="0" collapsed="false">
      <c r="A332" s="10" t="s">
        <v>78</v>
      </c>
      <c r="B332" s="10" t="str">
        <f aca="false">INDEX('Site-uri'!$B$2:$B$20,MATCH(A332,'Site-uri'!$A$2:$A$20,0))</f>
        <v>eu-112.eu</v>
      </c>
      <c r="C332" s="10" t="s">
        <v>145</v>
      </c>
      <c r="D332" s="10" t="str">
        <f aca="false">INDEX(Canale!$C$2:$C$30,MATCH(C332,Canale!$A$2:$A$30,0))</f>
        <v>bing</v>
      </c>
      <c r="E332" s="10" t="str">
        <f aca="false">INDEX(Canale!$D$2:$D$30,MATCH(C332,Canale!$A$2:$A$30,0))</f>
        <v>cpc</v>
      </c>
      <c r="F332" s="10" t="str">
        <f aca="false">INDEX('Site-uri'!$C$2:$C$20,MATCH(A332,'Site-uri'!$A$2:$A$20,0))</f>
        <v>/</v>
      </c>
      <c r="G332" s="10" t="str">
        <f aca="false">Config!$B$3</f>
        <v>2610_ff_lansare</v>
      </c>
      <c r="H332" s="10" t="str">
        <f aca="false">Config!$B$4</f>
        <v>general</v>
      </c>
      <c r="I332" s="10" t="str">
        <f aca="false">"https://"&amp;B332&amp;F332&amp;"?utm_source="&amp;D332&amp;"&amp;utm_medium="&amp;E332&amp;"&amp;utm_campaign="&amp;G332&amp;"&amp;utm_content="&amp;H332</f>
        <v>https://eu-112.eu/?utm_source=bing&amp;utm_medium=cpc&amp;utm_campaign=2610_ff_lansare&amp;utm_content=general</v>
      </c>
    </row>
    <row r="333" customFormat="false" ht="15" hidden="false" customHeight="false" outlineLevel="0" collapsed="false">
      <c r="A333" s="10" t="s">
        <v>78</v>
      </c>
      <c r="B333" s="10" t="str">
        <f aca="false">INDEX('Site-uri'!$B$2:$B$20,MATCH(A333,'Site-uri'!$A$2:$A$20,0))</f>
        <v>eu-112.eu</v>
      </c>
      <c r="C333" s="10" t="s">
        <v>148</v>
      </c>
      <c r="D333" s="10" t="str">
        <f aca="false">INDEX(Canale!$C$2:$C$30,MATCH(C333,Canale!$A$2:$A$30,0))</f>
        <v>facebook</v>
      </c>
      <c r="E333" s="10" t="str">
        <f aca="false">INDEX(Canale!$D$2:$D$30,MATCH(C333,Canale!$A$2:$A$30,0))</f>
        <v>social</v>
      </c>
      <c r="F333" s="10" t="str">
        <f aca="false">INDEX('Site-uri'!$C$2:$C$20,MATCH(A333,'Site-uri'!$A$2:$A$20,0))</f>
        <v>/</v>
      </c>
      <c r="G333" s="10" t="str">
        <f aca="false">Config!$B$3</f>
        <v>2610_ff_lansare</v>
      </c>
      <c r="H333" s="10" t="str">
        <f aca="false">Config!$B$4</f>
        <v>general</v>
      </c>
      <c r="I333" s="10" t="str">
        <f aca="false">"https://"&amp;B333&amp;F333&amp;"?utm_source="&amp;D333&amp;"&amp;utm_medium="&amp;E333&amp;"&amp;utm_campaign="&amp;G333&amp;"&amp;utm_content="&amp;H333</f>
        <v>https://eu-112.eu/?utm_source=facebook&amp;utm_medium=social&amp;utm_campaign=2610_ff_lansare&amp;utm_content=general</v>
      </c>
    </row>
    <row r="334" customFormat="false" ht="15" hidden="false" customHeight="false" outlineLevel="0" collapsed="false">
      <c r="A334" s="10" t="s">
        <v>78</v>
      </c>
      <c r="B334" s="10" t="str">
        <f aca="false">INDEX('Site-uri'!$B$2:$B$20,MATCH(A334,'Site-uri'!$A$2:$A$20,0))</f>
        <v>eu-112.eu</v>
      </c>
      <c r="C334" s="10" t="s">
        <v>152</v>
      </c>
      <c r="D334" s="10" t="str">
        <f aca="false">INDEX(Canale!$C$2:$C$30,MATCH(C334,Canale!$A$2:$A$30,0))</f>
        <v>x</v>
      </c>
      <c r="E334" s="10" t="str">
        <f aca="false">INDEX(Canale!$D$2:$D$30,MATCH(C334,Canale!$A$2:$A$30,0))</f>
        <v>social</v>
      </c>
      <c r="F334" s="10" t="str">
        <f aca="false">INDEX('Site-uri'!$C$2:$C$20,MATCH(A334,'Site-uri'!$A$2:$A$20,0))</f>
        <v>/</v>
      </c>
      <c r="G334" s="10" t="str">
        <f aca="false">Config!$B$3</f>
        <v>2610_ff_lansare</v>
      </c>
      <c r="H334" s="10" t="str">
        <f aca="false">Config!$B$4</f>
        <v>general</v>
      </c>
      <c r="I334" s="10" t="str">
        <f aca="false">"https://"&amp;B334&amp;F334&amp;"?utm_source="&amp;D334&amp;"&amp;utm_medium="&amp;E334&amp;"&amp;utm_campaign="&amp;G334&amp;"&amp;utm_content="&amp;H334</f>
        <v>https://eu-112.eu/?utm_source=x&amp;utm_medium=social&amp;utm_campaign=2610_ff_lansare&amp;utm_content=general</v>
      </c>
    </row>
    <row r="335" customFormat="false" ht="15" hidden="false" customHeight="false" outlineLevel="0" collapsed="false">
      <c r="A335" s="10" t="s">
        <v>78</v>
      </c>
      <c r="B335" s="10" t="str">
        <f aca="false">INDEX('Site-uri'!$B$2:$B$20,MATCH(A335,'Site-uri'!$A$2:$A$20,0))</f>
        <v>eu-112.eu</v>
      </c>
      <c r="C335" s="10" t="s">
        <v>154</v>
      </c>
      <c r="D335" s="10" t="str">
        <f aca="false">INDEX(Canale!$C$2:$C$30,MATCH(C335,Canale!$A$2:$A$30,0))</f>
        <v>youtube</v>
      </c>
      <c r="E335" s="10" t="str">
        <f aca="false">INDEX(Canale!$D$2:$D$30,MATCH(C335,Canale!$A$2:$A$30,0))</f>
        <v>video</v>
      </c>
      <c r="F335" s="10" t="str">
        <f aca="false">INDEX('Site-uri'!$C$2:$C$20,MATCH(A335,'Site-uri'!$A$2:$A$20,0))</f>
        <v>/</v>
      </c>
      <c r="G335" s="10" t="str">
        <f aca="false">Config!$B$3</f>
        <v>2610_ff_lansare</v>
      </c>
      <c r="H335" s="10" t="str">
        <f aca="false">Config!$B$4</f>
        <v>general</v>
      </c>
      <c r="I335" s="10" t="str">
        <f aca="false">"https://"&amp;B335&amp;F335&amp;"?utm_source="&amp;D335&amp;"&amp;utm_medium="&amp;E335&amp;"&amp;utm_campaign="&amp;G335&amp;"&amp;utm_content="&amp;H335</f>
        <v>https://eu-112.eu/?utm_source=youtube&amp;utm_medium=video&amp;utm_campaign=2610_ff_lansare&amp;utm_content=general</v>
      </c>
    </row>
    <row r="336" customFormat="false" ht="15" hidden="false" customHeight="false" outlineLevel="0" collapsed="false">
      <c r="A336" s="10" t="s">
        <v>78</v>
      </c>
      <c r="B336" s="10" t="str">
        <f aca="false">INDEX('Site-uri'!$B$2:$B$20,MATCH(A336,'Site-uri'!$A$2:$A$20,0))</f>
        <v>eu-112.eu</v>
      </c>
      <c r="C336" s="10" t="s">
        <v>159</v>
      </c>
      <c r="D336" s="10" t="str">
        <f aca="false">INDEX(Canale!$C$2:$C$30,MATCH(C336,Canale!$A$2:$A$30,0))</f>
        <v>medium</v>
      </c>
      <c r="E336" s="10" t="str">
        <f aca="false">INDEX(Canale!$D$2:$D$30,MATCH(C336,Canale!$A$2:$A$30,0))</f>
        <v>content</v>
      </c>
      <c r="F336" s="10" t="str">
        <f aca="false">INDEX('Site-uri'!$C$2:$C$20,MATCH(A336,'Site-uri'!$A$2:$A$20,0))</f>
        <v>/</v>
      </c>
      <c r="G336" s="10" t="str">
        <f aca="false">Config!$B$3</f>
        <v>2610_ff_lansare</v>
      </c>
      <c r="H336" s="10" t="str">
        <f aca="false">Config!$B$4</f>
        <v>general</v>
      </c>
      <c r="I336" s="10" t="str">
        <f aca="false">"https://"&amp;B336&amp;F336&amp;"?utm_source="&amp;D336&amp;"&amp;utm_medium="&amp;E336&amp;"&amp;utm_campaign="&amp;G336&amp;"&amp;utm_content="&amp;H336</f>
        <v>https://eu-112.eu/?utm_source=medium&amp;utm_medium=content&amp;utm_campaign=2610_ff_lansare&amp;utm_content=general</v>
      </c>
    </row>
    <row r="337" customFormat="false" ht="15" hidden="false" customHeight="false" outlineLevel="0" collapsed="false">
      <c r="A337" s="10" t="s">
        <v>78</v>
      </c>
      <c r="B337" s="10" t="str">
        <f aca="false">INDEX('Site-uri'!$B$2:$B$20,MATCH(A337,'Site-uri'!$A$2:$A$20,0))</f>
        <v>eu-112.eu</v>
      </c>
      <c r="C337" s="10" t="s">
        <v>164</v>
      </c>
      <c r="D337" s="10" t="str">
        <f aca="false">INDEX(Canale!$C$2:$C$30,MATCH(C337,Canale!$A$2:$A$30,0))</f>
        <v>crunchbase</v>
      </c>
      <c r="E337" s="10" t="str">
        <f aca="false">INDEX(Canale!$D$2:$D$30,MATCH(C337,Canale!$A$2:$A$30,0))</f>
        <v>referral</v>
      </c>
      <c r="F337" s="10" t="str">
        <f aca="false">INDEX('Site-uri'!$C$2:$C$20,MATCH(A337,'Site-uri'!$A$2:$A$20,0))</f>
        <v>/</v>
      </c>
      <c r="G337" s="10" t="str">
        <f aca="false">Config!$B$3</f>
        <v>2610_ff_lansare</v>
      </c>
      <c r="H337" s="10" t="str">
        <f aca="false">Config!$B$4</f>
        <v>general</v>
      </c>
      <c r="I337" s="10" t="str">
        <f aca="false">"https://"&amp;B337&amp;F337&amp;"?utm_source="&amp;D337&amp;"&amp;utm_medium="&amp;E337&amp;"&amp;utm_campaign="&amp;G337&amp;"&amp;utm_content="&amp;H337</f>
        <v>https://eu-112.eu/?utm_source=crunchbase&amp;utm_medium=referral&amp;utm_campaign=2610_ff_lansare&amp;utm_content=general</v>
      </c>
    </row>
    <row r="338" customFormat="false" ht="15" hidden="false" customHeight="false" outlineLevel="0" collapsed="false">
      <c r="A338" s="10" t="s">
        <v>78</v>
      </c>
      <c r="B338" s="10" t="str">
        <f aca="false">INDEX('Site-uri'!$B$2:$B$20,MATCH(A338,'Site-uri'!$A$2:$A$20,0))</f>
        <v>eu-112.eu</v>
      </c>
      <c r="C338" s="10" t="s">
        <v>169</v>
      </c>
      <c r="D338" s="10" t="str">
        <f aca="false">INDEX(Canale!$C$2:$C$30,MATCH(C338,Canale!$A$2:$A$30,0))</f>
        <v>zenodo</v>
      </c>
      <c r="E338" s="10" t="str">
        <f aca="false">INDEX(Canale!$D$2:$D$30,MATCH(C338,Canale!$A$2:$A$30,0))</f>
        <v>referral</v>
      </c>
      <c r="F338" s="10" t="str">
        <f aca="false">INDEX('Site-uri'!$C$2:$C$20,MATCH(A338,'Site-uri'!$A$2:$A$20,0))</f>
        <v>/</v>
      </c>
      <c r="G338" s="10" t="str">
        <f aca="false">Config!$B$3</f>
        <v>2610_ff_lansare</v>
      </c>
      <c r="H338" s="10" t="str">
        <f aca="false">Config!$B$4</f>
        <v>general</v>
      </c>
      <c r="I338" s="10" t="str">
        <f aca="false">"https://"&amp;B338&amp;F338&amp;"?utm_source="&amp;D338&amp;"&amp;utm_medium="&amp;E338&amp;"&amp;utm_campaign="&amp;G338&amp;"&amp;utm_content="&amp;H338</f>
        <v>https://eu-112.eu/?utm_source=zenodo&amp;utm_medium=referral&amp;utm_campaign=2610_ff_lansare&amp;utm_content=general</v>
      </c>
    </row>
    <row r="339" customFormat="false" ht="15" hidden="false" customHeight="false" outlineLevel="0" collapsed="false">
      <c r="A339" s="10" t="s">
        <v>78</v>
      </c>
      <c r="B339" s="10" t="str">
        <f aca="false">INDEX('Site-uri'!$B$2:$B$20,MATCH(A339,'Site-uri'!$A$2:$A$20,0))</f>
        <v>eu-112.eu</v>
      </c>
      <c r="C339" s="10" t="s">
        <v>172</v>
      </c>
      <c r="D339" s="10" t="str">
        <f aca="false">INDEX(Canale!$C$2:$C$30,MATCH(C339,Canale!$A$2:$A$30,0))</f>
        <v>orcid</v>
      </c>
      <c r="E339" s="10" t="str">
        <f aca="false">INDEX(Canale!$D$2:$D$30,MATCH(C339,Canale!$A$2:$A$30,0))</f>
        <v>referral</v>
      </c>
      <c r="F339" s="10" t="str">
        <f aca="false">INDEX('Site-uri'!$C$2:$C$20,MATCH(A339,'Site-uri'!$A$2:$A$20,0))</f>
        <v>/</v>
      </c>
      <c r="G339" s="10" t="str">
        <f aca="false">Config!$B$3</f>
        <v>2610_ff_lansare</v>
      </c>
      <c r="H339" s="10" t="str">
        <f aca="false">Config!$B$4</f>
        <v>general</v>
      </c>
      <c r="I339" s="10" t="str">
        <f aca="false">"https://"&amp;B339&amp;F339&amp;"?utm_source="&amp;D339&amp;"&amp;utm_medium="&amp;E339&amp;"&amp;utm_campaign="&amp;G339&amp;"&amp;utm_content="&amp;H339</f>
        <v>https://eu-112.eu/?utm_source=orcid&amp;utm_medium=referral&amp;utm_campaign=2610_ff_lansare&amp;utm_content=general</v>
      </c>
    </row>
    <row r="340" customFormat="false" ht="15" hidden="false" customHeight="false" outlineLevel="0" collapsed="false">
      <c r="A340" s="10" t="s">
        <v>78</v>
      </c>
      <c r="B340" s="10" t="str">
        <f aca="false">INDEX('Site-uri'!$B$2:$B$20,MATCH(A340,'Site-uri'!$A$2:$A$20,0))</f>
        <v>eu-112.eu</v>
      </c>
      <c r="C340" s="10" t="s">
        <v>175</v>
      </c>
      <c r="D340" s="10" t="str">
        <f aca="false">INDEX(Canale!$C$2:$C$30,MATCH(C340,Canale!$A$2:$A$30,0))</f>
        <v>github</v>
      </c>
      <c r="E340" s="10" t="str">
        <f aca="false">INDEX(Canale!$D$2:$D$30,MATCH(C340,Canale!$A$2:$A$30,0))</f>
        <v>referral</v>
      </c>
      <c r="F340" s="10" t="str">
        <f aca="false">INDEX('Site-uri'!$C$2:$C$20,MATCH(A340,'Site-uri'!$A$2:$A$20,0))</f>
        <v>/</v>
      </c>
      <c r="G340" s="10" t="str">
        <f aca="false">Config!$B$3</f>
        <v>2610_ff_lansare</v>
      </c>
      <c r="H340" s="10" t="str">
        <f aca="false">Config!$B$4</f>
        <v>general</v>
      </c>
      <c r="I340" s="10" t="str">
        <f aca="false">"https://"&amp;B340&amp;F340&amp;"?utm_source="&amp;D340&amp;"&amp;utm_medium="&amp;E340&amp;"&amp;utm_campaign="&amp;G340&amp;"&amp;utm_content="&amp;H340</f>
        <v>https://eu-112.eu/?utm_source=github&amp;utm_medium=referral&amp;utm_campaign=2610_ff_lansare&amp;utm_content=general</v>
      </c>
    </row>
    <row r="341" customFormat="false" ht="15" hidden="false" customHeight="false" outlineLevel="0" collapsed="false">
      <c r="A341" s="10" t="s">
        <v>78</v>
      </c>
      <c r="B341" s="10" t="str">
        <f aca="false">INDEX('Site-uri'!$B$2:$B$20,MATCH(A341,'Site-uri'!$A$2:$A$20,0))</f>
        <v>eu-112.eu</v>
      </c>
      <c r="C341" s="10" t="s">
        <v>178</v>
      </c>
      <c r="D341" s="10" t="str">
        <f aca="false">INDEX(Canale!$C$2:$C$30,MATCH(C341,Canale!$A$2:$A$30,0))</f>
        <v>kdp_book</v>
      </c>
      <c r="E341" s="10" t="str">
        <f aca="false">INDEX(Canale!$D$2:$D$30,MATCH(C341,Canale!$A$2:$A$30,0))</f>
        <v>book</v>
      </c>
      <c r="F341" s="10" t="str">
        <f aca="false">INDEX('Site-uri'!$C$2:$C$20,MATCH(A341,'Site-uri'!$A$2:$A$20,0))</f>
        <v>/</v>
      </c>
      <c r="G341" s="10" t="str">
        <f aca="false">Config!$B$3</f>
        <v>2610_ff_lansare</v>
      </c>
      <c r="H341" s="10" t="str">
        <f aca="false">Config!$B$4</f>
        <v>general</v>
      </c>
      <c r="I341" s="10" t="str">
        <f aca="false">"https://"&amp;B341&amp;F341&amp;"?utm_source="&amp;D341&amp;"&amp;utm_medium="&amp;E341&amp;"&amp;utm_campaign="&amp;G341&amp;"&amp;utm_content="&amp;H341</f>
        <v>https://eu-112.eu/?utm_source=kdp_book&amp;utm_medium=book&amp;utm_campaign=2610_ff_lansare&amp;utm_content=general</v>
      </c>
    </row>
    <row r="342" customFormat="false" ht="15" hidden="false" customHeight="false" outlineLevel="0" collapsed="false">
      <c r="A342" s="10" t="s">
        <v>78</v>
      </c>
      <c r="B342" s="10" t="str">
        <f aca="false">INDEX('Site-uri'!$B$2:$B$20,MATCH(A342,'Site-uri'!$A$2:$A$20,0))</f>
        <v>eu-112.eu</v>
      </c>
      <c r="C342" s="10" t="s">
        <v>183</v>
      </c>
      <c r="D342" s="10" t="str">
        <f aca="false">INDEX(Canale!$C$2:$C$30,MATCH(C342,Canale!$A$2:$A$30,0))</f>
        <v>udemy</v>
      </c>
      <c r="E342" s="10" t="str">
        <f aca="false">INDEX(Canale!$D$2:$D$30,MATCH(C342,Canale!$A$2:$A$30,0))</f>
        <v>course</v>
      </c>
      <c r="F342" s="10" t="str">
        <f aca="false">INDEX('Site-uri'!$C$2:$C$20,MATCH(A342,'Site-uri'!$A$2:$A$20,0))</f>
        <v>/</v>
      </c>
      <c r="G342" s="10" t="str">
        <f aca="false">Config!$B$3</f>
        <v>2610_ff_lansare</v>
      </c>
      <c r="H342" s="10" t="str">
        <f aca="false">Config!$B$4</f>
        <v>general</v>
      </c>
      <c r="I342" s="10" t="str">
        <f aca="false">"https://"&amp;B342&amp;F342&amp;"?utm_source="&amp;D342&amp;"&amp;utm_medium="&amp;E342&amp;"&amp;utm_campaign="&amp;G342&amp;"&amp;utm_content="&amp;H342</f>
        <v>https://eu-112.eu/?utm_source=udemy&amp;utm_medium=course&amp;utm_campaign=2610_ff_lansare&amp;utm_content=general</v>
      </c>
    </row>
    <row r="343" customFormat="false" ht="15" hidden="false" customHeight="false" outlineLevel="0" collapsed="false">
      <c r="A343" s="10" t="s">
        <v>78</v>
      </c>
      <c r="B343" s="10" t="str">
        <f aca="false">INDEX('Site-uri'!$B$2:$B$20,MATCH(A343,'Site-uri'!$A$2:$A$20,0))</f>
        <v>eu-112.eu</v>
      </c>
      <c r="C343" s="10" t="s">
        <v>186</v>
      </c>
      <c r="D343" s="10" t="str">
        <f aca="false">INDEX(Canale!$C$2:$C$30,MATCH(C343,Canale!$A$2:$A$30,0))</f>
        <v>directory</v>
      </c>
      <c r="E343" s="10" t="str">
        <f aca="false">INDEX(Canale!$D$2:$D$30,MATCH(C343,Canale!$A$2:$A$30,0))</f>
        <v>referral</v>
      </c>
      <c r="F343" s="10" t="str">
        <f aca="false">INDEX('Site-uri'!$C$2:$C$20,MATCH(A343,'Site-uri'!$A$2:$A$20,0))</f>
        <v>/</v>
      </c>
      <c r="G343" s="10" t="str">
        <f aca="false">Config!$B$3</f>
        <v>2610_ff_lansare</v>
      </c>
      <c r="H343" s="10" t="str">
        <f aca="false">Config!$B$4</f>
        <v>general</v>
      </c>
      <c r="I343" s="10" t="str">
        <f aca="false">"https://"&amp;B343&amp;F343&amp;"?utm_source="&amp;D343&amp;"&amp;utm_medium="&amp;E343&amp;"&amp;utm_campaign="&amp;G343&amp;"&amp;utm_content="&amp;H343</f>
        <v>https://eu-112.eu/?utm_source=directory&amp;utm_medium=referral&amp;utm_campaign=2610_ff_lansare&amp;utm_content=general</v>
      </c>
    </row>
    <row r="344" customFormat="false" ht="15" hidden="false" customHeight="false" outlineLevel="0" collapsed="false">
      <c r="A344" s="10" t="s">
        <v>78</v>
      </c>
      <c r="B344" s="10" t="str">
        <f aca="false">INDEX('Site-uri'!$B$2:$B$20,MATCH(A344,'Site-uri'!$A$2:$A$20,0))</f>
        <v>eu-112.eu</v>
      </c>
      <c r="C344" s="10" t="s">
        <v>190</v>
      </c>
      <c r="D344" s="10" t="str">
        <f aca="false">INDEX(Canale!$C$2:$C$30,MATCH(C344,Canale!$A$2:$A$30,0))</f>
        <v>partner</v>
      </c>
      <c r="E344" s="10" t="str">
        <f aca="false">INDEX(Canale!$D$2:$D$30,MATCH(C344,Canale!$A$2:$A$30,0))</f>
        <v>partner</v>
      </c>
      <c r="F344" s="10" t="str">
        <f aca="false">INDEX('Site-uri'!$C$2:$C$20,MATCH(A344,'Site-uri'!$A$2:$A$20,0))</f>
        <v>/</v>
      </c>
      <c r="G344" s="10" t="str">
        <f aca="false">Config!$B$3</f>
        <v>2610_ff_lansare</v>
      </c>
      <c r="H344" s="10" t="str">
        <f aca="false">Config!$B$4</f>
        <v>general</v>
      </c>
      <c r="I344" s="10" t="str">
        <f aca="false">"https://"&amp;B344&amp;F344&amp;"?utm_source="&amp;D344&amp;"&amp;utm_medium="&amp;E344&amp;"&amp;utm_campaign="&amp;G344&amp;"&amp;utm_content="&amp;H344</f>
        <v>https://eu-112.eu/?utm_source=partner&amp;utm_medium=partner&amp;utm_campaign=2610_ff_lansare&amp;utm_content=general</v>
      </c>
    </row>
    <row r="345" customFormat="false" ht="15" hidden="false" customHeight="false" outlineLevel="0" collapsed="false">
      <c r="A345" s="10" t="s">
        <v>78</v>
      </c>
      <c r="B345" s="10" t="str">
        <f aca="false">INDEX('Site-uri'!$B$2:$B$20,MATCH(A345,'Site-uri'!$A$2:$A$20,0))</f>
        <v>eu-112.eu</v>
      </c>
      <c r="C345" s="10" t="s">
        <v>192</v>
      </c>
      <c r="D345" s="10" t="str">
        <f aca="false">INDEX(Canale!$C$2:$C$30,MATCH(C345,Canale!$A$2:$A$30,0))</f>
        <v>pdf_proposal</v>
      </c>
      <c r="E345" s="10" t="str">
        <f aca="false">INDEX(Canale!$D$2:$D$30,MATCH(C345,Canale!$A$2:$A$30,0))</f>
        <v>document</v>
      </c>
      <c r="F345" s="10" t="str">
        <f aca="false">INDEX('Site-uri'!$C$2:$C$20,MATCH(A345,'Site-uri'!$A$2:$A$20,0))</f>
        <v>/</v>
      </c>
      <c r="G345" s="10" t="str">
        <f aca="false">Config!$B$3</f>
        <v>2610_ff_lansare</v>
      </c>
      <c r="H345" s="10" t="str">
        <f aca="false">Config!$B$4</f>
        <v>general</v>
      </c>
      <c r="I345" s="10" t="str">
        <f aca="false">"https://"&amp;B345&amp;F345&amp;"?utm_source="&amp;D345&amp;"&amp;utm_medium="&amp;E345&amp;"&amp;utm_campaign="&amp;G345&amp;"&amp;utm_content="&amp;H345</f>
        <v>https://eu-112.eu/?utm_source=pdf_proposal&amp;utm_medium=document&amp;utm_campaign=2610_ff_lansare&amp;utm_content=general</v>
      </c>
    </row>
    <row r="346" customFormat="false" ht="15" hidden="false" customHeight="false" outlineLevel="0" collapsed="false">
      <c r="A346" s="10" t="s">
        <v>78</v>
      </c>
      <c r="B346" s="10" t="str">
        <f aca="false">INDEX('Site-uri'!$B$2:$B$20,MATCH(A346,'Site-uri'!$A$2:$A$20,0))</f>
        <v>eu-112.eu</v>
      </c>
      <c r="C346" s="10" t="s">
        <v>197</v>
      </c>
      <c r="D346" s="10" t="str">
        <f aca="false">INDEX(Canale!$C$2:$C$30,MATCH(C346,Canale!$A$2:$A$30,0))</f>
        <v>qr_print</v>
      </c>
      <c r="E346" s="10" t="str">
        <f aca="false">INDEX(Canale!$D$2:$D$30,MATCH(C346,Canale!$A$2:$A$30,0))</f>
        <v>qr</v>
      </c>
      <c r="F346" s="10" t="str">
        <f aca="false">INDEX('Site-uri'!$C$2:$C$20,MATCH(A346,'Site-uri'!$A$2:$A$20,0))</f>
        <v>/</v>
      </c>
      <c r="G346" s="10" t="str">
        <f aca="false">Config!$B$3</f>
        <v>2610_ff_lansare</v>
      </c>
      <c r="H346" s="10" t="str">
        <f aca="false">Config!$B$4</f>
        <v>general</v>
      </c>
      <c r="I346" s="10" t="str">
        <f aca="false">"https://"&amp;B346&amp;F346&amp;"?utm_source="&amp;D346&amp;"&amp;utm_medium="&amp;E346&amp;"&amp;utm_campaign="&amp;G346&amp;"&amp;utm_content="&amp;H346</f>
        <v>https://eu-112.eu/?utm_source=qr_print&amp;utm_medium=qr&amp;utm_campaign=2610_ff_lansare&amp;utm_content=general</v>
      </c>
    </row>
    <row r="347" customFormat="false" ht="15" hidden="false" customHeight="false" outlineLevel="0" collapsed="false">
      <c r="A347" s="10" t="s">
        <v>78</v>
      </c>
      <c r="B347" s="10" t="str">
        <f aca="false">INDEX('Site-uri'!$B$2:$B$20,MATCH(A347,'Site-uri'!$A$2:$A$20,0))</f>
        <v>eu-112.eu</v>
      </c>
      <c r="C347" s="10" t="s">
        <v>201</v>
      </c>
      <c r="D347" s="10" t="str">
        <f aca="false">INDEX(Canale!$C$2:$C$30,MATCH(C347,Canale!$A$2:$A$30,0))</f>
        <v>event</v>
      </c>
      <c r="E347" s="10" t="str">
        <f aca="false">INDEX(Canale!$D$2:$D$30,MATCH(C347,Canale!$A$2:$A$30,0))</f>
        <v>event</v>
      </c>
      <c r="F347" s="10" t="str">
        <f aca="false">INDEX('Site-uri'!$C$2:$C$20,MATCH(A347,'Site-uri'!$A$2:$A$20,0))</f>
        <v>/</v>
      </c>
      <c r="G347" s="10" t="str">
        <f aca="false">Config!$B$3</f>
        <v>2610_ff_lansare</v>
      </c>
      <c r="H347" s="10" t="str">
        <f aca="false">Config!$B$4</f>
        <v>general</v>
      </c>
      <c r="I347" s="10" t="str">
        <f aca="false">"https://"&amp;B347&amp;F347&amp;"?utm_source="&amp;D347&amp;"&amp;utm_medium="&amp;E347&amp;"&amp;utm_campaign="&amp;G347&amp;"&amp;utm_content="&amp;H347</f>
        <v>https://eu-112.eu/?utm_source=event&amp;utm_medium=event&amp;utm_campaign=2610_ff_lansare&amp;utm_content=general</v>
      </c>
    </row>
    <row r="348" customFormat="false" ht="15" hidden="false" customHeight="false" outlineLevel="0" collapsed="false">
      <c r="A348" s="10" t="s">
        <v>78</v>
      </c>
      <c r="B348" s="10" t="str">
        <f aca="false">INDEX('Site-uri'!$B$2:$B$20,MATCH(A348,'Site-uri'!$A$2:$A$20,0))</f>
        <v>eu-112.eu</v>
      </c>
      <c r="C348" s="10" t="s">
        <v>203</v>
      </c>
      <c r="D348" s="10" t="str">
        <f aca="false">INDEX(Canale!$C$2:$C$30,MATCH(C348,Canale!$A$2:$A$30,0))</f>
        <v>a2a_agent_card</v>
      </c>
      <c r="E348" s="10" t="str">
        <f aca="false">INDEX(Canale!$D$2:$D$30,MATCH(C348,Canale!$A$2:$A$30,0))</f>
        <v>agent</v>
      </c>
      <c r="F348" s="10" t="str">
        <f aca="false">INDEX('Site-uri'!$C$2:$C$20,MATCH(A348,'Site-uri'!$A$2:$A$20,0))</f>
        <v>/</v>
      </c>
      <c r="G348" s="10" t="str">
        <f aca="false">Config!$B$3</f>
        <v>2610_ff_lansare</v>
      </c>
      <c r="H348" s="10" t="str">
        <f aca="false">Config!$B$4</f>
        <v>general</v>
      </c>
      <c r="I348" s="10" t="str">
        <f aca="false">"https://"&amp;B348&amp;F348&amp;"?utm_source="&amp;D348&amp;"&amp;utm_medium="&amp;E348&amp;"&amp;utm_campaign="&amp;G348&amp;"&amp;utm_content="&amp;H348</f>
        <v>https://eu-112.eu/?utm_source=a2a_agent_card&amp;utm_medium=agent&amp;utm_campaign=2610_ff_lansare&amp;utm_content=general</v>
      </c>
    </row>
    <row r="349" customFormat="false" ht="15" hidden="false" customHeight="false" outlineLevel="0" collapsed="false">
      <c r="A349" s="10" t="s">
        <v>78</v>
      </c>
      <c r="B349" s="10" t="str">
        <f aca="false">INDEX('Site-uri'!$B$2:$B$20,MATCH(A349,'Site-uri'!$A$2:$A$20,0))</f>
        <v>eu-112.eu</v>
      </c>
      <c r="C349" s="10" t="s">
        <v>208</v>
      </c>
      <c r="D349" s="10" t="str">
        <f aca="false">INDEX(Canale!$C$2:$C$30,MATCH(C349,Canale!$A$2:$A$30,0))</f>
        <v>llms_txt</v>
      </c>
      <c r="E349" s="10" t="str">
        <f aca="false">INDEX(Canale!$D$2:$D$30,MATCH(C349,Canale!$A$2:$A$30,0))</f>
        <v>ai_web</v>
      </c>
      <c r="F349" s="10" t="str">
        <f aca="false">INDEX('Site-uri'!$C$2:$C$20,MATCH(A349,'Site-uri'!$A$2:$A$20,0))</f>
        <v>/</v>
      </c>
      <c r="G349" s="10" t="str">
        <f aca="false">Config!$B$3</f>
        <v>2610_ff_lansare</v>
      </c>
      <c r="H349" s="10" t="str">
        <f aca="false">Config!$B$4</f>
        <v>general</v>
      </c>
      <c r="I349" s="10" t="str">
        <f aca="false">"https://"&amp;B349&amp;F349&amp;"?utm_source="&amp;D349&amp;"&amp;utm_medium="&amp;E349&amp;"&amp;utm_campaign="&amp;G349&amp;"&amp;utm_content="&amp;H349</f>
        <v>https://eu-112.eu/?utm_source=llms_txt&amp;utm_medium=ai_web&amp;utm_campaign=2610_ff_lansare&amp;utm_content=general</v>
      </c>
    </row>
    <row r="350" customFormat="false" ht="15" hidden="false" customHeight="false" outlineLevel="0" collapsed="false">
      <c r="A350" s="10" t="s">
        <v>81</v>
      </c>
      <c r="B350" s="10" t="str">
        <f aca="false">INDEX('Site-uri'!$B$2:$B$20,MATCH(A350,'Site-uri'!$A$2:$A$20,0))</f>
        <v>1clic-ia.eu</v>
      </c>
      <c r="C350" s="10" t="s">
        <v>103</v>
      </c>
      <c r="D350" s="10" t="str">
        <f aca="false">INDEX(Canale!$C$2:$C$30,MATCH(C350,Canale!$A$2:$A$30,0))</f>
        <v>linkedin_personal</v>
      </c>
      <c r="E350" s="10" t="str">
        <f aca="false">INDEX(Canale!$D$2:$D$30,MATCH(C350,Canale!$A$2:$A$30,0))</f>
        <v>social</v>
      </c>
      <c r="F350" s="10" t="str">
        <f aca="false">INDEX('Site-uri'!$C$2:$C$20,MATCH(A350,'Site-uri'!$A$2:$A$20,0))</f>
        <v>/</v>
      </c>
      <c r="G350" s="10" t="str">
        <f aca="false">Config!$B$3</f>
        <v>2610_ff_lansare</v>
      </c>
      <c r="H350" s="10" t="str">
        <f aca="false">Config!$B$4</f>
        <v>general</v>
      </c>
      <c r="I350" s="10" t="str">
        <f aca="false">"https://"&amp;B350&amp;F350&amp;"?utm_source="&amp;D350&amp;"&amp;utm_medium="&amp;E350&amp;"&amp;utm_campaign="&amp;G350&amp;"&amp;utm_content="&amp;H350</f>
        <v>https://1clic-ia.eu/?utm_source=linkedin_personal&amp;utm_medium=social&amp;utm_campaign=2610_ff_lansare&amp;utm_content=general</v>
      </c>
    </row>
    <row r="351" customFormat="false" ht="15" hidden="false" customHeight="false" outlineLevel="0" collapsed="false">
      <c r="A351" s="10" t="s">
        <v>81</v>
      </c>
      <c r="B351" s="10" t="str">
        <f aca="false">INDEX('Site-uri'!$B$2:$B$20,MATCH(A351,'Site-uri'!$A$2:$A$20,0))</f>
        <v>1clic-ia.eu</v>
      </c>
      <c r="C351" s="10" t="s">
        <v>108</v>
      </c>
      <c r="D351" s="10" t="str">
        <f aca="false">INDEX(Canale!$C$2:$C$30,MATCH(C351,Canale!$A$2:$A$30,0))</f>
        <v>linkedin_company</v>
      </c>
      <c r="E351" s="10" t="str">
        <f aca="false">INDEX(Canale!$D$2:$D$30,MATCH(C351,Canale!$A$2:$A$30,0))</f>
        <v>social</v>
      </c>
      <c r="F351" s="10" t="str">
        <f aca="false">INDEX('Site-uri'!$C$2:$C$20,MATCH(A351,'Site-uri'!$A$2:$A$20,0))</f>
        <v>/</v>
      </c>
      <c r="G351" s="10" t="str">
        <f aca="false">Config!$B$3</f>
        <v>2610_ff_lansare</v>
      </c>
      <c r="H351" s="10" t="str">
        <f aca="false">Config!$B$4</f>
        <v>general</v>
      </c>
      <c r="I351" s="10" t="str">
        <f aca="false">"https://"&amp;B351&amp;F351&amp;"?utm_source="&amp;D351&amp;"&amp;utm_medium="&amp;E351&amp;"&amp;utm_campaign="&amp;G351&amp;"&amp;utm_content="&amp;H351</f>
        <v>https://1clic-ia.eu/?utm_source=linkedin_company&amp;utm_medium=social&amp;utm_campaign=2610_ff_lansare&amp;utm_content=general</v>
      </c>
    </row>
    <row r="352" customFormat="false" ht="15" hidden="false" customHeight="false" outlineLevel="0" collapsed="false">
      <c r="A352" s="10" t="s">
        <v>81</v>
      </c>
      <c r="B352" s="10" t="str">
        <f aca="false">INDEX('Site-uri'!$B$2:$B$20,MATCH(A352,'Site-uri'!$A$2:$A$20,0))</f>
        <v>1clic-ia.eu</v>
      </c>
      <c r="C352" s="10" t="s">
        <v>111</v>
      </c>
      <c r="D352" s="10" t="str">
        <f aca="false">INDEX(Canale!$C$2:$C$30,MATCH(C352,Canale!$A$2:$A$30,0))</f>
        <v>linkedin_showcase</v>
      </c>
      <c r="E352" s="10" t="str">
        <f aca="false">INDEX(Canale!$D$2:$D$30,MATCH(C352,Canale!$A$2:$A$30,0))</f>
        <v>social</v>
      </c>
      <c r="F352" s="10" t="str">
        <f aca="false">INDEX('Site-uri'!$C$2:$C$20,MATCH(A352,'Site-uri'!$A$2:$A$20,0))</f>
        <v>/</v>
      </c>
      <c r="G352" s="10" t="str">
        <f aca="false">Config!$B$3</f>
        <v>2610_ff_lansare</v>
      </c>
      <c r="H352" s="10" t="str">
        <f aca="false">Config!$B$4</f>
        <v>general</v>
      </c>
      <c r="I352" s="10" t="str">
        <f aca="false">"https://"&amp;B352&amp;F352&amp;"?utm_source="&amp;D352&amp;"&amp;utm_medium="&amp;E352&amp;"&amp;utm_campaign="&amp;G352&amp;"&amp;utm_content="&amp;H352</f>
        <v>https://1clic-ia.eu/?utm_source=linkedin_showcase&amp;utm_medium=social&amp;utm_campaign=2610_ff_lansare&amp;utm_content=general</v>
      </c>
    </row>
    <row r="353" customFormat="false" ht="15" hidden="false" customHeight="false" outlineLevel="0" collapsed="false">
      <c r="A353" s="10" t="s">
        <v>81</v>
      </c>
      <c r="B353" s="10" t="str">
        <f aca="false">INDEX('Site-uri'!$B$2:$B$20,MATCH(A353,'Site-uri'!$A$2:$A$20,0))</f>
        <v>1clic-ia.eu</v>
      </c>
      <c r="C353" s="10" t="s">
        <v>114</v>
      </c>
      <c r="D353" s="10" t="str">
        <f aca="false">INDEX(Canale!$C$2:$C$30,MATCH(C353,Canale!$A$2:$A$30,0))</f>
        <v>linkedin_newsletter</v>
      </c>
      <c r="E353" s="10" t="str">
        <f aca="false">INDEX(Canale!$D$2:$D$30,MATCH(C353,Canale!$A$2:$A$30,0))</f>
        <v>social</v>
      </c>
      <c r="F353" s="10" t="str">
        <f aca="false">INDEX('Site-uri'!$C$2:$C$20,MATCH(A353,'Site-uri'!$A$2:$A$20,0))</f>
        <v>/</v>
      </c>
      <c r="G353" s="10" t="str">
        <f aca="false">Config!$B$3</f>
        <v>2610_ff_lansare</v>
      </c>
      <c r="H353" s="10" t="str">
        <f aca="false">Config!$B$4</f>
        <v>general</v>
      </c>
      <c r="I353" s="10" t="str">
        <f aca="false">"https://"&amp;B353&amp;F353&amp;"?utm_source="&amp;D353&amp;"&amp;utm_medium="&amp;E353&amp;"&amp;utm_campaign="&amp;G353&amp;"&amp;utm_content="&amp;H353</f>
        <v>https://1clic-ia.eu/?utm_source=linkedin_newsletter&amp;utm_medium=social&amp;utm_campaign=2610_ff_lansare&amp;utm_content=general</v>
      </c>
    </row>
    <row r="354" customFormat="false" ht="15" hidden="false" customHeight="false" outlineLevel="0" collapsed="false">
      <c r="A354" s="10" t="s">
        <v>81</v>
      </c>
      <c r="B354" s="10" t="str">
        <f aca="false">INDEX('Site-uri'!$B$2:$B$20,MATCH(A354,'Site-uri'!$A$2:$A$20,0))</f>
        <v>1clic-ia.eu</v>
      </c>
      <c r="C354" s="10" t="s">
        <v>117</v>
      </c>
      <c r="D354" s="10" t="str">
        <f aca="false">INDEX(Canale!$C$2:$C$30,MATCH(C354,Canale!$A$2:$A$30,0))</f>
        <v>linkedin_ads</v>
      </c>
      <c r="E354" s="10" t="str">
        <f aca="false">INDEX(Canale!$D$2:$D$30,MATCH(C354,Canale!$A$2:$A$30,0))</f>
        <v>paid_social</v>
      </c>
      <c r="F354" s="10" t="str">
        <f aca="false">INDEX('Site-uri'!$C$2:$C$20,MATCH(A354,'Site-uri'!$A$2:$A$20,0))</f>
        <v>/</v>
      </c>
      <c r="G354" s="10" t="str">
        <f aca="false">Config!$B$3</f>
        <v>2610_ff_lansare</v>
      </c>
      <c r="H354" s="10" t="str">
        <f aca="false">Config!$B$4</f>
        <v>general</v>
      </c>
      <c r="I354" s="10" t="str">
        <f aca="false">"https://"&amp;B354&amp;F354&amp;"?utm_source="&amp;D354&amp;"&amp;utm_medium="&amp;E354&amp;"&amp;utm_campaign="&amp;G354&amp;"&amp;utm_content="&amp;H354</f>
        <v>https://1clic-ia.eu/?utm_source=linkedin_ads&amp;utm_medium=paid_social&amp;utm_campaign=2610_ff_lansare&amp;utm_content=general</v>
      </c>
    </row>
    <row r="355" customFormat="false" ht="15" hidden="false" customHeight="false" outlineLevel="0" collapsed="false">
      <c r="A355" s="10" t="s">
        <v>81</v>
      </c>
      <c r="B355" s="10" t="str">
        <f aca="false">INDEX('Site-uri'!$B$2:$B$20,MATCH(A355,'Site-uri'!$A$2:$A$20,0))</f>
        <v>1clic-ia.eu</v>
      </c>
      <c r="C355" s="10" t="s">
        <v>121</v>
      </c>
      <c r="D355" s="10" t="str">
        <f aca="false">INDEX(Canale!$C$2:$C$30,MATCH(C355,Canale!$A$2:$A$30,0))</f>
        <v>linkedin_dm</v>
      </c>
      <c r="E355" s="10" t="str">
        <f aca="false">INDEX(Canale!$D$2:$D$30,MATCH(C355,Canale!$A$2:$A$30,0))</f>
        <v>dm</v>
      </c>
      <c r="F355" s="10" t="str">
        <f aca="false">INDEX('Site-uri'!$C$2:$C$20,MATCH(A355,'Site-uri'!$A$2:$A$20,0))</f>
        <v>/</v>
      </c>
      <c r="G355" s="10" t="str">
        <f aca="false">Config!$B$3</f>
        <v>2610_ff_lansare</v>
      </c>
      <c r="H355" s="10" t="str">
        <f aca="false">Config!$B$4</f>
        <v>general</v>
      </c>
      <c r="I355" s="10" t="str">
        <f aca="false">"https://"&amp;B355&amp;F355&amp;"?utm_source="&amp;D355&amp;"&amp;utm_medium="&amp;E355&amp;"&amp;utm_campaign="&amp;G355&amp;"&amp;utm_content="&amp;H355</f>
        <v>https://1clic-ia.eu/?utm_source=linkedin_dm&amp;utm_medium=dm&amp;utm_campaign=2610_ff_lansare&amp;utm_content=general</v>
      </c>
    </row>
    <row r="356" customFormat="false" ht="15" hidden="false" customHeight="false" outlineLevel="0" collapsed="false">
      <c r="A356" s="10" t="s">
        <v>81</v>
      </c>
      <c r="B356" s="10" t="str">
        <f aca="false">INDEX('Site-uri'!$B$2:$B$20,MATCH(A356,'Site-uri'!$A$2:$A$20,0))</f>
        <v>1clic-ia.eu</v>
      </c>
      <c r="C356" s="10" t="s">
        <v>125</v>
      </c>
      <c r="D356" s="10" t="str">
        <f aca="false">INDEX(Canale!$C$2:$C$30,MATCH(C356,Canale!$A$2:$A$30,0))</f>
        <v>email_outreach</v>
      </c>
      <c r="E356" s="10" t="str">
        <f aca="false">INDEX(Canale!$D$2:$D$30,MATCH(C356,Canale!$A$2:$A$30,0))</f>
        <v>email</v>
      </c>
      <c r="F356" s="10" t="str">
        <f aca="false">INDEX('Site-uri'!$C$2:$C$20,MATCH(A356,'Site-uri'!$A$2:$A$20,0))</f>
        <v>/</v>
      </c>
      <c r="G356" s="10" t="str">
        <f aca="false">Config!$B$3</f>
        <v>2610_ff_lansare</v>
      </c>
      <c r="H356" s="10" t="str">
        <f aca="false">Config!$B$4</f>
        <v>general</v>
      </c>
      <c r="I356" s="10" t="str">
        <f aca="false">"https://"&amp;B356&amp;F356&amp;"?utm_source="&amp;D356&amp;"&amp;utm_medium="&amp;E356&amp;"&amp;utm_campaign="&amp;G356&amp;"&amp;utm_content="&amp;H356</f>
        <v>https://1clic-ia.eu/?utm_source=email_outreach&amp;utm_medium=email&amp;utm_campaign=2610_ff_lansare&amp;utm_content=general</v>
      </c>
    </row>
    <row r="357" customFormat="false" ht="15" hidden="false" customHeight="false" outlineLevel="0" collapsed="false">
      <c r="A357" s="10" t="s">
        <v>81</v>
      </c>
      <c r="B357" s="10" t="str">
        <f aca="false">INDEX('Site-uri'!$B$2:$B$20,MATCH(A357,'Site-uri'!$A$2:$A$20,0))</f>
        <v>1clic-ia.eu</v>
      </c>
      <c r="C357" s="10" t="s">
        <v>130</v>
      </c>
      <c r="D357" s="10" t="str">
        <f aca="false">INDEX(Canale!$C$2:$C$30,MATCH(C357,Canale!$A$2:$A$30,0))</f>
        <v>newsletter</v>
      </c>
      <c r="E357" s="10" t="str">
        <f aca="false">INDEX(Canale!$D$2:$D$30,MATCH(C357,Canale!$A$2:$A$30,0))</f>
        <v>email</v>
      </c>
      <c r="F357" s="10" t="str">
        <f aca="false">INDEX('Site-uri'!$C$2:$C$20,MATCH(A357,'Site-uri'!$A$2:$A$20,0))</f>
        <v>/</v>
      </c>
      <c r="G357" s="10" t="str">
        <f aca="false">Config!$B$3</f>
        <v>2610_ff_lansare</v>
      </c>
      <c r="H357" s="10" t="str">
        <f aca="false">Config!$B$4</f>
        <v>general</v>
      </c>
      <c r="I357" s="10" t="str">
        <f aca="false">"https://"&amp;B357&amp;F357&amp;"?utm_source="&amp;D357&amp;"&amp;utm_medium="&amp;E357&amp;"&amp;utm_campaign="&amp;G357&amp;"&amp;utm_content="&amp;H357</f>
        <v>https://1clic-ia.eu/?utm_source=newsletter&amp;utm_medium=email&amp;utm_campaign=2610_ff_lansare&amp;utm_content=general</v>
      </c>
    </row>
    <row r="358" customFormat="false" ht="15" hidden="false" customHeight="false" outlineLevel="0" collapsed="false">
      <c r="A358" s="10" t="s">
        <v>81</v>
      </c>
      <c r="B358" s="10" t="str">
        <f aca="false">INDEX('Site-uri'!$B$2:$B$20,MATCH(A358,'Site-uri'!$A$2:$A$20,0))</f>
        <v>1clic-ia.eu</v>
      </c>
      <c r="C358" s="10" t="s">
        <v>133</v>
      </c>
      <c r="D358" s="10" t="str">
        <f aca="false">INDEX(Canale!$C$2:$C$30,MATCH(C358,Canale!$A$2:$A$30,0))</f>
        <v>email_signature</v>
      </c>
      <c r="E358" s="10" t="str">
        <f aca="false">INDEX(Canale!$D$2:$D$30,MATCH(C358,Canale!$A$2:$A$30,0))</f>
        <v>email</v>
      </c>
      <c r="F358" s="10" t="str">
        <f aca="false">INDEX('Site-uri'!$C$2:$C$20,MATCH(A358,'Site-uri'!$A$2:$A$20,0))</f>
        <v>/</v>
      </c>
      <c r="G358" s="10" t="str">
        <f aca="false">Config!$B$3</f>
        <v>2610_ff_lansare</v>
      </c>
      <c r="H358" s="10" t="str">
        <f aca="false">Config!$B$4</f>
        <v>general</v>
      </c>
      <c r="I358" s="10" t="str">
        <f aca="false">"https://"&amp;B358&amp;F358&amp;"?utm_source="&amp;D358&amp;"&amp;utm_medium="&amp;E358&amp;"&amp;utm_campaign="&amp;G358&amp;"&amp;utm_content="&amp;H358</f>
        <v>https://1clic-ia.eu/?utm_source=email_signature&amp;utm_medium=email&amp;utm_campaign=2610_ff_lansare&amp;utm_content=general</v>
      </c>
    </row>
    <row r="359" customFormat="false" ht="15" hidden="false" customHeight="false" outlineLevel="0" collapsed="false">
      <c r="A359" s="10" t="s">
        <v>81</v>
      </c>
      <c r="B359" s="10" t="str">
        <f aca="false">INDEX('Site-uri'!$B$2:$B$20,MATCH(A359,'Site-uri'!$A$2:$A$20,0))</f>
        <v>1clic-ia.eu</v>
      </c>
      <c r="C359" s="10" t="s">
        <v>136</v>
      </c>
      <c r="D359" s="10" t="str">
        <f aca="false">INDEX(Canale!$C$2:$C$30,MATCH(C359,Canale!$A$2:$A$30,0))</f>
        <v>whatsapp</v>
      </c>
      <c r="E359" s="10" t="str">
        <f aca="false">INDEX(Canale!$D$2:$D$30,MATCH(C359,Canale!$A$2:$A$30,0))</f>
        <v>dm</v>
      </c>
      <c r="F359" s="10" t="str">
        <f aca="false">INDEX('Site-uri'!$C$2:$C$20,MATCH(A359,'Site-uri'!$A$2:$A$20,0))</f>
        <v>/</v>
      </c>
      <c r="G359" s="10" t="str">
        <f aca="false">Config!$B$3</f>
        <v>2610_ff_lansare</v>
      </c>
      <c r="H359" s="10" t="str">
        <f aca="false">Config!$B$4</f>
        <v>general</v>
      </c>
      <c r="I359" s="10" t="str">
        <f aca="false">"https://"&amp;B359&amp;F359&amp;"?utm_source="&amp;D359&amp;"&amp;utm_medium="&amp;E359&amp;"&amp;utm_campaign="&amp;G359&amp;"&amp;utm_content="&amp;H359</f>
        <v>https://1clic-ia.eu/?utm_source=whatsapp&amp;utm_medium=dm&amp;utm_campaign=2610_ff_lansare&amp;utm_content=general</v>
      </c>
    </row>
    <row r="360" customFormat="false" ht="15" hidden="false" customHeight="false" outlineLevel="0" collapsed="false">
      <c r="A360" s="10" t="s">
        <v>81</v>
      </c>
      <c r="B360" s="10" t="str">
        <f aca="false">INDEX('Site-uri'!$B$2:$B$20,MATCH(A360,'Site-uri'!$A$2:$A$20,0))</f>
        <v>1clic-ia.eu</v>
      </c>
      <c r="C360" s="10" t="s">
        <v>140</v>
      </c>
      <c r="D360" s="10" t="str">
        <f aca="false">INDEX(Canale!$C$2:$C$30,MATCH(C360,Canale!$A$2:$A$30,0))</f>
        <v>google</v>
      </c>
      <c r="E360" s="10" t="str">
        <f aca="false">INDEX(Canale!$D$2:$D$30,MATCH(C360,Canale!$A$2:$A$30,0))</f>
        <v>cpc</v>
      </c>
      <c r="F360" s="10" t="str">
        <f aca="false">INDEX('Site-uri'!$C$2:$C$20,MATCH(A360,'Site-uri'!$A$2:$A$20,0))</f>
        <v>/</v>
      </c>
      <c r="G360" s="10" t="str">
        <f aca="false">Config!$B$3</f>
        <v>2610_ff_lansare</v>
      </c>
      <c r="H360" s="10" t="str">
        <f aca="false">Config!$B$4</f>
        <v>general</v>
      </c>
      <c r="I360" s="10" t="str">
        <f aca="false">"https://"&amp;B360&amp;F360&amp;"?utm_source="&amp;D360&amp;"&amp;utm_medium="&amp;E360&amp;"&amp;utm_campaign="&amp;G360&amp;"&amp;utm_content="&amp;H360</f>
        <v>https://1clic-ia.eu/?utm_source=google&amp;utm_medium=cpc&amp;utm_campaign=2610_ff_lansare&amp;utm_content=general</v>
      </c>
    </row>
    <row r="361" customFormat="false" ht="15" hidden="false" customHeight="false" outlineLevel="0" collapsed="false">
      <c r="A361" s="10" t="s">
        <v>81</v>
      </c>
      <c r="B361" s="10" t="str">
        <f aca="false">INDEX('Site-uri'!$B$2:$B$20,MATCH(A361,'Site-uri'!$A$2:$A$20,0))</f>
        <v>1clic-ia.eu</v>
      </c>
      <c r="C361" s="10" t="s">
        <v>145</v>
      </c>
      <c r="D361" s="10" t="str">
        <f aca="false">INDEX(Canale!$C$2:$C$30,MATCH(C361,Canale!$A$2:$A$30,0))</f>
        <v>bing</v>
      </c>
      <c r="E361" s="10" t="str">
        <f aca="false">INDEX(Canale!$D$2:$D$30,MATCH(C361,Canale!$A$2:$A$30,0))</f>
        <v>cpc</v>
      </c>
      <c r="F361" s="10" t="str">
        <f aca="false">INDEX('Site-uri'!$C$2:$C$20,MATCH(A361,'Site-uri'!$A$2:$A$20,0))</f>
        <v>/</v>
      </c>
      <c r="G361" s="10" t="str">
        <f aca="false">Config!$B$3</f>
        <v>2610_ff_lansare</v>
      </c>
      <c r="H361" s="10" t="str">
        <f aca="false">Config!$B$4</f>
        <v>general</v>
      </c>
      <c r="I361" s="10" t="str">
        <f aca="false">"https://"&amp;B361&amp;F361&amp;"?utm_source="&amp;D361&amp;"&amp;utm_medium="&amp;E361&amp;"&amp;utm_campaign="&amp;G361&amp;"&amp;utm_content="&amp;H361</f>
        <v>https://1clic-ia.eu/?utm_source=bing&amp;utm_medium=cpc&amp;utm_campaign=2610_ff_lansare&amp;utm_content=general</v>
      </c>
    </row>
    <row r="362" customFormat="false" ht="15" hidden="false" customHeight="false" outlineLevel="0" collapsed="false">
      <c r="A362" s="10" t="s">
        <v>81</v>
      </c>
      <c r="B362" s="10" t="str">
        <f aca="false">INDEX('Site-uri'!$B$2:$B$20,MATCH(A362,'Site-uri'!$A$2:$A$20,0))</f>
        <v>1clic-ia.eu</v>
      </c>
      <c r="C362" s="10" t="s">
        <v>148</v>
      </c>
      <c r="D362" s="10" t="str">
        <f aca="false">INDEX(Canale!$C$2:$C$30,MATCH(C362,Canale!$A$2:$A$30,0))</f>
        <v>facebook</v>
      </c>
      <c r="E362" s="10" t="str">
        <f aca="false">INDEX(Canale!$D$2:$D$30,MATCH(C362,Canale!$A$2:$A$30,0))</f>
        <v>social</v>
      </c>
      <c r="F362" s="10" t="str">
        <f aca="false">INDEX('Site-uri'!$C$2:$C$20,MATCH(A362,'Site-uri'!$A$2:$A$20,0))</f>
        <v>/</v>
      </c>
      <c r="G362" s="10" t="str">
        <f aca="false">Config!$B$3</f>
        <v>2610_ff_lansare</v>
      </c>
      <c r="H362" s="10" t="str">
        <f aca="false">Config!$B$4</f>
        <v>general</v>
      </c>
      <c r="I362" s="10" t="str">
        <f aca="false">"https://"&amp;B362&amp;F362&amp;"?utm_source="&amp;D362&amp;"&amp;utm_medium="&amp;E362&amp;"&amp;utm_campaign="&amp;G362&amp;"&amp;utm_content="&amp;H362</f>
        <v>https://1clic-ia.eu/?utm_source=facebook&amp;utm_medium=social&amp;utm_campaign=2610_ff_lansare&amp;utm_content=general</v>
      </c>
    </row>
    <row r="363" customFormat="false" ht="15" hidden="false" customHeight="false" outlineLevel="0" collapsed="false">
      <c r="A363" s="10" t="s">
        <v>81</v>
      </c>
      <c r="B363" s="10" t="str">
        <f aca="false">INDEX('Site-uri'!$B$2:$B$20,MATCH(A363,'Site-uri'!$A$2:$A$20,0))</f>
        <v>1clic-ia.eu</v>
      </c>
      <c r="C363" s="10" t="s">
        <v>152</v>
      </c>
      <c r="D363" s="10" t="str">
        <f aca="false">INDEX(Canale!$C$2:$C$30,MATCH(C363,Canale!$A$2:$A$30,0))</f>
        <v>x</v>
      </c>
      <c r="E363" s="10" t="str">
        <f aca="false">INDEX(Canale!$D$2:$D$30,MATCH(C363,Canale!$A$2:$A$30,0))</f>
        <v>social</v>
      </c>
      <c r="F363" s="10" t="str">
        <f aca="false">INDEX('Site-uri'!$C$2:$C$20,MATCH(A363,'Site-uri'!$A$2:$A$20,0))</f>
        <v>/</v>
      </c>
      <c r="G363" s="10" t="str">
        <f aca="false">Config!$B$3</f>
        <v>2610_ff_lansare</v>
      </c>
      <c r="H363" s="10" t="str">
        <f aca="false">Config!$B$4</f>
        <v>general</v>
      </c>
      <c r="I363" s="10" t="str">
        <f aca="false">"https://"&amp;B363&amp;F363&amp;"?utm_source="&amp;D363&amp;"&amp;utm_medium="&amp;E363&amp;"&amp;utm_campaign="&amp;G363&amp;"&amp;utm_content="&amp;H363</f>
        <v>https://1clic-ia.eu/?utm_source=x&amp;utm_medium=social&amp;utm_campaign=2610_ff_lansare&amp;utm_content=general</v>
      </c>
    </row>
    <row r="364" customFormat="false" ht="15" hidden="false" customHeight="false" outlineLevel="0" collapsed="false">
      <c r="A364" s="10" t="s">
        <v>81</v>
      </c>
      <c r="B364" s="10" t="str">
        <f aca="false">INDEX('Site-uri'!$B$2:$B$20,MATCH(A364,'Site-uri'!$A$2:$A$20,0))</f>
        <v>1clic-ia.eu</v>
      </c>
      <c r="C364" s="10" t="s">
        <v>154</v>
      </c>
      <c r="D364" s="10" t="str">
        <f aca="false">INDEX(Canale!$C$2:$C$30,MATCH(C364,Canale!$A$2:$A$30,0))</f>
        <v>youtube</v>
      </c>
      <c r="E364" s="10" t="str">
        <f aca="false">INDEX(Canale!$D$2:$D$30,MATCH(C364,Canale!$A$2:$A$30,0))</f>
        <v>video</v>
      </c>
      <c r="F364" s="10" t="str">
        <f aca="false">INDEX('Site-uri'!$C$2:$C$20,MATCH(A364,'Site-uri'!$A$2:$A$20,0))</f>
        <v>/</v>
      </c>
      <c r="G364" s="10" t="str">
        <f aca="false">Config!$B$3</f>
        <v>2610_ff_lansare</v>
      </c>
      <c r="H364" s="10" t="str">
        <f aca="false">Config!$B$4</f>
        <v>general</v>
      </c>
      <c r="I364" s="10" t="str">
        <f aca="false">"https://"&amp;B364&amp;F364&amp;"?utm_source="&amp;D364&amp;"&amp;utm_medium="&amp;E364&amp;"&amp;utm_campaign="&amp;G364&amp;"&amp;utm_content="&amp;H364</f>
        <v>https://1clic-ia.eu/?utm_source=youtube&amp;utm_medium=video&amp;utm_campaign=2610_ff_lansare&amp;utm_content=general</v>
      </c>
    </row>
    <row r="365" customFormat="false" ht="15" hidden="false" customHeight="false" outlineLevel="0" collapsed="false">
      <c r="A365" s="10" t="s">
        <v>81</v>
      </c>
      <c r="B365" s="10" t="str">
        <f aca="false">INDEX('Site-uri'!$B$2:$B$20,MATCH(A365,'Site-uri'!$A$2:$A$20,0))</f>
        <v>1clic-ia.eu</v>
      </c>
      <c r="C365" s="10" t="s">
        <v>159</v>
      </c>
      <c r="D365" s="10" t="str">
        <f aca="false">INDEX(Canale!$C$2:$C$30,MATCH(C365,Canale!$A$2:$A$30,0))</f>
        <v>medium</v>
      </c>
      <c r="E365" s="10" t="str">
        <f aca="false">INDEX(Canale!$D$2:$D$30,MATCH(C365,Canale!$A$2:$A$30,0))</f>
        <v>content</v>
      </c>
      <c r="F365" s="10" t="str">
        <f aca="false">INDEX('Site-uri'!$C$2:$C$20,MATCH(A365,'Site-uri'!$A$2:$A$20,0))</f>
        <v>/</v>
      </c>
      <c r="G365" s="10" t="str">
        <f aca="false">Config!$B$3</f>
        <v>2610_ff_lansare</v>
      </c>
      <c r="H365" s="10" t="str">
        <f aca="false">Config!$B$4</f>
        <v>general</v>
      </c>
      <c r="I365" s="10" t="str">
        <f aca="false">"https://"&amp;B365&amp;F365&amp;"?utm_source="&amp;D365&amp;"&amp;utm_medium="&amp;E365&amp;"&amp;utm_campaign="&amp;G365&amp;"&amp;utm_content="&amp;H365</f>
        <v>https://1clic-ia.eu/?utm_source=medium&amp;utm_medium=content&amp;utm_campaign=2610_ff_lansare&amp;utm_content=general</v>
      </c>
    </row>
    <row r="366" customFormat="false" ht="15" hidden="false" customHeight="false" outlineLevel="0" collapsed="false">
      <c r="A366" s="10" t="s">
        <v>81</v>
      </c>
      <c r="B366" s="10" t="str">
        <f aca="false">INDEX('Site-uri'!$B$2:$B$20,MATCH(A366,'Site-uri'!$A$2:$A$20,0))</f>
        <v>1clic-ia.eu</v>
      </c>
      <c r="C366" s="10" t="s">
        <v>164</v>
      </c>
      <c r="D366" s="10" t="str">
        <f aca="false">INDEX(Canale!$C$2:$C$30,MATCH(C366,Canale!$A$2:$A$30,0))</f>
        <v>crunchbase</v>
      </c>
      <c r="E366" s="10" t="str">
        <f aca="false">INDEX(Canale!$D$2:$D$30,MATCH(C366,Canale!$A$2:$A$30,0))</f>
        <v>referral</v>
      </c>
      <c r="F366" s="10" t="str">
        <f aca="false">INDEX('Site-uri'!$C$2:$C$20,MATCH(A366,'Site-uri'!$A$2:$A$20,0))</f>
        <v>/</v>
      </c>
      <c r="G366" s="10" t="str">
        <f aca="false">Config!$B$3</f>
        <v>2610_ff_lansare</v>
      </c>
      <c r="H366" s="10" t="str">
        <f aca="false">Config!$B$4</f>
        <v>general</v>
      </c>
      <c r="I366" s="10" t="str">
        <f aca="false">"https://"&amp;B366&amp;F366&amp;"?utm_source="&amp;D366&amp;"&amp;utm_medium="&amp;E366&amp;"&amp;utm_campaign="&amp;G366&amp;"&amp;utm_content="&amp;H366</f>
        <v>https://1clic-ia.eu/?utm_source=crunchbase&amp;utm_medium=referral&amp;utm_campaign=2610_ff_lansare&amp;utm_content=general</v>
      </c>
    </row>
    <row r="367" customFormat="false" ht="15" hidden="false" customHeight="false" outlineLevel="0" collapsed="false">
      <c r="A367" s="10" t="s">
        <v>81</v>
      </c>
      <c r="B367" s="10" t="str">
        <f aca="false">INDEX('Site-uri'!$B$2:$B$20,MATCH(A367,'Site-uri'!$A$2:$A$20,0))</f>
        <v>1clic-ia.eu</v>
      </c>
      <c r="C367" s="10" t="s">
        <v>169</v>
      </c>
      <c r="D367" s="10" t="str">
        <f aca="false">INDEX(Canale!$C$2:$C$30,MATCH(C367,Canale!$A$2:$A$30,0))</f>
        <v>zenodo</v>
      </c>
      <c r="E367" s="10" t="str">
        <f aca="false">INDEX(Canale!$D$2:$D$30,MATCH(C367,Canale!$A$2:$A$30,0))</f>
        <v>referral</v>
      </c>
      <c r="F367" s="10" t="str">
        <f aca="false">INDEX('Site-uri'!$C$2:$C$20,MATCH(A367,'Site-uri'!$A$2:$A$20,0))</f>
        <v>/</v>
      </c>
      <c r="G367" s="10" t="str">
        <f aca="false">Config!$B$3</f>
        <v>2610_ff_lansare</v>
      </c>
      <c r="H367" s="10" t="str">
        <f aca="false">Config!$B$4</f>
        <v>general</v>
      </c>
      <c r="I367" s="10" t="str">
        <f aca="false">"https://"&amp;B367&amp;F367&amp;"?utm_source="&amp;D367&amp;"&amp;utm_medium="&amp;E367&amp;"&amp;utm_campaign="&amp;G367&amp;"&amp;utm_content="&amp;H367</f>
        <v>https://1clic-ia.eu/?utm_source=zenodo&amp;utm_medium=referral&amp;utm_campaign=2610_ff_lansare&amp;utm_content=general</v>
      </c>
    </row>
    <row r="368" customFormat="false" ht="15" hidden="false" customHeight="false" outlineLevel="0" collapsed="false">
      <c r="A368" s="10" t="s">
        <v>81</v>
      </c>
      <c r="B368" s="10" t="str">
        <f aca="false">INDEX('Site-uri'!$B$2:$B$20,MATCH(A368,'Site-uri'!$A$2:$A$20,0))</f>
        <v>1clic-ia.eu</v>
      </c>
      <c r="C368" s="10" t="s">
        <v>172</v>
      </c>
      <c r="D368" s="10" t="str">
        <f aca="false">INDEX(Canale!$C$2:$C$30,MATCH(C368,Canale!$A$2:$A$30,0))</f>
        <v>orcid</v>
      </c>
      <c r="E368" s="10" t="str">
        <f aca="false">INDEX(Canale!$D$2:$D$30,MATCH(C368,Canale!$A$2:$A$30,0))</f>
        <v>referral</v>
      </c>
      <c r="F368" s="10" t="str">
        <f aca="false">INDEX('Site-uri'!$C$2:$C$20,MATCH(A368,'Site-uri'!$A$2:$A$20,0))</f>
        <v>/</v>
      </c>
      <c r="G368" s="10" t="str">
        <f aca="false">Config!$B$3</f>
        <v>2610_ff_lansare</v>
      </c>
      <c r="H368" s="10" t="str">
        <f aca="false">Config!$B$4</f>
        <v>general</v>
      </c>
      <c r="I368" s="10" t="str">
        <f aca="false">"https://"&amp;B368&amp;F368&amp;"?utm_source="&amp;D368&amp;"&amp;utm_medium="&amp;E368&amp;"&amp;utm_campaign="&amp;G368&amp;"&amp;utm_content="&amp;H368</f>
        <v>https://1clic-ia.eu/?utm_source=orcid&amp;utm_medium=referral&amp;utm_campaign=2610_ff_lansare&amp;utm_content=general</v>
      </c>
    </row>
    <row r="369" customFormat="false" ht="15" hidden="false" customHeight="false" outlineLevel="0" collapsed="false">
      <c r="A369" s="10" t="s">
        <v>81</v>
      </c>
      <c r="B369" s="10" t="str">
        <f aca="false">INDEX('Site-uri'!$B$2:$B$20,MATCH(A369,'Site-uri'!$A$2:$A$20,0))</f>
        <v>1clic-ia.eu</v>
      </c>
      <c r="C369" s="10" t="s">
        <v>175</v>
      </c>
      <c r="D369" s="10" t="str">
        <f aca="false">INDEX(Canale!$C$2:$C$30,MATCH(C369,Canale!$A$2:$A$30,0))</f>
        <v>github</v>
      </c>
      <c r="E369" s="10" t="str">
        <f aca="false">INDEX(Canale!$D$2:$D$30,MATCH(C369,Canale!$A$2:$A$30,0))</f>
        <v>referral</v>
      </c>
      <c r="F369" s="10" t="str">
        <f aca="false">INDEX('Site-uri'!$C$2:$C$20,MATCH(A369,'Site-uri'!$A$2:$A$20,0))</f>
        <v>/</v>
      </c>
      <c r="G369" s="10" t="str">
        <f aca="false">Config!$B$3</f>
        <v>2610_ff_lansare</v>
      </c>
      <c r="H369" s="10" t="str">
        <f aca="false">Config!$B$4</f>
        <v>general</v>
      </c>
      <c r="I369" s="10" t="str">
        <f aca="false">"https://"&amp;B369&amp;F369&amp;"?utm_source="&amp;D369&amp;"&amp;utm_medium="&amp;E369&amp;"&amp;utm_campaign="&amp;G369&amp;"&amp;utm_content="&amp;H369</f>
        <v>https://1clic-ia.eu/?utm_source=github&amp;utm_medium=referral&amp;utm_campaign=2610_ff_lansare&amp;utm_content=general</v>
      </c>
    </row>
    <row r="370" customFormat="false" ht="15" hidden="false" customHeight="false" outlineLevel="0" collapsed="false">
      <c r="A370" s="10" t="s">
        <v>81</v>
      </c>
      <c r="B370" s="10" t="str">
        <f aca="false">INDEX('Site-uri'!$B$2:$B$20,MATCH(A370,'Site-uri'!$A$2:$A$20,0))</f>
        <v>1clic-ia.eu</v>
      </c>
      <c r="C370" s="10" t="s">
        <v>178</v>
      </c>
      <c r="D370" s="10" t="str">
        <f aca="false">INDEX(Canale!$C$2:$C$30,MATCH(C370,Canale!$A$2:$A$30,0))</f>
        <v>kdp_book</v>
      </c>
      <c r="E370" s="10" t="str">
        <f aca="false">INDEX(Canale!$D$2:$D$30,MATCH(C370,Canale!$A$2:$A$30,0))</f>
        <v>book</v>
      </c>
      <c r="F370" s="10" t="str">
        <f aca="false">INDEX('Site-uri'!$C$2:$C$20,MATCH(A370,'Site-uri'!$A$2:$A$20,0))</f>
        <v>/</v>
      </c>
      <c r="G370" s="10" t="str">
        <f aca="false">Config!$B$3</f>
        <v>2610_ff_lansare</v>
      </c>
      <c r="H370" s="10" t="str">
        <f aca="false">Config!$B$4</f>
        <v>general</v>
      </c>
      <c r="I370" s="10" t="str">
        <f aca="false">"https://"&amp;B370&amp;F370&amp;"?utm_source="&amp;D370&amp;"&amp;utm_medium="&amp;E370&amp;"&amp;utm_campaign="&amp;G370&amp;"&amp;utm_content="&amp;H370</f>
        <v>https://1clic-ia.eu/?utm_source=kdp_book&amp;utm_medium=book&amp;utm_campaign=2610_ff_lansare&amp;utm_content=general</v>
      </c>
    </row>
    <row r="371" customFormat="false" ht="15" hidden="false" customHeight="false" outlineLevel="0" collapsed="false">
      <c r="A371" s="10" t="s">
        <v>81</v>
      </c>
      <c r="B371" s="10" t="str">
        <f aca="false">INDEX('Site-uri'!$B$2:$B$20,MATCH(A371,'Site-uri'!$A$2:$A$20,0))</f>
        <v>1clic-ia.eu</v>
      </c>
      <c r="C371" s="10" t="s">
        <v>183</v>
      </c>
      <c r="D371" s="10" t="str">
        <f aca="false">INDEX(Canale!$C$2:$C$30,MATCH(C371,Canale!$A$2:$A$30,0))</f>
        <v>udemy</v>
      </c>
      <c r="E371" s="10" t="str">
        <f aca="false">INDEX(Canale!$D$2:$D$30,MATCH(C371,Canale!$A$2:$A$30,0))</f>
        <v>course</v>
      </c>
      <c r="F371" s="10" t="str">
        <f aca="false">INDEX('Site-uri'!$C$2:$C$20,MATCH(A371,'Site-uri'!$A$2:$A$20,0))</f>
        <v>/</v>
      </c>
      <c r="G371" s="10" t="str">
        <f aca="false">Config!$B$3</f>
        <v>2610_ff_lansare</v>
      </c>
      <c r="H371" s="10" t="str">
        <f aca="false">Config!$B$4</f>
        <v>general</v>
      </c>
      <c r="I371" s="10" t="str">
        <f aca="false">"https://"&amp;B371&amp;F371&amp;"?utm_source="&amp;D371&amp;"&amp;utm_medium="&amp;E371&amp;"&amp;utm_campaign="&amp;G371&amp;"&amp;utm_content="&amp;H371</f>
        <v>https://1clic-ia.eu/?utm_source=udemy&amp;utm_medium=course&amp;utm_campaign=2610_ff_lansare&amp;utm_content=general</v>
      </c>
    </row>
    <row r="372" customFormat="false" ht="15" hidden="false" customHeight="false" outlineLevel="0" collapsed="false">
      <c r="A372" s="10" t="s">
        <v>81</v>
      </c>
      <c r="B372" s="10" t="str">
        <f aca="false">INDEX('Site-uri'!$B$2:$B$20,MATCH(A372,'Site-uri'!$A$2:$A$20,0))</f>
        <v>1clic-ia.eu</v>
      </c>
      <c r="C372" s="10" t="s">
        <v>186</v>
      </c>
      <c r="D372" s="10" t="str">
        <f aca="false">INDEX(Canale!$C$2:$C$30,MATCH(C372,Canale!$A$2:$A$30,0))</f>
        <v>directory</v>
      </c>
      <c r="E372" s="10" t="str">
        <f aca="false">INDEX(Canale!$D$2:$D$30,MATCH(C372,Canale!$A$2:$A$30,0))</f>
        <v>referral</v>
      </c>
      <c r="F372" s="10" t="str">
        <f aca="false">INDEX('Site-uri'!$C$2:$C$20,MATCH(A372,'Site-uri'!$A$2:$A$20,0))</f>
        <v>/</v>
      </c>
      <c r="G372" s="10" t="str">
        <f aca="false">Config!$B$3</f>
        <v>2610_ff_lansare</v>
      </c>
      <c r="H372" s="10" t="str">
        <f aca="false">Config!$B$4</f>
        <v>general</v>
      </c>
      <c r="I372" s="10" t="str">
        <f aca="false">"https://"&amp;B372&amp;F372&amp;"?utm_source="&amp;D372&amp;"&amp;utm_medium="&amp;E372&amp;"&amp;utm_campaign="&amp;G372&amp;"&amp;utm_content="&amp;H372</f>
        <v>https://1clic-ia.eu/?utm_source=directory&amp;utm_medium=referral&amp;utm_campaign=2610_ff_lansare&amp;utm_content=general</v>
      </c>
    </row>
    <row r="373" customFormat="false" ht="15" hidden="false" customHeight="false" outlineLevel="0" collapsed="false">
      <c r="A373" s="10" t="s">
        <v>81</v>
      </c>
      <c r="B373" s="10" t="str">
        <f aca="false">INDEX('Site-uri'!$B$2:$B$20,MATCH(A373,'Site-uri'!$A$2:$A$20,0))</f>
        <v>1clic-ia.eu</v>
      </c>
      <c r="C373" s="10" t="s">
        <v>190</v>
      </c>
      <c r="D373" s="10" t="str">
        <f aca="false">INDEX(Canale!$C$2:$C$30,MATCH(C373,Canale!$A$2:$A$30,0))</f>
        <v>partner</v>
      </c>
      <c r="E373" s="10" t="str">
        <f aca="false">INDEX(Canale!$D$2:$D$30,MATCH(C373,Canale!$A$2:$A$30,0))</f>
        <v>partner</v>
      </c>
      <c r="F373" s="10" t="str">
        <f aca="false">INDEX('Site-uri'!$C$2:$C$20,MATCH(A373,'Site-uri'!$A$2:$A$20,0))</f>
        <v>/</v>
      </c>
      <c r="G373" s="10" t="str">
        <f aca="false">Config!$B$3</f>
        <v>2610_ff_lansare</v>
      </c>
      <c r="H373" s="10" t="str">
        <f aca="false">Config!$B$4</f>
        <v>general</v>
      </c>
      <c r="I373" s="10" t="str">
        <f aca="false">"https://"&amp;B373&amp;F373&amp;"?utm_source="&amp;D373&amp;"&amp;utm_medium="&amp;E373&amp;"&amp;utm_campaign="&amp;G373&amp;"&amp;utm_content="&amp;H373</f>
        <v>https://1clic-ia.eu/?utm_source=partner&amp;utm_medium=partner&amp;utm_campaign=2610_ff_lansare&amp;utm_content=general</v>
      </c>
    </row>
    <row r="374" customFormat="false" ht="15" hidden="false" customHeight="false" outlineLevel="0" collapsed="false">
      <c r="A374" s="10" t="s">
        <v>81</v>
      </c>
      <c r="B374" s="10" t="str">
        <f aca="false">INDEX('Site-uri'!$B$2:$B$20,MATCH(A374,'Site-uri'!$A$2:$A$20,0))</f>
        <v>1clic-ia.eu</v>
      </c>
      <c r="C374" s="10" t="s">
        <v>192</v>
      </c>
      <c r="D374" s="10" t="str">
        <f aca="false">INDEX(Canale!$C$2:$C$30,MATCH(C374,Canale!$A$2:$A$30,0))</f>
        <v>pdf_proposal</v>
      </c>
      <c r="E374" s="10" t="str">
        <f aca="false">INDEX(Canale!$D$2:$D$30,MATCH(C374,Canale!$A$2:$A$30,0))</f>
        <v>document</v>
      </c>
      <c r="F374" s="10" t="str">
        <f aca="false">INDEX('Site-uri'!$C$2:$C$20,MATCH(A374,'Site-uri'!$A$2:$A$20,0))</f>
        <v>/</v>
      </c>
      <c r="G374" s="10" t="str">
        <f aca="false">Config!$B$3</f>
        <v>2610_ff_lansare</v>
      </c>
      <c r="H374" s="10" t="str">
        <f aca="false">Config!$B$4</f>
        <v>general</v>
      </c>
      <c r="I374" s="10" t="str">
        <f aca="false">"https://"&amp;B374&amp;F374&amp;"?utm_source="&amp;D374&amp;"&amp;utm_medium="&amp;E374&amp;"&amp;utm_campaign="&amp;G374&amp;"&amp;utm_content="&amp;H374</f>
        <v>https://1clic-ia.eu/?utm_source=pdf_proposal&amp;utm_medium=document&amp;utm_campaign=2610_ff_lansare&amp;utm_content=general</v>
      </c>
    </row>
    <row r="375" customFormat="false" ht="15" hidden="false" customHeight="false" outlineLevel="0" collapsed="false">
      <c r="A375" s="10" t="s">
        <v>81</v>
      </c>
      <c r="B375" s="10" t="str">
        <f aca="false">INDEX('Site-uri'!$B$2:$B$20,MATCH(A375,'Site-uri'!$A$2:$A$20,0))</f>
        <v>1clic-ia.eu</v>
      </c>
      <c r="C375" s="10" t="s">
        <v>197</v>
      </c>
      <c r="D375" s="10" t="str">
        <f aca="false">INDEX(Canale!$C$2:$C$30,MATCH(C375,Canale!$A$2:$A$30,0))</f>
        <v>qr_print</v>
      </c>
      <c r="E375" s="10" t="str">
        <f aca="false">INDEX(Canale!$D$2:$D$30,MATCH(C375,Canale!$A$2:$A$30,0))</f>
        <v>qr</v>
      </c>
      <c r="F375" s="10" t="str">
        <f aca="false">INDEX('Site-uri'!$C$2:$C$20,MATCH(A375,'Site-uri'!$A$2:$A$20,0))</f>
        <v>/</v>
      </c>
      <c r="G375" s="10" t="str">
        <f aca="false">Config!$B$3</f>
        <v>2610_ff_lansare</v>
      </c>
      <c r="H375" s="10" t="str">
        <f aca="false">Config!$B$4</f>
        <v>general</v>
      </c>
      <c r="I375" s="10" t="str">
        <f aca="false">"https://"&amp;B375&amp;F375&amp;"?utm_source="&amp;D375&amp;"&amp;utm_medium="&amp;E375&amp;"&amp;utm_campaign="&amp;G375&amp;"&amp;utm_content="&amp;H375</f>
        <v>https://1clic-ia.eu/?utm_source=qr_print&amp;utm_medium=qr&amp;utm_campaign=2610_ff_lansare&amp;utm_content=general</v>
      </c>
    </row>
    <row r="376" customFormat="false" ht="15" hidden="false" customHeight="false" outlineLevel="0" collapsed="false">
      <c r="A376" s="10" t="s">
        <v>81</v>
      </c>
      <c r="B376" s="10" t="str">
        <f aca="false">INDEX('Site-uri'!$B$2:$B$20,MATCH(A376,'Site-uri'!$A$2:$A$20,0))</f>
        <v>1clic-ia.eu</v>
      </c>
      <c r="C376" s="10" t="s">
        <v>201</v>
      </c>
      <c r="D376" s="10" t="str">
        <f aca="false">INDEX(Canale!$C$2:$C$30,MATCH(C376,Canale!$A$2:$A$30,0))</f>
        <v>event</v>
      </c>
      <c r="E376" s="10" t="str">
        <f aca="false">INDEX(Canale!$D$2:$D$30,MATCH(C376,Canale!$A$2:$A$30,0))</f>
        <v>event</v>
      </c>
      <c r="F376" s="10" t="str">
        <f aca="false">INDEX('Site-uri'!$C$2:$C$20,MATCH(A376,'Site-uri'!$A$2:$A$20,0))</f>
        <v>/</v>
      </c>
      <c r="G376" s="10" t="str">
        <f aca="false">Config!$B$3</f>
        <v>2610_ff_lansare</v>
      </c>
      <c r="H376" s="10" t="str">
        <f aca="false">Config!$B$4</f>
        <v>general</v>
      </c>
      <c r="I376" s="10" t="str">
        <f aca="false">"https://"&amp;B376&amp;F376&amp;"?utm_source="&amp;D376&amp;"&amp;utm_medium="&amp;E376&amp;"&amp;utm_campaign="&amp;G376&amp;"&amp;utm_content="&amp;H376</f>
        <v>https://1clic-ia.eu/?utm_source=event&amp;utm_medium=event&amp;utm_campaign=2610_ff_lansare&amp;utm_content=general</v>
      </c>
    </row>
    <row r="377" customFormat="false" ht="15" hidden="false" customHeight="false" outlineLevel="0" collapsed="false">
      <c r="A377" s="10" t="s">
        <v>81</v>
      </c>
      <c r="B377" s="10" t="str">
        <f aca="false">INDEX('Site-uri'!$B$2:$B$20,MATCH(A377,'Site-uri'!$A$2:$A$20,0))</f>
        <v>1clic-ia.eu</v>
      </c>
      <c r="C377" s="10" t="s">
        <v>203</v>
      </c>
      <c r="D377" s="10" t="str">
        <f aca="false">INDEX(Canale!$C$2:$C$30,MATCH(C377,Canale!$A$2:$A$30,0))</f>
        <v>a2a_agent_card</v>
      </c>
      <c r="E377" s="10" t="str">
        <f aca="false">INDEX(Canale!$D$2:$D$30,MATCH(C377,Canale!$A$2:$A$30,0))</f>
        <v>agent</v>
      </c>
      <c r="F377" s="10" t="str">
        <f aca="false">INDEX('Site-uri'!$C$2:$C$20,MATCH(A377,'Site-uri'!$A$2:$A$20,0))</f>
        <v>/</v>
      </c>
      <c r="G377" s="10" t="str">
        <f aca="false">Config!$B$3</f>
        <v>2610_ff_lansare</v>
      </c>
      <c r="H377" s="10" t="str">
        <f aca="false">Config!$B$4</f>
        <v>general</v>
      </c>
      <c r="I377" s="10" t="str">
        <f aca="false">"https://"&amp;B377&amp;F377&amp;"?utm_source="&amp;D377&amp;"&amp;utm_medium="&amp;E377&amp;"&amp;utm_campaign="&amp;G377&amp;"&amp;utm_content="&amp;H377</f>
        <v>https://1clic-ia.eu/?utm_source=a2a_agent_card&amp;utm_medium=agent&amp;utm_campaign=2610_ff_lansare&amp;utm_content=general</v>
      </c>
    </row>
    <row r="378" customFormat="false" ht="15" hidden="false" customHeight="false" outlineLevel="0" collapsed="false">
      <c r="A378" s="10" t="s">
        <v>81</v>
      </c>
      <c r="B378" s="10" t="str">
        <f aca="false">INDEX('Site-uri'!$B$2:$B$20,MATCH(A378,'Site-uri'!$A$2:$A$20,0))</f>
        <v>1clic-ia.eu</v>
      </c>
      <c r="C378" s="10" t="s">
        <v>208</v>
      </c>
      <c r="D378" s="10" t="str">
        <f aca="false">INDEX(Canale!$C$2:$C$30,MATCH(C378,Canale!$A$2:$A$30,0))</f>
        <v>llms_txt</v>
      </c>
      <c r="E378" s="10" t="str">
        <f aca="false">INDEX(Canale!$D$2:$D$30,MATCH(C378,Canale!$A$2:$A$30,0))</f>
        <v>ai_web</v>
      </c>
      <c r="F378" s="10" t="str">
        <f aca="false">INDEX('Site-uri'!$C$2:$C$20,MATCH(A378,'Site-uri'!$A$2:$A$20,0))</f>
        <v>/</v>
      </c>
      <c r="G378" s="10" t="str">
        <f aca="false">Config!$B$3</f>
        <v>2610_ff_lansare</v>
      </c>
      <c r="H378" s="10" t="str">
        <f aca="false">Config!$B$4</f>
        <v>general</v>
      </c>
      <c r="I378" s="10" t="str">
        <f aca="false">"https://"&amp;B378&amp;F378&amp;"?utm_source="&amp;D378&amp;"&amp;utm_medium="&amp;E378&amp;"&amp;utm_campaign="&amp;G378&amp;"&amp;utm_content="&amp;H378</f>
        <v>https://1clic-ia.eu/?utm_source=llms_txt&amp;utm_medium=ai_web&amp;utm_campaign=2610_ff_lansare&amp;utm_content=general</v>
      </c>
    </row>
    <row r="379" customFormat="false" ht="15" hidden="false" customHeight="false" outlineLevel="0" collapsed="false">
      <c r="A379" s="10" t="s">
        <v>84</v>
      </c>
      <c r="B379" s="10" t="str">
        <f aca="false">INDEX('Site-uri'!$B$2:$B$20,MATCH(A379,'Site-uri'!$A$2:$A$20,0))</f>
        <v>1clic-ia.fr</v>
      </c>
      <c r="C379" s="10" t="s">
        <v>103</v>
      </c>
      <c r="D379" s="10" t="str">
        <f aca="false">INDEX(Canale!$C$2:$C$30,MATCH(C379,Canale!$A$2:$A$30,0))</f>
        <v>linkedin_personal</v>
      </c>
      <c r="E379" s="10" t="str">
        <f aca="false">INDEX(Canale!$D$2:$D$30,MATCH(C379,Canale!$A$2:$A$30,0))</f>
        <v>social</v>
      </c>
      <c r="F379" s="10" t="str">
        <f aca="false">INDEX('Site-uri'!$C$2:$C$20,MATCH(A379,'Site-uri'!$A$2:$A$20,0))</f>
        <v>/</v>
      </c>
      <c r="G379" s="10" t="str">
        <f aca="false">Config!$B$3</f>
        <v>2610_ff_lansare</v>
      </c>
      <c r="H379" s="10" t="str">
        <f aca="false">Config!$B$4</f>
        <v>general</v>
      </c>
      <c r="I379" s="10" t="str">
        <f aca="false">"https://"&amp;B379&amp;F379&amp;"?utm_source="&amp;D379&amp;"&amp;utm_medium="&amp;E379&amp;"&amp;utm_campaign="&amp;G379&amp;"&amp;utm_content="&amp;H379</f>
        <v>https://1clic-ia.fr/?utm_source=linkedin_personal&amp;utm_medium=social&amp;utm_campaign=2610_ff_lansare&amp;utm_content=general</v>
      </c>
    </row>
    <row r="380" customFormat="false" ht="15" hidden="false" customHeight="false" outlineLevel="0" collapsed="false">
      <c r="A380" s="10" t="s">
        <v>84</v>
      </c>
      <c r="B380" s="10" t="str">
        <f aca="false">INDEX('Site-uri'!$B$2:$B$20,MATCH(A380,'Site-uri'!$A$2:$A$20,0))</f>
        <v>1clic-ia.fr</v>
      </c>
      <c r="C380" s="10" t="s">
        <v>108</v>
      </c>
      <c r="D380" s="10" t="str">
        <f aca="false">INDEX(Canale!$C$2:$C$30,MATCH(C380,Canale!$A$2:$A$30,0))</f>
        <v>linkedin_company</v>
      </c>
      <c r="E380" s="10" t="str">
        <f aca="false">INDEX(Canale!$D$2:$D$30,MATCH(C380,Canale!$A$2:$A$30,0))</f>
        <v>social</v>
      </c>
      <c r="F380" s="10" t="str">
        <f aca="false">INDEX('Site-uri'!$C$2:$C$20,MATCH(A380,'Site-uri'!$A$2:$A$20,0))</f>
        <v>/</v>
      </c>
      <c r="G380" s="10" t="str">
        <f aca="false">Config!$B$3</f>
        <v>2610_ff_lansare</v>
      </c>
      <c r="H380" s="10" t="str">
        <f aca="false">Config!$B$4</f>
        <v>general</v>
      </c>
      <c r="I380" s="10" t="str">
        <f aca="false">"https://"&amp;B380&amp;F380&amp;"?utm_source="&amp;D380&amp;"&amp;utm_medium="&amp;E380&amp;"&amp;utm_campaign="&amp;G380&amp;"&amp;utm_content="&amp;H380</f>
        <v>https://1clic-ia.fr/?utm_source=linkedin_company&amp;utm_medium=social&amp;utm_campaign=2610_ff_lansare&amp;utm_content=general</v>
      </c>
    </row>
    <row r="381" customFormat="false" ht="15" hidden="false" customHeight="false" outlineLevel="0" collapsed="false">
      <c r="A381" s="10" t="s">
        <v>84</v>
      </c>
      <c r="B381" s="10" t="str">
        <f aca="false">INDEX('Site-uri'!$B$2:$B$20,MATCH(A381,'Site-uri'!$A$2:$A$20,0))</f>
        <v>1clic-ia.fr</v>
      </c>
      <c r="C381" s="10" t="s">
        <v>111</v>
      </c>
      <c r="D381" s="10" t="str">
        <f aca="false">INDEX(Canale!$C$2:$C$30,MATCH(C381,Canale!$A$2:$A$30,0))</f>
        <v>linkedin_showcase</v>
      </c>
      <c r="E381" s="10" t="str">
        <f aca="false">INDEX(Canale!$D$2:$D$30,MATCH(C381,Canale!$A$2:$A$30,0))</f>
        <v>social</v>
      </c>
      <c r="F381" s="10" t="str">
        <f aca="false">INDEX('Site-uri'!$C$2:$C$20,MATCH(A381,'Site-uri'!$A$2:$A$20,0))</f>
        <v>/</v>
      </c>
      <c r="G381" s="10" t="str">
        <f aca="false">Config!$B$3</f>
        <v>2610_ff_lansare</v>
      </c>
      <c r="H381" s="10" t="str">
        <f aca="false">Config!$B$4</f>
        <v>general</v>
      </c>
      <c r="I381" s="10" t="str">
        <f aca="false">"https://"&amp;B381&amp;F381&amp;"?utm_source="&amp;D381&amp;"&amp;utm_medium="&amp;E381&amp;"&amp;utm_campaign="&amp;G381&amp;"&amp;utm_content="&amp;H381</f>
        <v>https://1clic-ia.fr/?utm_source=linkedin_showcase&amp;utm_medium=social&amp;utm_campaign=2610_ff_lansare&amp;utm_content=general</v>
      </c>
    </row>
    <row r="382" customFormat="false" ht="15" hidden="false" customHeight="false" outlineLevel="0" collapsed="false">
      <c r="A382" s="10" t="s">
        <v>84</v>
      </c>
      <c r="B382" s="10" t="str">
        <f aca="false">INDEX('Site-uri'!$B$2:$B$20,MATCH(A382,'Site-uri'!$A$2:$A$20,0))</f>
        <v>1clic-ia.fr</v>
      </c>
      <c r="C382" s="10" t="s">
        <v>114</v>
      </c>
      <c r="D382" s="10" t="str">
        <f aca="false">INDEX(Canale!$C$2:$C$30,MATCH(C382,Canale!$A$2:$A$30,0))</f>
        <v>linkedin_newsletter</v>
      </c>
      <c r="E382" s="10" t="str">
        <f aca="false">INDEX(Canale!$D$2:$D$30,MATCH(C382,Canale!$A$2:$A$30,0))</f>
        <v>social</v>
      </c>
      <c r="F382" s="10" t="str">
        <f aca="false">INDEX('Site-uri'!$C$2:$C$20,MATCH(A382,'Site-uri'!$A$2:$A$20,0))</f>
        <v>/</v>
      </c>
      <c r="G382" s="10" t="str">
        <f aca="false">Config!$B$3</f>
        <v>2610_ff_lansare</v>
      </c>
      <c r="H382" s="10" t="str">
        <f aca="false">Config!$B$4</f>
        <v>general</v>
      </c>
      <c r="I382" s="10" t="str">
        <f aca="false">"https://"&amp;B382&amp;F382&amp;"?utm_source="&amp;D382&amp;"&amp;utm_medium="&amp;E382&amp;"&amp;utm_campaign="&amp;G382&amp;"&amp;utm_content="&amp;H382</f>
        <v>https://1clic-ia.fr/?utm_source=linkedin_newsletter&amp;utm_medium=social&amp;utm_campaign=2610_ff_lansare&amp;utm_content=general</v>
      </c>
    </row>
    <row r="383" customFormat="false" ht="15" hidden="false" customHeight="false" outlineLevel="0" collapsed="false">
      <c r="A383" s="10" t="s">
        <v>84</v>
      </c>
      <c r="B383" s="10" t="str">
        <f aca="false">INDEX('Site-uri'!$B$2:$B$20,MATCH(A383,'Site-uri'!$A$2:$A$20,0))</f>
        <v>1clic-ia.fr</v>
      </c>
      <c r="C383" s="10" t="s">
        <v>117</v>
      </c>
      <c r="D383" s="10" t="str">
        <f aca="false">INDEX(Canale!$C$2:$C$30,MATCH(C383,Canale!$A$2:$A$30,0))</f>
        <v>linkedin_ads</v>
      </c>
      <c r="E383" s="10" t="str">
        <f aca="false">INDEX(Canale!$D$2:$D$30,MATCH(C383,Canale!$A$2:$A$30,0))</f>
        <v>paid_social</v>
      </c>
      <c r="F383" s="10" t="str">
        <f aca="false">INDEX('Site-uri'!$C$2:$C$20,MATCH(A383,'Site-uri'!$A$2:$A$20,0))</f>
        <v>/</v>
      </c>
      <c r="G383" s="10" t="str">
        <f aca="false">Config!$B$3</f>
        <v>2610_ff_lansare</v>
      </c>
      <c r="H383" s="10" t="str">
        <f aca="false">Config!$B$4</f>
        <v>general</v>
      </c>
      <c r="I383" s="10" t="str">
        <f aca="false">"https://"&amp;B383&amp;F383&amp;"?utm_source="&amp;D383&amp;"&amp;utm_medium="&amp;E383&amp;"&amp;utm_campaign="&amp;G383&amp;"&amp;utm_content="&amp;H383</f>
        <v>https://1clic-ia.fr/?utm_source=linkedin_ads&amp;utm_medium=paid_social&amp;utm_campaign=2610_ff_lansare&amp;utm_content=general</v>
      </c>
    </row>
    <row r="384" customFormat="false" ht="15" hidden="false" customHeight="false" outlineLevel="0" collapsed="false">
      <c r="A384" s="10" t="s">
        <v>84</v>
      </c>
      <c r="B384" s="10" t="str">
        <f aca="false">INDEX('Site-uri'!$B$2:$B$20,MATCH(A384,'Site-uri'!$A$2:$A$20,0))</f>
        <v>1clic-ia.fr</v>
      </c>
      <c r="C384" s="10" t="s">
        <v>121</v>
      </c>
      <c r="D384" s="10" t="str">
        <f aca="false">INDEX(Canale!$C$2:$C$30,MATCH(C384,Canale!$A$2:$A$30,0))</f>
        <v>linkedin_dm</v>
      </c>
      <c r="E384" s="10" t="str">
        <f aca="false">INDEX(Canale!$D$2:$D$30,MATCH(C384,Canale!$A$2:$A$30,0))</f>
        <v>dm</v>
      </c>
      <c r="F384" s="10" t="str">
        <f aca="false">INDEX('Site-uri'!$C$2:$C$20,MATCH(A384,'Site-uri'!$A$2:$A$20,0))</f>
        <v>/</v>
      </c>
      <c r="G384" s="10" t="str">
        <f aca="false">Config!$B$3</f>
        <v>2610_ff_lansare</v>
      </c>
      <c r="H384" s="10" t="str">
        <f aca="false">Config!$B$4</f>
        <v>general</v>
      </c>
      <c r="I384" s="10" t="str">
        <f aca="false">"https://"&amp;B384&amp;F384&amp;"?utm_source="&amp;D384&amp;"&amp;utm_medium="&amp;E384&amp;"&amp;utm_campaign="&amp;G384&amp;"&amp;utm_content="&amp;H384</f>
        <v>https://1clic-ia.fr/?utm_source=linkedin_dm&amp;utm_medium=dm&amp;utm_campaign=2610_ff_lansare&amp;utm_content=general</v>
      </c>
    </row>
    <row r="385" customFormat="false" ht="15" hidden="false" customHeight="false" outlineLevel="0" collapsed="false">
      <c r="A385" s="10" t="s">
        <v>84</v>
      </c>
      <c r="B385" s="10" t="str">
        <f aca="false">INDEX('Site-uri'!$B$2:$B$20,MATCH(A385,'Site-uri'!$A$2:$A$20,0))</f>
        <v>1clic-ia.fr</v>
      </c>
      <c r="C385" s="10" t="s">
        <v>125</v>
      </c>
      <c r="D385" s="10" t="str">
        <f aca="false">INDEX(Canale!$C$2:$C$30,MATCH(C385,Canale!$A$2:$A$30,0))</f>
        <v>email_outreach</v>
      </c>
      <c r="E385" s="10" t="str">
        <f aca="false">INDEX(Canale!$D$2:$D$30,MATCH(C385,Canale!$A$2:$A$30,0))</f>
        <v>email</v>
      </c>
      <c r="F385" s="10" t="str">
        <f aca="false">INDEX('Site-uri'!$C$2:$C$20,MATCH(A385,'Site-uri'!$A$2:$A$20,0))</f>
        <v>/</v>
      </c>
      <c r="G385" s="10" t="str">
        <f aca="false">Config!$B$3</f>
        <v>2610_ff_lansare</v>
      </c>
      <c r="H385" s="10" t="str">
        <f aca="false">Config!$B$4</f>
        <v>general</v>
      </c>
      <c r="I385" s="10" t="str">
        <f aca="false">"https://"&amp;B385&amp;F385&amp;"?utm_source="&amp;D385&amp;"&amp;utm_medium="&amp;E385&amp;"&amp;utm_campaign="&amp;G385&amp;"&amp;utm_content="&amp;H385</f>
        <v>https://1clic-ia.fr/?utm_source=email_outreach&amp;utm_medium=email&amp;utm_campaign=2610_ff_lansare&amp;utm_content=general</v>
      </c>
    </row>
    <row r="386" customFormat="false" ht="15" hidden="false" customHeight="false" outlineLevel="0" collapsed="false">
      <c r="A386" s="10" t="s">
        <v>84</v>
      </c>
      <c r="B386" s="10" t="str">
        <f aca="false">INDEX('Site-uri'!$B$2:$B$20,MATCH(A386,'Site-uri'!$A$2:$A$20,0))</f>
        <v>1clic-ia.fr</v>
      </c>
      <c r="C386" s="10" t="s">
        <v>130</v>
      </c>
      <c r="D386" s="10" t="str">
        <f aca="false">INDEX(Canale!$C$2:$C$30,MATCH(C386,Canale!$A$2:$A$30,0))</f>
        <v>newsletter</v>
      </c>
      <c r="E386" s="10" t="str">
        <f aca="false">INDEX(Canale!$D$2:$D$30,MATCH(C386,Canale!$A$2:$A$30,0))</f>
        <v>email</v>
      </c>
      <c r="F386" s="10" t="str">
        <f aca="false">INDEX('Site-uri'!$C$2:$C$20,MATCH(A386,'Site-uri'!$A$2:$A$20,0))</f>
        <v>/</v>
      </c>
      <c r="G386" s="10" t="str">
        <f aca="false">Config!$B$3</f>
        <v>2610_ff_lansare</v>
      </c>
      <c r="H386" s="10" t="str">
        <f aca="false">Config!$B$4</f>
        <v>general</v>
      </c>
      <c r="I386" s="10" t="str">
        <f aca="false">"https://"&amp;B386&amp;F386&amp;"?utm_source="&amp;D386&amp;"&amp;utm_medium="&amp;E386&amp;"&amp;utm_campaign="&amp;G386&amp;"&amp;utm_content="&amp;H386</f>
        <v>https://1clic-ia.fr/?utm_source=newsletter&amp;utm_medium=email&amp;utm_campaign=2610_ff_lansare&amp;utm_content=general</v>
      </c>
    </row>
    <row r="387" customFormat="false" ht="15" hidden="false" customHeight="false" outlineLevel="0" collapsed="false">
      <c r="A387" s="10" t="s">
        <v>84</v>
      </c>
      <c r="B387" s="10" t="str">
        <f aca="false">INDEX('Site-uri'!$B$2:$B$20,MATCH(A387,'Site-uri'!$A$2:$A$20,0))</f>
        <v>1clic-ia.fr</v>
      </c>
      <c r="C387" s="10" t="s">
        <v>133</v>
      </c>
      <c r="D387" s="10" t="str">
        <f aca="false">INDEX(Canale!$C$2:$C$30,MATCH(C387,Canale!$A$2:$A$30,0))</f>
        <v>email_signature</v>
      </c>
      <c r="E387" s="10" t="str">
        <f aca="false">INDEX(Canale!$D$2:$D$30,MATCH(C387,Canale!$A$2:$A$30,0))</f>
        <v>email</v>
      </c>
      <c r="F387" s="10" t="str">
        <f aca="false">INDEX('Site-uri'!$C$2:$C$20,MATCH(A387,'Site-uri'!$A$2:$A$20,0))</f>
        <v>/</v>
      </c>
      <c r="G387" s="10" t="str">
        <f aca="false">Config!$B$3</f>
        <v>2610_ff_lansare</v>
      </c>
      <c r="H387" s="10" t="str">
        <f aca="false">Config!$B$4</f>
        <v>general</v>
      </c>
      <c r="I387" s="10" t="str">
        <f aca="false">"https://"&amp;B387&amp;F387&amp;"?utm_source="&amp;D387&amp;"&amp;utm_medium="&amp;E387&amp;"&amp;utm_campaign="&amp;G387&amp;"&amp;utm_content="&amp;H387</f>
        <v>https://1clic-ia.fr/?utm_source=email_signature&amp;utm_medium=email&amp;utm_campaign=2610_ff_lansare&amp;utm_content=general</v>
      </c>
    </row>
    <row r="388" customFormat="false" ht="15" hidden="false" customHeight="false" outlineLevel="0" collapsed="false">
      <c r="A388" s="10" t="s">
        <v>84</v>
      </c>
      <c r="B388" s="10" t="str">
        <f aca="false">INDEX('Site-uri'!$B$2:$B$20,MATCH(A388,'Site-uri'!$A$2:$A$20,0))</f>
        <v>1clic-ia.fr</v>
      </c>
      <c r="C388" s="10" t="s">
        <v>136</v>
      </c>
      <c r="D388" s="10" t="str">
        <f aca="false">INDEX(Canale!$C$2:$C$30,MATCH(C388,Canale!$A$2:$A$30,0))</f>
        <v>whatsapp</v>
      </c>
      <c r="E388" s="10" t="str">
        <f aca="false">INDEX(Canale!$D$2:$D$30,MATCH(C388,Canale!$A$2:$A$30,0))</f>
        <v>dm</v>
      </c>
      <c r="F388" s="10" t="str">
        <f aca="false">INDEX('Site-uri'!$C$2:$C$20,MATCH(A388,'Site-uri'!$A$2:$A$20,0))</f>
        <v>/</v>
      </c>
      <c r="G388" s="10" t="str">
        <f aca="false">Config!$B$3</f>
        <v>2610_ff_lansare</v>
      </c>
      <c r="H388" s="10" t="str">
        <f aca="false">Config!$B$4</f>
        <v>general</v>
      </c>
      <c r="I388" s="10" t="str">
        <f aca="false">"https://"&amp;B388&amp;F388&amp;"?utm_source="&amp;D388&amp;"&amp;utm_medium="&amp;E388&amp;"&amp;utm_campaign="&amp;G388&amp;"&amp;utm_content="&amp;H388</f>
        <v>https://1clic-ia.fr/?utm_source=whatsapp&amp;utm_medium=dm&amp;utm_campaign=2610_ff_lansare&amp;utm_content=general</v>
      </c>
    </row>
    <row r="389" customFormat="false" ht="15" hidden="false" customHeight="false" outlineLevel="0" collapsed="false">
      <c r="A389" s="10" t="s">
        <v>84</v>
      </c>
      <c r="B389" s="10" t="str">
        <f aca="false">INDEX('Site-uri'!$B$2:$B$20,MATCH(A389,'Site-uri'!$A$2:$A$20,0))</f>
        <v>1clic-ia.fr</v>
      </c>
      <c r="C389" s="10" t="s">
        <v>140</v>
      </c>
      <c r="D389" s="10" t="str">
        <f aca="false">INDEX(Canale!$C$2:$C$30,MATCH(C389,Canale!$A$2:$A$30,0))</f>
        <v>google</v>
      </c>
      <c r="E389" s="10" t="str">
        <f aca="false">INDEX(Canale!$D$2:$D$30,MATCH(C389,Canale!$A$2:$A$30,0))</f>
        <v>cpc</v>
      </c>
      <c r="F389" s="10" t="str">
        <f aca="false">INDEX('Site-uri'!$C$2:$C$20,MATCH(A389,'Site-uri'!$A$2:$A$20,0))</f>
        <v>/</v>
      </c>
      <c r="G389" s="10" t="str">
        <f aca="false">Config!$B$3</f>
        <v>2610_ff_lansare</v>
      </c>
      <c r="H389" s="10" t="str">
        <f aca="false">Config!$B$4</f>
        <v>general</v>
      </c>
      <c r="I389" s="10" t="str">
        <f aca="false">"https://"&amp;B389&amp;F389&amp;"?utm_source="&amp;D389&amp;"&amp;utm_medium="&amp;E389&amp;"&amp;utm_campaign="&amp;G389&amp;"&amp;utm_content="&amp;H389</f>
        <v>https://1clic-ia.fr/?utm_source=google&amp;utm_medium=cpc&amp;utm_campaign=2610_ff_lansare&amp;utm_content=general</v>
      </c>
    </row>
    <row r="390" customFormat="false" ht="15" hidden="false" customHeight="false" outlineLevel="0" collapsed="false">
      <c r="A390" s="10" t="s">
        <v>84</v>
      </c>
      <c r="B390" s="10" t="str">
        <f aca="false">INDEX('Site-uri'!$B$2:$B$20,MATCH(A390,'Site-uri'!$A$2:$A$20,0))</f>
        <v>1clic-ia.fr</v>
      </c>
      <c r="C390" s="10" t="s">
        <v>145</v>
      </c>
      <c r="D390" s="10" t="str">
        <f aca="false">INDEX(Canale!$C$2:$C$30,MATCH(C390,Canale!$A$2:$A$30,0))</f>
        <v>bing</v>
      </c>
      <c r="E390" s="10" t="str">
        <f aca="false">INDEX(Canale!$D$2:$D$30,MATCH(C390,Canale!$A$2:$A$30,0))</f>
        <v>cpc</v>
      </c>
      <c r="F390" s="10" t="str">
        <f aca="false">INDEX('Site-uri'!$C$2:$C$20,MATCH(A390,'Site-uri'!$A$2:$A$20,0))</f>
        <v>/</v>
      </c>
      <c r="G390" s="10" t="str">
        <f aca="false">Config!$B$3</f>
        <v>2610_ff_lansare</v>
      </c>
      <c r="H390" s="10" t="str">
        <f aca="false">Config!$B$4</f>
        <v>general</v>
      </c>
      <c r="I390" s="10" t="str">
        <f aca="false">"https://"&amp;B390&amp;F390&amp;"?utm_source="&amp;D390&amp;"&amp;utm_medium="&amp;E390&amp;"&amp;utm_campaign="&amp;G390&amp;"&amp;utm_content="&amp;H390</f>
        <v>https://1clic-ia.fr/?utm_source=bing&amp;utm_medium=cpc&amp;utm_campaign=2610_ff_lansare&amp;utm_content=general</v>
      </c>
    </row>
    <row r="391" customFormat="false" ht="15" hidden="false" customHeight="false" outlineLevel="0" collapsed="false">
      <c r="A391" s="10" t="s">
        <v>84</v>
      </c>
      <c r="B391" s="10" t="str">
        <f aca="false">INDEX('Site-uri'!$B$2:$B$20,MATCH(A391,'Site-uri'!$A$2:$A$20,0))</f>
        <v>1clic-ia.fr</v>
      </c>
      <c r="C391" s="10" t="s">
        <v>148</v>
      </c>
      <c r="D391" s="10" t="str">
        <f aca="false">INDEX(Canale!$C$2:$C$30,MATCH(C391,Canale!$A$2:$A$30,0))</f>
        <v>facebook</v>
      </c>
      <c r="E391" s="10" t="str">
        <f aca="false">INDEX(Canale!$D$2:$D$30,MATCH(C391,Canale!$A$2:$A$30,0))</f>
        <v>social</v>
      </c>
      <c r="F391" s="10" t="str">
        <f aca="false">INDEX('Site-uri'!$C$2:$C$20,MATCH(A391,'Site-uri'!$A$2:$A$20,0))</f>
        <v>/</v>
      </c>
      <c r="G391" s="10" t="str">
        <f aca="false">Config!$B$3</f>
        <v>2610_ff_lansare</v>
      </c>
      <c r="H391" s="10" t="str">
        <f aca="false">Config!$B$4</f>
        <v>general</v>
      </c>
      <c r="I391" s="10" t="str">
        <f aca="false">"https://"&amp;B391&amp;F391&amp;"?utm_source="&amp;D391&amp;"&amp;utm_medium="&amp;E391&amp;"&amp;utm_campaign="&amp;G391&amp;"&amp;utm_content="&amp;H391</f>
        <v>https://1clic-ia.fr/?utm_source=facebook&amp;utm_medium=social&amp;utm_campaign=2610_ff_lansare&amp;utm_content=general</v>
      </c>
    </row>
    <row r="392" customFormat="false" ht="15" hidden="false" customHeight="false" outlineLevel="0" collapsed="false">
      <c r="A392" s="10" t="s">
        <v>84</v>
      </c>
      <c r="B392" s="10" t="str">
        <f aca="false">INDEX('Site-uri'!$B$2:$B$20,MATCH(A392,'Site-uri'!$A$2:$A$20,0))</f>
        <v>1clic-ia.fr</v>
      </c>
      <c r="C392" s="10" t="s">
        <v>152</v>
      </c>
      <c r="D392" s="10" t="str">
        <f aca="false">INDEX(Canale!$C$2:$C$30,MATCH(C392,Canale!$A$2:$A$30,0))</f>
        <v>x</v>
      </c>
      <c r="E392" s="10" t="str">
        <f aca="false">INDEX(Canale!$D$2:$D$30,MATCH(C392,Canale!$A$2:$A$30,0))</f>
        <v>social</v>
      </c>
      <c r="F392" s="10" t="str">
        <f aca="false">INDEX('Site-uri'!$C$2:$C$20,MATCH(A392,'Site-uri'!$A$2:$A$20,0))</f>
        <v>/</v>
      </c>
      <c r="G392" s="10" t="str">
        <f aca="false">Config!$B$3</f>
        <v>2610_ff_lansare</v>
      </c>
      <c r="H392" s="10" t="str">
        <f aca="false">Config!$B$4</f>
        <v>general</v>
      </c>
      <c r="I392" s="10" t="str">
        <f aca="false">"https://"&amp;B392&amp;F392&amp;"?utm_source="&amp;D392&amp;"&amp;utm_medium="&amp;E392&amp;"&amp;utm_campaign="&amp;G392&amp;"&amp;utm_content="&amp;H392</f>
        <v>https://1clic-ia.fr/?utm_source=x&amp;utm_medium=social&amp;utm_campaign=2610_ff_lansare&amp;utm_content=general</v>
      </c>
    </row>
    <row r="393" customFormat="false" ht="15" hidden="false" customHeight="false" outlineLevel="0" collapsed="false">
      <c r="A393" s="10" t="s">
        <v>84</v>
      </c>
      <c r="B393" s="10" t="str">
        <f aca="false">INDEX('Site-uri'!$B$2:$B$20,MATCH(A393,'Site-uri'!$A$2:$A$20,0))</f>
        <v>1clic-ia.fr</v>
      </c>
      <c r="C393" s="10" t="s">
        <v>154</v>
      </c>
      <c r="D393" s="10" t="str">
        <f aca="false">INDEX(Canale!$C$2:$C$30,MATCH(C393,Canale!$A$2:$A$30,0))</f>
        <v>youtube</v>
      </c>
      <c r="E393" s="10" t="str">
        <f aca="false">INDEX(Canale!$D$2:$D$30,MATCH(C393,Canale!$A$2:$A$30,0))</f>
        <v>video</v>
      </c>
      <c r="F393" s="10" t="str">
        <f aca="false">INDEX('Site-uri'!$C$2:$C$20,MATCH(A393,'Site-uri'!$A$2:$A$20,0))</f>
        <v>/</v>
      </c>
      <c r="G393" s="10" t="str">
        <f aca="false">Config!$B$3</f>
        <v>2610_ff_lansare</v>
      </c>
      <c r="H393" s="10" t="str">
        <f aca="false">Config!$B$4</f>
        <v>general</v>
      </c>
      <c r="I393" s="10" t="str">
        <f aca="false">"https://"&amp;B393&amp;F393&amp;"?utm_source="&amp;D393&amp;"&amp;utm_medium="&amp;E393&amp;"&amp;utm_campaign="&amp;G393&amp;"&amp;utm_content="&amp;H393</f>
        <v>https://1clic-ia.fr/?utm_source=youtube&amp;utm_medium=video&amp;utm_campaign=2610_ff_lansare&amp;utm_content=general</v>
      </c>
    </row>
    <row r="394" customFormat="false" ht="15" hidden="false" customHeight="false" outlineLevel="0" collapsed="false">
      <c r="A394" s="10" t="s">
        <v>84</v>
      </c>
      <c r="B394" s="10" t="str">
        <f aca="false">INDEX('Site-uri'!$B$2:$B$20,MATCH(A394,'Site-uri'!$A$2:$A$20,0))</f>
        <v>1clic-ia.fr</v>
      </c>
      <c r="C394" s="10" t="s">
        <v>159</v>
      </c>
      <c r="D394" s="10" t="str">
        <f aca="false">INDEX(Canale!$C$2:$C$30,MATCH(C394,Canale!$A$2:$A$30,0))</f>
        <v>medium</v>
      </c>
      <c r="E394" s="10" t="str">
        <f aca="false">INDEX(Canale!$D$2:$D$30,MATCH(C394,Canale!$A$2:$A$30,0))</f>
        <v>content</v>
      </c>
      <c r="F394" s="10" t="str">
        <f aca="false">INDEX('Site-uri'!$C$2:$C$20,MATCH(A394,'Site-uri'!$A$2:$A$20,0))</f>
        <v>/</v>
      </c>
      <c r="G394" s="10" t="str">
        <f aca="false">Config!$B$3</f>
        <v>2610_ff_lansare</v>
      </c>
      <c r="H394" s="10" t="str">
        <f aca="false">Config!$B$4</f>
        <v>general</v>
      </c>
      <c r="I394" s="10" t="str">
        <f aca="false">"https://"&amp;B394&amp;F394&amp;"?utm_source="&amp;D394&amp;"&amp;utm_medium="&amp;E394&amp;"&amp;utm_campaign="&amp;G394&amp;"&amp;utm_content="&amp;H394</f>
        <v>https://1clic-ia.fr/?utm_source=medium&amp;utm_medium=content&amp;utm_campaign=2610_ff_lansare&amp;utm_content=general</v>
      </c>
    </row>
    <row r="395" customFormat="false" ht="15" hidden="false" customHeight="false" outlineLevel="0" collapsed="false">
      <c r="A395" s="10" t="s">
        <v>84</v>
      </c>
      <c r="B395" s="10" t="str">
        <f aca="false">INDEX('Site-uri'!$B$2:$B$20,MATCH(A395,'Site-uri'!$A$2:$A$20,0))</f>
        <v>1clic-ia.fr</v>
      </c>
      <c r="C395" s="10" t="s">
        <v>164</v>
      </c>
      <c r="D395" s="10" t="str">
        <f aca="false">INDEX(Canale!$C$2:$C$30,MATCH(C395,Canale!$A$2:$A$30,0))</f>
        <v>crunchbase</v>
      </c>
      <c r="E395" s="10" t="str">
        <f aca="false">INDEX(Canale!$D$2:$D$30,MATCH(C395,Canale!$A$2:$A$30,0))</f>
        <v>referral</v>
      </c>
      <c r="F395" s="10" t="str">
        <f aca="false">INDEX('Site-uri'!$C$2:$C$20,MATCH(A395,'Site-uri'!$A$2:$A$20,0))</f>
        <v>/</v>
      </c>
      <c r="G395" s="10" t="str">
        <f aca="false">Config!$B$3</f>
        <v>2610_ff_lansare</v>
      </c>
      <c r="H395" s="10" t="str">
        <f aca="false">Config!$B$4</f>
        <v>general</v>
      </c>
      <c r="I395" s="10" t="str">
        <f aca="false">"https://"&amp;B395&amp;F395&amp;"?utm_source="&amp;D395&amp;"&amp;utm_medium="&amp;E395&amp;"&amp;utm_campaign="&amp;G395&amp;"&amp;utm_content="&amp;H395</f>
        <v>https://1clic-ia.fr/?utm_source=crunchbase&amp;utm_medium=referral&amp;utm_campaign=2610_ff_lansare&amp;utm_content=general</v>
      </c>
    </row>
    <row r="396" customFormat="false" ht="15" hidden="false" customHeight="false" outlineLevel="0" collapsed="false">
      <c r="A396" s="10" t="s">
        <v>84</v>
      </c>
      <c r="B396" s="10" t="str">
        <f aca="false">INDEX('Site-uri'!$B$2:$B$20,MATCH(A396,'Site-uri'!$A$2:$A$20,0))</f>
        <v>1clic-ia.fr</v>
      </c>
      <c r="C396" s="10" t="s">
        <v>169</v>
      </c>
      <c r="D396" s="10" t="str">
        <f aca="false">INDEX(Canale!$C$2:$C$30,MATCH(C396,Canale!$A$2:$A$30,0))</f>
        <v>zenodo</v>
      </c>
      <c r="E396" s="10" t="str">
        <f aca="false">INDEX(Canale!$D$2:$D$30,MATCH(C396,Canale!$A$2:$A$30,0))</f>
        <v>referral</v>
      </c>
      <c r="F396" s="10" t="str">
        <f aca="false">INDEX('Site-uri'!$C$2:$C$20,MATCH(A396,'Site-uri'!$A$2:$A$20,0))</f>
        <v>/</v>
      </c>
      <c r="G396" s="10" t="str">
        <f aca="false">Config!$B$3</f>
        <v>2610_ff_lansare</v>
      </c>
      <c r="H396" s="10" t="str">
        <f aca="false">Config!$B$4</f>
        <v>general</v>
      </c>
      <c r="I396" s="10" t="str">
        <f aca="false">"https://"&amp;B396&amp;F396&amp;"?utm_source="&amp;D396&amp;"&amp;utm_medium="&amp;E396&amp;"&amp;utm_campaign="&amp;G396&amp;"&amp;utm_content="&amp;H396</f>
        <v>https://1clic-ia.fr/?utm_source=zenodo&amp;utm_medium=referral&amp;utm_campaign=2610_ff_lansare&amp;utm_content=general</v>
      </c>
    </row>
    <row r="397" customFormat="false" ht="15" hidden="false" customHeight="false" outlineLevel="0" collapsed="false">
      <c r="A397" s="10" t="s">
        <v>84</v>
      </c>
      <c r="B397" s="10" t="str">
        <f aca="false">INDEX('Site-uri'!$B$2:$B$20,MATCH(A397,'Site-uri'!$A$2:$A$20,0))</f>
        <v>1clic-ia.fr</v>
      </c>
      <c r="C397" s="10" t="s">
        <v>172</v>
      </c>
      <c r="D397" s="10" t="str">
        <f aca="false">INDEX(Canale!$C$2:$C$30,MATCH(C397,Canale!$A$2:$A$30,0))</f>
        <v>orcid</v>
      </c>
      <c r="E397" s="10" t="str">
        <f aca="false">INDEX(Canale!$D$2:$D$30,MATCH(C397,Canale!$A$2:$A$30,0))</f>
        <v>referral</v>
      </c>
      <c r="F397" s="10" t="str">
        <f aca="false">INDEX('Site-uri'!$C$2:$C$20,MATCH(A397,'Site-uri'!$A$2:$A$20,0))</f>
        <v>/</v>
      </c>
      <c r="G397" s="10" t="str">
        <f aca="false">Config!$B$3</f>
        <v>2610_ff_lansare</v>
      </c>
      <c r="H397" s="10" t="str">
        <f aca="false">Config!$B$4</f>
        <v>general</v>
      </c>
      <c r="I397" s="10" t="str">
        <f aca="false">"https://"&amp;B397&amp;F397&amp;"?utm_source="&amp;D397&amp;"&amp;utm_medium="&amp;E397&amp;"&amp;utm_campaign="&amp;G397&amp;"&amp;utm_content="&amp;H397</f>
        <v>https://1clic-ia.fr/?utm_source=orcid&amp;utm_medium=referral&amp;utm_campaign=2610_ff_lansare&amp;utm_content=general</v>
      </c>
    </row>
    <row r="398" customFormat="false" ht="15" hidden="false" customHeight="false" outlineLevel="0" collapsed="false">
      <c r="A398" s="10" t="s">
        <v>84</v>
      </c>
      <c r="B398" s="10" t="str">
        <f aca="false">INDEX('Site-uri'!$B$2:$B$20,MATCH(A398,'Site-uri'!$A$2:$A$20,0))</f>
        <v>1clic-ia.fr</v>
      </c>
      <c r="C398" s="10" t="s">
        <v>175</v>
      </c>
      <c r="D398" s="10" t="str">
        <f aca="false">INDEX(Canale!$C$2:$C$30,MATCH(C398,Canale!$A$2:$A$30,0))</f>
        <v>github</v>
      </c>
      <c r="E398" s="10" t="str">
        <f aca="false">INDEX(Canale!$D$2:$D$30,MATCH(C398,Canale!$A$2:$A$30,0))</f>
        <v>referral</v>
      </c>
      <c r="F398" s="10" t="str">
        <f aca="false">INDEX('Site-uri'!$C$2:$C$20,MATCH(A398,'Site-uri'!$A$2:$A$20,0))</f>
        <v>/</v>
      </c>
      <c r="G398" s="10" t="str">
        <f aca="false">Config!$B$3</f>
        <v>2610_ff_lansare</v>
      </c>
      <c r="H398" s="10" t="str">
        <f aca="false">Config!$B$4</f>
        <v>general</v>
      </c>
      <c r="I398" s="10" t="str">
        <f aca="false">"https://"&amp;B398&amp;F398&amp;"?utm_source="&amp;D398&amp;"&amp;utm_medium="&amp;E398&amp;"&amp;utm_campaign="&amp;G398&amp;"&amp;utm_content="&amp;H398</f>
        <v>https://1clic-ia.fr/?utm_source=github&amp;utm_medium=referral&amp;utm_campaign=2610_ff_lansare&amp;utm_content=general</v>
      </c>
    </row>
    <row r="399" customFormat="false" ht="15" hidden="false" customHeight="false" outlineLevel="0" collapsed="false">
      <c r="A399" s="10" t="s">
        <v>84</v>
      </c>
      <c r="B399" s="10" t="str">
        <f aca="false">INDEX('Site-uri'!$B$2:$B$20,MATCH(A399,'Site-uri'!$A$2:$A$20,0))</f>
        <v>1clic-ia.fr</v>
      </c>
      <c r="C399" s="10" t="s">
        <v>178</v>
      </c>
      <c r="D399" s="10" t="str">
        <f aca="false">INDEX(Canale!$C$2:$C$30,MATCH(C399,Canale!$A$2:$A$30,0))</f>
        <v>kdp_book</v>
      </c>
      <c r="E399" s="10" t="str">
        <f aca="false">INDEX(Canale!$D$2:$D$30,MATCH(C399,Canale!$A$2:$A$30,0))</f>
        <v>book</v>
      </c>
      <c r="F399" s="10" t="str">
        <f aca="false">INDEX('Site-uri'!$C$2:$C$20,MATCH(A399,'Site-uri'!$A$2:$A$20,0))</f>
        <v>/</v>
      </c>
      <c r="G399" s="10" t="str">
        <f aca="false">Config!$B$3</f>
        <v>2610_ff_lansare</v>
      </c>
      <c r="H399" s="10" t="str">
        <f aca="false">Config!$B$4</f>
        <v>general</v>
      </c>
      <c r="I399" s="10" t="str">
        <f aca="false">"https://"&amp;B399&amp;F399&amp;"?utm_source="&amp;D399&amp;"&amp;utm_medium="&amp;E399&amp;"&amp;utm_campaign="&amp;G399&amp;"&amp;utm_content="&amp;H399</f>
        <v>https://1clic-ia.fr/?utm_source=kdp_book&amp;utm_medium=book&amp;utm_campaign=2610_ff_lansare&amp;utm_content=general</v>
      </c>
    </row>
    <row r="400" customFormat="false" ht="15" hidden="false" customHeight="false" outlineLevel="0" collapsed="false">
      <c r="A400" s="10" t="s">
        <v>84</v>
      </c>
      <c r="B400" s="10" t="str">
        <f aca="false">INDEX('Site-uri'!$B$2:$B$20,MATCH(A400,'Site-uri'!$A$2:$A$20,0))</f>
        <v>1clic-ia.fr</v>
      </c>
      <c r="C400" s="10" t="s">
        <v>183</v>
      </c>
      <c r="D400" s="10" t="str">
        <f aca="false">INDEX(Canale!$C$2:$C$30,MATCH(C400,Canale!$A$2:$A$30,0))</f>
        <v>udemy</v>
      </c>
      <c r="E400" s="10" t="str">
        <f aca="false">INDEX(Canale!$D$2:$D$30,MATCH(C400,Canale!$A$2:$A$30,0))</f>
        <v>course</v>
      </c>
      <c r="F400" s="10" t="str">
        <f aca="false">INDEX('Site-uri'!$C$2:$C$20,MATCH(A400,'Site-uri'!$A$2:$A$20,0))</f>
        <v>/</v>
      </c>
      <c r="G400" s="10" t="str">
        <f aca="false">Config!$B$3</f>
        <v>2610_ff_lansare</v>
      </c>
      <c r="H400" s="10" t="str">
        <f aca="false">Config!$B$4</f>
        <v>general</v>
      </c>
      <c r="I400" s="10" t="str">
        <f aca="false">"https://"&amp;B400&amp;F400&amp;"?utm_source="&amp;D400&amp;"&amp;utm_medium="&amp;E400&amp;"&amp;utm_campaign="&amp;G400&amp;"&amp;utm_content="&amp;H400</f>
        <v>https://1clic-ia.fr/?utm_source=udemy&amp;utm_medium=course&amp;utm_campaign=2610_ff_lansare&amp;utm_content=general</v>
      </c>
    </row>
    <row r="401" customFormat="false" ht="15" hidden="false" customHeight="false" outlineLevel="0" collapsed="false">
      <c r="A401" s="10" t="s">
        <v>84</v>
      </c>
      <c r="B401" s="10" t="str">
        <f aca="false">INDEX('Site-uri'!$B$2:$B$20,MATCH(A401,'Site-uri'!$A$2:$A$20,0))</f>
        <v>1clic-ia.fr</v>
      </c>
      <c r="C401" s="10" t="s">
        <v>186</v>
      </c>
      <c r="D401" s="10" t="str">
        <f aca="false">INDEX(Canale!$C$2:$C$30,MATCH(C401,Canale!$A$2:$A$30,0))</f>
        <v>directory</v>
      </c>
      <c r="E401" s="10" t="str">
        <f aca="false">INDEX(Canale!$D$2:$D$30,MATCH(C401,Canale!$A$2:$A$30,0))</f>
        <v>referral</v>
      </c>
      <c r="F401" s="10" t="str">
        <f aca="false">INDEX('Site-uri'!$C$2:$C$20,MATCH(A401,'Site-uri'!$A$2:$A$20,0))</f>
        <v>/</v>
      </c>
      <c r="G401" s="10" t="str">
        <f aca="false">Config!$B$3</f>
        <v>2610_ff_lansare</v>
      </c>
      <c r="H401" s="10" t="str">
        <f aca="false">Config!$B$4</f>
        <v>general</v>
      </c>
      <c r="I401" s="10" t="str">
        <f aca="false">"https://"&amp;B401&amp;F401&amp;"?utm_source="&amp;D401&amp;"&amp;utm_medium="&amp;E401&amp;"&amp;utm_campaign="&amp;G401&amp;"&amp;utm_content="&amp;H401</f>
        <v>https://1clic-ia.fr/?utm_source=directory&amp;utm_medium=referral&amp;utm_campaign=2610_ff_lansare&amp;utm_content=general</v>
      </c>
    </row>
    <row r="402" customFormat="false" ht="15" hidden="false" customHeight="false" outlineLevel="0" collapsed="false">
      <c r="A402" s="10" t="s">
        <v>84</v>
      </c>
      <c r="B402" s="10" t="str">
        <f aca="false">INDEX('Site-uri'!$B$2:$B$20,MATCH(A402,'Site-uri'!$A$2:$A$20,0))</f>
        <v>1clic-ia.fr</v>
      </c>
      <c r="C402" s="10" t="s">
        <v>190</v>
      </c>
      <c r="D402" s="10" t="str">
        <f aca="false">INDEX(Canale!$C$2:$C$30,MATCH(C402,Canale!$A$2:$A$30,0))</f>
        <v>partner</v>
      </c>
      <c r="E402" s="10" t="str">
        <f aca="false">INDEX(Canale!$D$2:$D$30,MATCH(C402,Canale!$A$2:$A$30,0))</f>
        <v>partner</v>
      </c>
      <c r="F402" s="10" t="str">
        <f aca="false">INDEX('Site-uri'!$C$2:$C$20,MATCH(A402,'Site-uri'!$A$2:$A$20,0))</f>
        <v>/</v>
      </c>
      <c r="G402" s="10" t="str">
        <f aca="false">Config!$B$3</f>
        <v>2610_ff_lansare</v>
      </c>
      <c r="H402" s="10" t="str">
        <f aca="false">Config!$B$4</f>
        <v>general</v>
      </c>
      <c r="I402" s="10" t="str">
        <f aca="false">"https://"&amp;B402&amp;F402&amp;"?utm_source="&amp;D402&amp;"&amp;utm_medium="&amp;E402&amp;"&amp;utm_campaign="&amp;G402&amp;"&amp;utm_content="&amp;H402</f>
        <v>https://1clic-ia.fr/?utm_source=partner&amp;utm_medium=partner&amp;utm_campaign=2610_ff_lansare&amp;utm_content=general</v>
      </c>
    </row>
    <row r="403" customFormat="false" ht="15" hidden="false" customHeight="false" outlineLevel="0" collapsed="false">
      <c r="A403" s="10" t="s">
        <v>84</v>
      </c>
      <c r="B403" s="10" t="str">
        <f aca="false">INDEX('Site-uri'!$B$2:$B$20,MATCH(A403,'Site-uri'!$A$2:$A$20,0))</f>
        <v>1clic-ia.fr</v>
      </c>
      <c r="C403" s="10" t="s">
        <v>192</v>
      </c>
      <c r="D403" s="10" t="str">
        <f aca="false">INDEX(Canale!$C$2:$C$30,MATCH(C403,Canale!$A$2:$A$30,0))</f>
        <v>pdf_proposal</v>
      </c>
      <c r="E403" s="10" t="str">
        <f aca="false">INDEX(Canale!$D$2:$D$30,MATCH(C403,Canale!$A$2:$A$30,0))</f>
        <v>document</v>
      </c>
      <c r="F403" s="10" t="str">
        <f aca="false">INDEX('Site-uri'!$C$2:$C$20,MATCH(A403,'Site-uri'!$A$2:$A$20,0))</f>
        <v>/</v>
      </c>
      <c r="G403" s="10" t="str">
        <f aca="false">Config!$B$3</f>
        <v>2610_ff_lansare</v>
      </c>
      <c r="H403" s="10" t="str">
        <f aca="false">Config!$B$4</f>
        <v>general</v>
      </c>
      <c r="I403" s="10" t="str">
        <f aca="false">"https://"&amp;B403&amp;F403&amp;"?utm_source="&amp;D403&amp;"&amp;utm_medium="&amp;E403&amp;"&amp;utm_campaign="&amp;G403&amp;"&amp;utm_content="&amp;H403</f>
        <v>https://1clic-ia.fr/?utm_source=pdf_proposal&amp;utm_medium=document&amp;utm_campaign=2610_ff_lansare&amp;utm_content=general</v>
      </c>
    </row>
    <row r="404" customFormat="false" ht="15" hidden="false" customHeight="false" outlineLevel="0" collapsed="false">
      <c r="A404" s="10" t="s">
        <v>84</v>
      </c>
      <c r="B404" s="10" t="str">
        <f aca="false">INDEX('Site-uri'!$B$2:$B$20,MATCH(A404,'Site-uri'!$A$2:$A$20,0))</f>
        <v>1clic-ia.fr</v>
      </c>
      <c r="C404" s="10" t="s">
        <v>197</v>
      </c>
      <c r="D404" s="10" t="str">
        <f aca="false">INDEX(Canale!$C$2:$C$30,MATCH(C404,Canale!$A$2:$A$30,0))</f>
        <v>qr_print</v>
      </c>
      <c r="E404" s="10" t="str">
        <f aca="false">INDEX(Canale!$D$2:$D$30,MATCH(C404,Canale!$A$2:$A$30,0))</f>
        <v>qr</v>
      </c>
      <c r="F404" s="10" t="str">
        <f aca="false">INDEX('Site-uri'!$C$2:$C$20,MATCH(A404,'Site-uri'!$A$2:$A$20,0))</f>
        <v>/</v>
      </c>
      <c r="G404" s="10" t="str">
        <f aca="false">Config!$B$3</f>
        <v>2610_ff_lansare</v>
      </c>
      <c r="H404" s="10" t="str">
        <f aca="false">Config!$B$4</f>
        <v>general</v>
      </c>
      <c r="I404" s="10" t="str">
        <f aca="false">"https://"&amp;B404&amp;F404&amp;"?utm_source="&amp;D404&amp;"&amp;utm_medium="&amp;E404&amp;"&amp;utm_campaign="&amp;G404&amp;"&amp;utm_content="&amp;H404</f>
        <v>https://1clic-ia.fr/?utm_source=qr_print&amp;utm_medium=qr&amp;utm_campaign=2610_ff_lansare&amp;utm_content=general</v>
      </c>
    </row>
    <row r="405" customFormat="false" ht="15" hidden="false" customHeight="false" outlineLevel="0" collapsed="false">
      <c r="A405" s="10" t="s">
        <v>84</v>
      </c>
      <c r="B405" s="10" t="str">
        <f aca="false">INDEX('Site-uri'!$B$2:$B$20,MATCH(A405,'Site-uri'!$A$2:$A$20,0))</f>
        <v>1clic-ia.fr</v>
      </c>
      <c r="C405" s="10" t="s">
        <v>201</v>
      </c>
      <c r="D405" s="10" t="str">
        <f aca="false">INDEX(Canale!$C$2:$C$30,MATCH(C405,Canale!$A$2:$A$30,0))</f>
        <v>event</v>
      </c>
      <c r="E405" s="10" t="str">
        <f aca="false">INDEX(Canale!$D$2:$D$30,MATCH(C405,Canale!$A$2:$A$30,0))</f>
        <v>event</v>
      </c>
      <c r="F405" s="10" t="str">
        <f aca="false">INDEX('Site-uri'!$C$2:$C$20,MATCH(A405,'Site-uri'!$A$2:$A$20,0))</f>
        <v>/</v>
      </c>
      <c r="G405" s="10" t="str">
        <f aca="false">Config!$B$3</f>
        <v>2610_ff_lansare</v>
      </c>
      <c r="H405" s="10" t="str">
        <f aca="false">Config!$B$4</f>
        <v>general</v>
      </c>
      <c r="I405" s="10" t="str">
        <f aca="false">"https://"&amp;B405&amp;F405&amp;"?utm_source="&amp;D405&amp;"&amp;utm_medium="&amp;E405&amp;"&amp;utm_campaign="&amp;G405&amp;"&amp;utm_content="&amp;H405</f>
        <v>https://1clic-ia.fr/?utm_source=event&amp;utm_medium=event&amp;utm_campaign=2610_ff_lansare&amp;utm_content=general</v>
      </c>
    </row>
    <row r="406" customFormat="false" ht="15" hidden="false" customHeight="false" outlineLevel="0" collapsed="false">
      <c r="A406" s="10" t="s">
        <v>84</v>
      </c>
      <c r="B406" s="10" t="str">
        <f aca="false">INDEX('Site-uri'!$B$2:$B$20,MATCH(A406,'Site-uri'!$A$2:$A$20,0))</f>
        <v>1clic-ia.fr</v>
      </c>
      <c r="C406" s="10" t="s">
        <v>203</v>
      </c>
      <c r="D406" s="10" t="str">
        <f aca="false">INDEX(Canale!$C$2:$C$30,MATCH(C406,Canale!$A$2:$A$30,0))</f>
        <v>a2a_agent_card</v>
      </c>
      <c r="E406" s="10" t="str">
        <f aca="false">INDEX(Canale!$D$2:$D$30,MATCH(C406,Canale!$A$2:$A$30,0))</f>
        <v>agent</v>
      </c>
      <c r="F406" s="10" t="str">
        <f aca="false">INDEX('Site-uri'!$C$2:$C$20,MATCH(A406,'Site-uri'!$A$2:$A$20,0))</f>
        <v>/</v>
      </c>
      <c r="G406" s="10" t="str">
        <f aca="false">Config!$B$3</f>
        <v>2610_ff_lansare</v>
      </c>
      <c r="H406" s="10" t="str">
        <f aca="false">Config!$B$4</f>
        <v>general</v>
      </c>
      <c r="I406" s="10" t="str">
        <f aca="false">"https://"&amp;B406&amp;F406&amp;"?utm_source="&amp;D406&amp;"&amp;utm_medium="&amp;E406&amp;"&amp;utm_campaign="&amp;G406&amp;"&amp;utm_content="&amp;H406</f>
        <v>https://1clic-ia.fr/?utm_source=a2a_agent_card&amp;utm_medium=agent&amp;utm_campaign=2610_ff_lansare&amp;utm_content=general</v>
      </c>
    </row>
    <row r="407" customFormat="false" ht="15" hidden="false" customHeight="false" outlineLevel="0" collapsed="false">
      <c r="A407" s="10" t="s">
        <v>84</v>
      </c>
      <c r="B407" s="10" t="str">
        <f aca="false">INDEX('Site-uri'!$B$2:$B$20,MATCH(A407,'Site-uri'!$A$2:$A$20,0))</f>
        <v>1clic-ia.fr</v>
      </c>
      <c r="C407" s="10" t="s">
        <v>208</v>
      </c>
      <c r="D407" s="10" t="str">
        <f aca="false">INDEX(Canale!$C$2:$C$30,MATCH(C407,Canale!$A$2:$A$30,0))</f>
        <v>llms_txt</v>
      </c>
      <c r="E407" s="10" t="str">
        <f aca="false">INDEX(Canale!$D$2:$D$30,MATCH(C407,Canale!$A$2:$A$30,0))</f>
        <v>ai_web</v>
      </c>
      <c r="F407" s="10" t="str">
        <f aca="false">INDEX('Site-uri'!$C$2:$C$20,MATCH(A407,'Site-uri'!$A$2:$A$20,0))</f>
        <v>/</v>
      </c>
      <c r="G407" s="10" t="str">
        <f aca="false">Config!$B$3</f>
        <v>2610_ff_lansare</v>
      </c>
      <c r="H407" s="10" t="str">
        <f aca="false">Config!$B$4</f>
        <v>general</v>
      </c>
      <c r="I407" s="10" t="str">
        <f aca="false">"https://"&amp;B407&amp;F407&amp;"?utm_source="&amp;D407&amp;"&amp;utm_medium="&amp;E407&amp;"&amp;utm_campaign="&amp;G407&amp;"&amp;utm_content="&amp;H407</f>
        <v>https://1clic-ia.fr/?utm_source=llms_txt&amp;utm_medium=ai_web&amp;utm_campaign=2610_ff_lansare&amp;utm_content=general</v>
      </c>
    </row>
    <row r="408" customFormat="false" ht="15" hidden="false" customHeight="false" outlineLevel="0" collapsed="false">
      <c r="A408" s="10" t="s">
        <v>86</v>
      </c>
      <c r="B408" s="10" t="str">
        <f aca="false">INDEX('Site-uri'!$B$2:$B$20,MATCH(A408,'Site-uri'!$A$2:$A$20,0))</f>
        <v>firmsfinder.eu</v>
      </c>
      <c r="C408" s="10" t="s">
        <v>103</v>
      </c>
      <c r="D408" s="10" t="str">
        <f aca="false">INDEX(Canale!$C$2:$C$30,MATCH(C408,Canale!$A$2:$A$30,0))</f>
        <v>linkedin_personal</v>
      </c>
      <c r="E408" s="10" t="str">
        <f aca="false">INDEX(Canale!$D$2:$D$30,MATCH(C408,Canale!$A$2:$A$30,0))</f>
        <v>social</v>
      </c>
      <c r="F408" s="10" t="str">
        <f aca="false">INDEX('Site-uri'!$C$2:$C$20,MATCH(A408,'Site-uri'!$A$2:$A$20,0))</f>
        <v>/</v>
      </c>
      <c r="G408" s="10" t="str">
        <f aca="false">Config!$B$3</f>
        <v>2610_ff_lansare</v>
      </c>
      <c r="H408" s="10" t="str">
        <f aca="false">Config!$B$4</f>
        <v>general</v>
      </c>
      <c r="I408" s="10" t="str">
        <f aca="false">"https://"&amp;B408&amp;F408&amp;"?utm_source="&amp;D408&amp;"&amp;utm_medium="&amp;E408&amp;"&amp;utm_campaign="&amp;G408&amp;"&amp;utm_content="&amp;H408</f>
        <v>https://firmsfinder.eu/?utm_source=linkedin_personal&amp;utm_medium=social&amp;utm_campaign=2610_ff_lansare&amp;utm_content=general</v>
      </c>
    </row>
    <row r="409" customFormat="false" ht="15" hidden="false" customHeight="false" outlineLevel="0" collapsed="false">
      <c r="A409" s="10" t="s">
        <v>86</v>
      </c>
      <c r="B409" s="10" t="str">
        <f aca="false">INDEX('Site-uri'!$B$2:$B$20,MATCH(A409,'Site-uri'!$A$2:$A$20,0))</f>
        <v>firmsfinder.eu</v>
      </c>
      <c r="C409" s="10" t="s">
        <v>108</v>
      </c>
      <c r="D409" s="10" t="str">
        <f aca="false">INDEX(Canale!$C$2:$C$30,MATCH(C409,Canale!$A$2:$A$30,0))</f>
        <v>linkedin_company</v>
      </c>
      <c r="E409" s="10" t="str">
        <f aca="false">INDEX(Canale!$D$2:$D$30,MATCH(C409,Canale!$A$2:$A$30,0))</f>
        <v>social</v>
      </c>
      <c r="F409" s="10" t="str">
        <f aca="false">INDEX('Site-uri'!$C$2:$C$20,MATCH(A409,'Site-uri'!$A$2:$A$20,0))</f>
        <v>/</v>
      </c>
      <c r="G409" s="10" t="str">
        <f aca="false">Config!$B$3</f>
        <v>2610_ff_lansare</v>
      </c>
      <c r="H409" s="10" t="str">
        <f aca="false">Config!$B$4</f>
        <v>general</v>
      </c>
      <c r="I409" s="10" t="str">
        <f aca="false">"https://"&amp;B409&amp;F409&amp;"?utm_source="&amp;D409&amp;"&amp;utm_medium="&amp;E409&amp;"&amp;utm_campaign="&amp;G409&amp;"&amp;utm_content="&amp;H409</f>
        <v>https://firmsfinder.eu/?utm_source=linkedin_company&amp;utm_medium=social&amp;utm_campaign=2610_ff_lansare&amp;utm_content=general</v>
      </c>
    </row>
    <row r="410" customFormat="false" ht="15" hidden="false" customHeight="false" outlineLevel="0" collapsed="false">
      <c r="A410" s="10" t="s">
        <v>86</v>
      </c>
      <c r="B410" s="10" t="str">
        <f aca="false">INDEX('Site-uri'!$B$2:$B$20,MATCH(A410,'Site-uri'!$A$2:$A$20,0))</f>
        <v>firmsfinder.eu</v>
      </c>
      <c r="C410" s="10" t="s">
        <v>111</v>
      </c>
      <c r="D410" s="10" t="str">
        <f aca="false">INDEX(Canale!$C$2:$C$30,MATCH(C410,Canale!$A$2:$A$30,0))</f>
        <v>linkedin_showcase</v>
      </c>
      <c r="E410" s="10" t="str">
        <f aca="false">INDEX(Canale!$D$2:$D$30,MATCH(C410,Canale!$A$2:$A$30,0))</f>
        <v>social</v>
      </c>
      <c r="F410" s="10" t="str">
        <f aca="false">INDEX('Site-uri'!$C$2:$C$20,MATCH(A410,'Site-uri'!$A$2:$A$20,0))</f>
        <v>/</v>
      </c>
      <c r="G410" s="10" t="str">
        <f aca="false">Config!$B$3</f>
        <v>2610_ff_lansare</v>
      </c>
      <c r="H410" s="10" t="str">
        <f aca="false">Config!$B$4</f>
        <v>general</v>
      </c>
      <c r="I410" s="10" t="str">
        <f aca="false">"https://"&amp;B410&amp;F410&amp;"?utm_source="&amp;D410&amp;"&amp;utm_medium="&amp;E410&amp;"&amp;utm_campaign="&amp;G410&amp;"&amp;utm_content="&amp;H410</f>
        <v>https://firmsfinder.eu/?utm_source=linkedin_showcase&amp;utm_medium=social&amp;utm_campaign=2610_ff_lansare&amp;utm_content=general</v>
      </c>
    </row>
    <row r="411" customFormat="false" ht="15" hidden="false" customHeight="false" outlineLevel="0" collapsed="false">
      <c r="A411" s="10" t="s">
        <v>86</v>
      </c>
      <c r="B411" s="10" t="str">
        <f aca="false">INDEX('Site-uri'!$B$2:$B$20,MATCH(A411,'Site-uri'!$A$2:$A$20,0))</f>
        <v>firmsfinder.eu</v>
      </c>
      <c r="C411" s="10" t="s">
        <v>114</v>
      </c>
      <c r="D411" s="10" t="str">
        <f aca="false">INDEX(Canale!$C$2:$C$30,MATCH(C411,Canale!$A$2:$A$30,0))</f>
        <v>linkedin_newsletter</v>
      </c>
      <c r="E411" s="10" t="str">
        <f aca="false">INDEX(Canale!$D$2:$D$30,MATCH(C411,Canale!$A$2:$A$30,0))</f>
        <v>social</v>
      </c>
      <c r="F411" s="10" t="str">
        <f aca="false">INDEX('Site-uri'!$C$2:$C$20,MATCH(A411,'Site-uri'!$A$2:$A$20,0))</f>
        <v>/</v>
      </c>
      <c r="G411" s="10" t="str">
        <f aca="false">Config!$B$3</f>
        <v>2610_ff_lansare</v>
      </c>
      <c r="H411" s="10" t="str">
        <f aca="false">Config!$B$4</f>
        <v>general</v>
      </c>
      <c r="I411" s="10" t="str">
        <f aca="false">"https://"&amp;B411&amp;F411&amp;"?utm_source="&amp;D411&amp;"&amp;utm_medium="&amp;E411&amp;"&amp;utm_campaign="&amp;G411&amp;"&amp;utm_content="&amp;H411</f>
        <v>https://firmsfinder.eu/?utm_source=linkedin_newsletter&amp;utm_medium=social&amp;utm_campaign=2610_ff_lansare&amp;utm_content=general</v>
      </c>
    </row>
    <row r="412" customFormat="false" ht="15" hidden="false" customHeight="false" outlineLevel="0" collapsed="false">
      <c r="A412" s="10" t="s">
        <v>86</v>
      </c>
      <c r="B412" s="10" t="str">
        <f aca="false">INDEX('Site-uri'!$B$2:$B$20,MATCH(A412,'Site-uri'!$A$2:$A$20,0))</f>
        <v>firmsfinder.eu</v>
      </c>
      <c r="C412" s="10" t="s">
        <v>117</v>
      </c>
      <c r="D412" s="10" t="str">
        <f aca="false">INDEX(Canale!$C$2:$C$30,MATCH(C412,Canale!$A$2:$A$30,0))</f>
        <v>linkedin_ads</v>
      </c>
      <c r="E412" s="10" t="str">
        <f aca="false">INDEX(Canale!$D$2:$D$30,MATCH(C412,Canale!$A$2:$A$30,0))</f>
        <v>paid_social</v>
      </c>
      <c r="F412" s="10" t="str">
        <f aca="false">INDEX('Site-uri'!$C$2:$C$20,MATCH(A412,'Site-uri'!$A$2:$A$20,0))</f>
        <v>/</v>
      </c>
      <c r="G412" s="10" t="str">
        <f aca="false">Config!$B$3</f>
        <v>2610_ff_lansare</v>
      </c>
      <c r="H412" s="10" t="str">
        <f aca="false">Config!$B$4</f>
        <v>general</v>
      </c>
      <c r="I412" s="10" t="str">
        <f aca="false">"https://"&amp;B412&amp;F412&amp;"?utm_source="&amp;D412&amp;"&amp;utm_medium="&amp;E412&amp;"&amp;utm_campaign="&amp;G412&amp;"&amp;utm_content="&amp;H412</f>
        <v>https://firmsfinder.eu/?utm_source=linkedin_ads&amp;utm_medium=paid_social&amp;utm_campaign=2610_ff_lansare&amp;utm_content=general</v>
      </c>
    </row>
    <row r="413" customFormat="false" ht="15" hidden="false" customHeight="false" outlineLevel="0" collapsed="false">
      <c r="A413" s="10" t="s">
        <v>86</v>
      </c>
      <c r="B413" s="10" t="str">
        <f aca="false">INDEX('Site-uri'!$B$2:$B$20,MATCH(A413,'Site-uri'!$A$2:$A$20,0))</f>
        <v>firmsfinder.eu</v>
      </c>
      <c r="C413" s="10" t="s">
        <v>121</v>
      </c>
      <c r="D413" s="10" t="str">
        <f aca="false">INDEX(Canale!$C$2:$C$30,MATCH(C413,Canale!$A$2:$A$30,0))</f>
        <v>linkedin_dm</v>
      </c>
      <c r="E413" s="10" t="str">
        <f aca="false">INDEX(Canale!$D$2:$D$30,MATCH(C413,Canale!$A$2:$A$30,0))</f>
        <v>dm</v>
      </c>
      <c r="F413" s="10" t="str">
        <f aca="false">INDEX('Site-uri'!$C$2:$C$20,MATCH(A413,'Site-uri'!$A$2:$A$20,0))</f>
        <v>/</v>
      </c>
      <c r="G413" s="10" t="str">
        <f aca="false">Config!$B$3</f>
        <v>2610_ff_lansare</v>
      </c>
      <c r="H413" s="10" t="str">
        <f aca="false">Config!$B$4</f>
        <v>general</v>
      </c>
      <c r="I413" s="10" t="str">
        <f aca="false">"https://"&amp;B413&amp;F413&amp;"?utm_source="&amp;D413&amp;"&amp;utm_medium="&amp;E413&amp;"&amp;utm_campaign="&amp;G413&amp;"&amp;utm_content="&amp;H413</f>
        <v>https://firmsfinder.eu/?utm_source=linkedin_dm&amp;utm_medium=dm&amp;utm_campaign=2610_ff_lansare&amp;utm_content=general</v>
      </c>
    </row>
    <row r="414" customFormat="false" ht="15" hidden="false" customHeight="false" outlineLevel="0" collapsed="false">
      <c r="A414" s="10" t="s">
        <v>86</v>
      </c>
      <c r="B414" s="10" t="str">
        <f aca="false">INDEX('Site-uri'!$B$2:$B$20,MATCH(A414,'Site-uri'!$A$2:$A$20,0))</f>
        <v>firmsfinder.eu</v>
      </c>
      <c r="C414" s="10" t="s">
        <v>125</v>
      </c>
      <c r="D414" s="10" t="str">
        <f aca="false">INDEX(Canale!$C$2:$C$30,MATCH(C414,Canale!$A$2:$A$30,0))</f>
        <v>email_outreach</v>
      </c>
      <c r="E414" s="10" t="str">
        <f aca="false">INDEX(Canale!$D$2:$D$30,MATCH(C414,Canale!$A$2:$A$30,0))</f>
        <v>email</v>
      </c>
      <c r="F414" s="10" t="str">
        <f aca="false">INDEX('Site-uri'!$C$2:$C$20,MATCH(A414,'Site-uri'!$A$2:$A$20,0))</f>
        <v>/</v>
      </c>
      <c r="G414" s="10" t="str">
        <f aca="false">Config!$B$3</f>
        <v>2610_ff_lansare</v>
      </c>
      <c r="H414" s="10" t="str">
        <f aca="false">Config!$B$4</f>
        <v>general</v>
      </c>
      <c r="I414" s="10" t="str">
        <f aca="false">"https://"&amp;B414&amp;F414&amp;"?utm_source="&amp;D414&amp;"&amp;utm_medium="&amp;E414&amp;"&amp;utm_campaign="&amp;G414&amp;"&amp;utm_content="&amp;H414</f>
        <v>https://firmsfinder.eu/?utm_source=email_outreach&amp;utm_medium=email&amp;utm_campaign=2610_ff_lansare&amp;utm_content=general</v>
      </c>
    </row>
    <row r="415" customFormat="false" ht="15" hidden="false" customHeight="false" outlineLevel="0" collapsed="false">
      <c r="A415" s="10" t="s">
        <v>86</v>
      </c>
      <c r="B415" s="10" t="str">
        <f aca="false">INDEX('Site-uri'!$B$2:$B$20,MATCH(A415,'Site-uri'!$A$2:$A$20,0))</f>
        <v>firmsfinder.eu</v>
      </c>
      <c r="C415" s="10" t="s">
        <v>130</v>
      </c>
      <c r="D415" s="10" t="str">
        <f aca="false">INDEX(Canale!$C$2:$C$30,MATCH(C415,Canale!$A$2:$A$30,0))</f>
        <v>newsletter</v>
      </c>
      <c r="E415" s="10" t="str">
        <f aca="false">INDEX(Canale!$D$2:$D$30,MATCH(C415,Canale!$A$2:$A$30,0))</f>
        <v>email</v>
      </c>
      <c r="F415" s="10" t="str">
        <f aca="false">INDEX('Site-uri'!$C$2:$C$20,MATCH(A415,'Site-uri'!$A$2:$A$20,0))</f>
        <v>/</v>
      </c>
      <c r="G415" s="10" t="str">
        <f aca="false">Config!$B$3</f>
        <v>2610_ff_lansare</v>
      </c>
      <c r="H415" s="10" t="str">
        <f aca="false">Config!$B$4</f>
        <v>general</v>
      </c>
      <c r="I415" s="10" t="str">
        <f aca="false">"https://"&amp;B415&amp;F415&amp;"?utm_source="&amp;D415&amp;"&amp;utm_medium="&amp;E415&amp;"&amp;utm_campaign="&amp;G415&amp;"&amp;utm_content="&amp;H415</f>
        <v>https://firmsfinder.eu/?utm_source=newsletter&amp;utm_medium=email&amp;utm_campaign=2610_ff_lansare&amp;utm_content=general</v>
      </c>
    </row>
    <row r="416" customFormat="false" ht="15" hidden="false" customHeight="false" outlineLevel="0" collapsed="false">
      <c r="A416" s="10" t="s">
        <v>86</v>
      </c>
      <c r="B416" s="10" t="str">
        <f aca="false">INDEX('Site-uri'!$B$2:$B$20,MATCH(A416,'Site-uri'!$A$2:$A$20,0))</f>
        <v>firmsfinder.eu</v>
      </c>
      <c r="C416" s="10" t="s">
        <v>133</v>
      </c>
      <c r="D416" s="10" t="str">
        <f aca="false">INDEX(Canale!$C$2:$C$30,MATCH(C416,Canale!$A$2:$A$30,0))</f>
        <v>email_signature</v>
      </c>
      <c r="E416" s="10" t="str">
        <f aca="false">INDEX(Canale!$D$2:$D$30,MATCH(C416,Canale!$A$2:$A$30,0))</f>
        <v>email</v>
      </c>
      <c r="F416" s="10" t="str">
        <f aca="false">INDEX('Site-uri'!$C$2:$C$20,MATCH(A416,'Site-uri'!$A$2:$A$20,0))</f>
        <v>/</v>
      </c>
      <c r="G416" s="10" t="str">
        <f aca="false">Config!$B$3</f>
        <v>2610_ff_lansare</v>
      </c>
      <c r="H416" s="10" t="str">
        <f aca="false">Config!$B$4</f>
        <v>general</v>
      </c>
      <c r="I416" s="10" t="str">
        <f aca="false">"https://"&amp;B416&amp;F416&amp;"?utm_source="&amp;D416&amp;"&amp;utm_medium="&amp;E416&amp;"&amp;utm_campaign="&amp;G416&amp;"&amp;utm_content="&amp;H416</f>
        <v>https://firmsfinder.eu/?utm_source=email_signature&amp;utm_medium=email&amp;utm_campaign=2610_ff_lansare&amp;utm_content=general</v>
      </c>
    </row>
    <row r="417" customFormat="false" ht="15" hidden="false" customHeight="false" outlineLevel="0" collapsed="false">
      <c r="A417" s="10" t="s">
        <v>86</v>
      </c>
      <c r="B417" s="10" t="str">
        <f aca="false">INDEX('Site-uri'!$B$2:$B$20,MATCH(A417,'Site-uri'!$A$2:$A$20,0))</f>
        <v>firmsfinder.eu</v>
      </c>
      <c r="C417" s="10" t="s">
        <v>136</v>
      </c>
      <c r="D417" s="10" t="str">
        <f aca="false">INDEX(Canale!$C$2:$C$30,MATCH(C417,Canale!$A$2:$A$30,0))</f>
        <v>whatsapp</v>
      </c>
      <c r="E417" s="10" t="str">
        <f aca="false">INDEX(Canale!$D$2:$D$30,MATCH(C417,Canale!$A$2:$A$30,0))</f>
        <v>dm</v>
      </c>
      <c r="F417" s="10" t="str">
        <f aca="false">INDEX('Site-uri'!$C$2:$C$20,MATCH(A417,'Site-uri'!$A$2:$A$20,0))</f>
        <v>/</v>
      </c>
      <c r="G417" s="10" t="str">
        <f aca="false">Config!$B$3</f>
        <v>2610_ff_lansare</v>
      </c>
      <c r="H417" s="10" t="str">
        <f aca="false">Config!$B$4</f>
        <v>general</v>
      </c>
      <c r="I417" s="10" t="str">
        <f aca="false">"https://"&amp;B417&amp;F417&amp;"?utm_source="&amp;D417&amp;"&amp;utm_medium="&amp;E417&amp;"&amp;utm_campaign="&amp;G417&amp;"&amp;utm_content="&amp;H417</f>
        <v>https://firmsfinder.eu/?utm_source=whatsapp&amp;utm_medium=dm&amp;utm_campaign=2610_ff_lansare&amp;utm_content=general</v>
      </c>
    </row>
    <row r="418" customFormat="false" ht="15" hidden="false" customHeight="false" outlineLevel="0" collapsed="false">
      <c r="A418" s="10" t="s">
        <v>86</v>
      </c>
      <c r="B418" s="10" t="str">
        <f aca="false">INDEX('Site-uri'!$B$2:$B$20,MATCH(A418,'Site-uri'!$A$2:$A$20,0))</f>
        <v>firmsfinder.eu</v>
      </c>
      <c r="C418" s="10" t="s">
        <v>140</v>
      </c>
      <c r="D418" s="10" t="str">
        <f aca="false">INDEX(Canale!$C$2:$C$30,MATCH(C418,Canale!$A$2:$A$30,0))</f>
        <v>google</v>
      </c>
      <c r="E418" s="10" t="str">
        <f aca="false">INDEX(Canale!$D$2:$D$30,MATCH(C418,Canale!$A$2:$A$30,0))</f>
        <v>cpc</v>
      </c>
      <c r="F418" s="10" t="str">
        <f aca="false">INDEX('Site-uri'!$C$2:$C$20,MATCH(A418,'Site-uri'!$A$2:$A$20,0))</f>
        <v>/</v>
      </c>
      <c r="G418" s="10" t="str">
        <f aca="false">Config!$B$3</f>
        <v>2610_ff_lansare</v>
      </c>
      <c r="H418" s="10" t="str">
        <f aca="false">Config!$B$4</f>
        <v>general</v>
      </c>
      <c r="I418" s="10" t="str">
        <f aca="false">"https://"&amp;B418&amp;F418&amp;"?utm_source="&amp;D418&amp;"&amp;utm_medium="&amp;E418&amp;"&amp;utm_campaign="&amp;G418&amp;"&amp;utm_content="&amp;H418</f>
        <v>https://firmsfinder.eu/?utm_source=google&amp;utm_medium=cpc&amp;utm_campaign=2610_ff_lansare&amp;utm_content=general</v>
      </c>
    </row>
    <row r="419" customFormat="false" ht="15" hidden="false" customHeight="false" outlineLevel="0" collapsed="false">
      <c r="A419" s="10" t="s">
        <v>86</v>
      </c>
      <c r="B419" s="10" t="str">
        <f aca="false">INDEX('Site-uri'!$B$2:$B$20,MATCH(A419,'Site-uri'!$A$2:$A$20,0))</f>
        <v>firmsfinder.eu</v>
      </c>
      <c r="C419" s="10" t="s">
        <v>145</v>
      </c>
      <c r="D419" s="10" t="str">
        <f aca="false">INDEX(Canale!$C$2:$C$30,MATCH(C419,Canale!$A$2:$A$30,0))</f>
        <v>bing</v>
      </c>
      <c r="E419" s="10" t="str">
        <f aca="false">INDEX(Canale!$D$2:$D$30,MATCH(C419,Canale!$A$2:$A$30,0))</f>
        <v>cpc</v>
      </c>
      <c r="F419" s="10" t="str">
        <f aca="false">INDEX('Site-uri'!$C$2:$C$20,MATCH(A419,'Site-uri'!$A$2:$A$20,0))</f>
        <v>/</v>
      </c>
      <c r="G419" s="10" t="str">
        <f aca="false">Config!$B$3</f>
        <v>2610_ff_lansare</v>
      </c>
      <c r="H419" s="10" t="str">
        <f aca="false">Config!$B$4</f>
        <v>general</v>
      </c>
      <c r="I419" s="10" t="str">
        <f aca="false">"https://"&amp;B419&amp;F419&amp;"?utm_source="&amp;D419&amp;"&amp;utm_medium="&amp;E419&amp;"&amp;utm_campaign="&amp;G419&amp;"&amp;utm_content="&amp;H419</f>
        <v>https://firmsfinder.eu/?utm_source=bing&amp;utm_medium=cpc&amp;utm_campaign=2610_ff_lansare&amp;utm_content=general</v>
      </c>
    </row>
    <row r="420" customFormat="false" ht="15" hidden="false" customHeight="false" outlineLevel="0" collapsed="false">
      <c r="A420" s="10" t="s">
        <v>86</v>
      </c>
      <c r="B420" s="10" t="str">
        <f aca="false">INDEX('Site-uri'!$B$2:$B$20,MATCH(A420,'Site-uri'!$A$2:$A$20,0))</f>
        <v>firmsfinder.eu</v>
      </c>
      <c r="C420" s="10" t="s">
        <v>148</v>
      </c>
      <c r="D420" s="10" t="str">
        <f aca="false">INDEX(Canale!$C$2:$C$30,MATCH(C420,Canale!$A$2:$A$30,0))</f>
        <v>facebook</v>
      </c>
      <c r="E420" s="10" t="str">
        <f aca="false">INDEX(Canale!$D$2:$D$30,MATCH(C420,Canale!$A$2:$A$30,0))</f>
        <v>social</v>
      </c>
      <c r="F420" s="10" t="str">
        <f aca="false">INDEX('Site-uri'!$C$2:$C$20,MATCH(A420,'Site-uri'!$A$2:$A$20,0))</f>
        <v>/</v>
      </c>
      <c r="G420" s="10" t="str">
        <f aca="false">Config!$B$3</f>
        <v>2610_ff_lansare</v>
      </c>
      <c r="H420" s="10" t="str">
        <f aca="false">Config!$B$4</f>
        <v>general</v>
      </c>
      <c r="I420" s="10" t="str">
        <f aca="false">"https://"&amp;B420&amp;F420&amp;"?utm_source="&amp;D420&amp;"&amp;utm_medium="&amp;E420&amp;"&amp;utm_campaign="&amp;G420&amp;"&amp;utm_content="&amp;H420</f>
        <v>https://firmsfinder.eu/?utm_source=facebook&amp;utm_medium=social&amp;utm_campaign=2610_ff_lansare&amp;utm_content=general</v>
      </c>
    </row>
    <row r="421" customFormat="false" ht="15" hidden="false" customHeight="false" outlineLevel="0" collapsed="false">
      <c r="A421" s="10" t="s">
        <v>86</v>
      </c>
      <c r="B421" s="10" t="str">
        <f aca="false">INDEX('Site-uri'!$B$2:$B$20,MATCH(A421,'Site-uri'!$A$2:$A$20,0))</f>
        <v>firmsfinder.eu</v>
      </c>
      <c r="C421" s="10" t="s">
        <v>152</v>
      </c>
      <c r="D421" s="10" t="str">
        <f aca="false">INDEX(Canale!$C$2:$C$30,MATCH(C421,Canale!$A$2:$A$30,0))</f>
        <v>x</v>
      </c>
      <c r="E421" s="10" t="str">
        <f aca="false">INDEX(Canale!$D$2:$D$30,MATCH(C421,Canale!$A$2:$A$30,0))</f>
        <v>social</v>
      </c>
      <c r="F421" s="10" t="str">
        <f aca="false">INDEX('Site-uri'!$C$2:$C$20,MATCH(A421,'Site-uri'!$A$2:$A$20,0))</f>
        <v>/</v>
      </c>
      <c r="G421" s="10" t="str">
        <f aca="false">Config!$B$3</f>
        <v>2610_ff_lansare</v>
      </c>
      <c r="H421" s="10" t="str">
        <f aca="false">Config!$B$4</f>
        <v>general</v>
      </c>
      <c r="I421" s="10" t="str">
        <f aca="false">"https://"&amp;B421&amp;F421&amp;"?utm_source="&amp;D421&amp;"&amp;utm_medium="&amp;E421&amp;"&amp;utm_campaign="&amp;G421&amp;"&amp;utm_content="&amp;H421</f>
        <v>https://firmsfinder.eu/?utm_source=x&amp;utm_medium=social&amp;utm_campaign=2610_ff_lansare&amp;utm_content=general</v>
      </c>
    </row>
    <row r="422" customFormat="false" ht="15" hidden="false" customHeight="false" outlineLevel="0" collapsed="false">
      <c r="A422" s="10" t="s">
        <v>86</v>
      </c>
      <c r="B422" s="10" t="str">
        <f aca="false">INDEX('Site-uri'!$B$2:$B$20,MATCH(A422,'Site-uri'!$A$2:$A$20,0))</f>
        <v>firmsfinder.eu</v>
      </c>
      <c r="C422" s="10" t="s">
        <v>154</v>
      </c>
      <c r="D422" s="10" t="str">
        <f aca="false">INDEX(Canale!$C$2:$C$30,MATCH(C422,Canale!$A$2:$A$30,0))</f>
        <v>youtube</v>
      </c>
      <c r="E422" s="10" t="str">
        <f aca="false">INDEX(Canale!$D$2:$D$30,MATCH(C422,Canale!$A$2:$A$30,0))</f>
        <v>video</v>
      </c>
      <c r="F422" s="10" t="str">
        <f aca="false">INDEX('Site-uri'!$C$2:$C$20,MATCH(A422,'Site-uri'!$A$2:$A$20,0))</f>
        <v>/</v>
      </c>
      <c r="G422" s="10" t="str">
        <f aca="false">Config!$B$3</f>
        <v>2610_ff_lansare</v>
      </c>
      <c r="H422" s="10" t="str">
        <f aca="false">Config!$B$4</f>
        <v>general</v>
      </c>
      <c r="I422" s="10" t="str">
        <f aca="false">"https://"&amp;B422&amp;F422&amp;"?utm_source="&amp;D422&amp;"&amp;utm_medium="&amp;E422&amp;"&amp;utm_campaign="&amp;G422&amp;"&amp;utm_content="&amp;H422</f>
        <v>https://firmsfinder.eu/?utm_source=youtube&amp;utm_medium=video&amp;utm_campaign=2610_ff_lansare&amp;utm_content=general</v>
      </c>
    </row>
    <row r="423" customFormat="false" ht="15" hidden="false" customHeight="false" outlineLevel="0" collapsed="false">
      <c r="A423" s="10" t="s">
        <v>86</v>
      </c>
      <c r="B423" s="10" t="str">
        <f aca="false">INDEX('Site-uri'!$B$2:$B$20,MATCH(A423,'Site-uri'!$A$2:$A$20,0))</f>
        <v>firmsfinder.eu</v>
      </c>
      <c r="C423" s="10" t="s">
        <v>159</v>
      </c>
      <c r="D423" s="10" t="str">
        <f aca="false">INDEX(Canale!$C$2:$C$30,MATCH(C423,Canale!$A$2:$A$30,0))</f>
        <v>medium</v>
      </c>
      <c r="E423" s="10" t="str">
        <f aca="false">INDEX(Canale!$D$2:$D$30,MATCH(C423,Canale!$A$2:$A$30,0))</f>
        <v>content</v>
      </c>
      <c r="F423" s="10" t="str">
        <f aca="false">INDEX('Site-uri'!$C$2:$C$20,MATCH(A423,'Site-uri'!$A$2:$A$20,0))</f>
        <v>/</v>
      </c>
      <c r="G423" s="10" t="str">
        <f aca="false">Config!$B$3</f>
        <v>2610_ff_lansare</v>
      </c>
      <c r="H423" s="10" t="str">
        <f aca="false">Config!$B$4</f>
        <v>general</v>
      </c>
      <c r="I423" s="10" t="str">
        <f aca="false">"https://"&amp;B423&amp;F423&amp;"?utm_source="&amp;D423&amp;"&amp;utm_medium="&amp;E423&amp;"&amp;utm_campaign="&amp;G423&amp;"&amp;utm_content="&amp;H423</f>
        <v>https://firmsfinder.eu/?utm_source=medium&amp;utm_medium=content&amp;utm_campaign=2610_ff_lansare&amp;utm_content=general</v>
      </c>
    </row>
    <row r="424" customFormat="false" ht="15" hidden="false" customHeight="false" outlineLevel="0" collapsed="false">
      <c r="A424" s="10" t="s">
        <v>86</v>
      </c>
      <c r="B424" s="10" t="str">
        <f aca="false">INDEX('Site-uri'!$B$2:$B$20,MATCH(A424,'Site-uri'!$A$2:$A$20,0))</f>
        <v>firmsfinder.eu</v>
      </c>
      <c r="C424" s="10" t="s">
        <v>164</v>
      </c>
      <c r="D424" s="10" t="str">
        <f aca="false">INDEX(Canale!$C$2:$C$30,MATCH(C424,Canale!$A$2:$A$30,0))</f>
        <v>crunchbase</v>
      </c>
      <c r="E424" s="10" t="str">
        <f aca="false">INDEX(Canale!$D$2:$D$30,MATCH(C424,Canale!$A$2:$A$30,0))</f>
        <v>referral</v>
      </c>
      <c r="F424" s="10" t="str">
        <f aca="false">INDEX('Site-uri'!$C$2:$C$20,MATCH(A424,'Site-uri'!$A$2:$A$20,0))</f>
        <v>/</v>
      </c>
      <c r="G424" s="10" t="str">
        <f aca="false">Config!$B$3</f>
        <v>2610_ff_lansare</v>
      </c>
      <c r="H424" s="10" t="str">
        <f aca="false">Config!$B$4</f>
        <v>general</v>
      </c>
      <c r="I424" s="10" t="str">
        <f aca="false">"https://"&amp;B424&amp;F424&amp;"?utm_source="&amp;D424&amp;"&amp;utm_medium="&amp;E424&amp;"&amp;utm_campaign="&amp;G424&amp;"&amp;utm_content="&amp;H424</f>
        <v>https://firmsfinder.eu/?utm_source=crunchbase&amp;utm_medium=referral&amp;utm_campaign=2610_ff_lansare&amp;utm_content=general</v>
      </c>
    </row>
    <row r="425" customFormat="false" ht="15" hidden="false" customHeight="false" outlineLevel="0" collapsed="false">
      <c r="A425" s="10" t="s">
        <v>86</v>
      </c>
      <c r="B425" s="10" t="str">
        <f aca="false">INDEX('Site-uri'!$B$2:$B$20,MATCH(A425,'Site-uri'!$A$2:$A$20,0))</f>
        <v>firmsfinder.eu</v>
      </c>
      <c r="C425" s="10" t="s">
        <v>169</v>
      </c>
      <c r="D425" s="10" t="str">
        <f aca="false">INDEX(Canale!$C$2:$C$30,MATCH(C425,Canale!$A$2:$A$30,0))</f>
        <v>zenodo</v>
      </c>
      <c r="E425" s="10" t="str">
        <f aca="false">INDEX(Canale!$D$2:$D$30,MATCH(C425,Canale!$A$2:$A$30,0))</f>
        <v>referral</v>
      </c>
      <c r="F425" s="10" t="str">
        <f aca="false">INDEX('Site-uri'!$C$2:$C$20,MATCH(A425,'Site-uri'!$A$2:$A$20,0))</f>
        <v>/</v>
      </c>
      <c r="G425" s="10" t="str">
        <f aca="false">Config!$B$3</f>
        <v>2610_ff_lansare</v>
      </c>
      <c r="H425" s="10" t="str">
        <f aca="false">Config!$B$4</f>
        <v>general</v>
      </c>
      <c r="I425" s="10" t="str">
        <f aca="false">"https://"&amp;B425&amp;F425&amp;"?utm_source="&amp;D425&amp;"&amp;utm_medium="&amp;E425&amp;"&amp;utm_campaign="&amp;G425&amp;"&amp;utm_content="&amp;H425</f>
        <v>https://firmsfinder.eu/?utm_source=zenodo&amp;utm_medium=referral&amp;utm_campaign=2610_ff_lansare&amp;utm_content=general</v>
      </c>
    </row>
    <row r="426" customFormat="false" ht="15" hidden="false" customHeight="false" outlineLevel="0" collapsed="false">
      <c r="A426" s="10" t="s">
        <v>86</v>
      </c>
      <c r="B426" s="10" t="str">
        <f aca="false">INDEX('Site-uri'!$B$2:$B$20,MATCH(A426,'Site-uri'!$A$2:$A$20,0))</f>
        <v>firmsfinder.eu</v>
      </c>
      <c r="C426" s="10" t="s">
        <v>172</v>
      </c>
      <c r="D426" s="10" t="str">
        <f aca="false">INDEX(Canale!$C$2:$C$30,MATCH(C426,Canale!$A$2:$A$30,0))</f>
        <v>orcid</v>
      </c>
      <c r="E426" s="10" t="str">
        <f aca="false">INDEX(Canale!$D$2:$D$30,MATCH(C426,Canale!$A$2:$A$30,0))</f>
        <v>referral</v>
      </c>
      <c r="F426" s="10" t="str">
        <f aca="false">INDEX('Site-uri'!$C$2:$C$20,MATCH(A426,'Site-uri'!$A$2:$A$20,0))</f>
        <v>/</v>
      </c>
      <c r="G426" s="10" t="str">
        <f aca="false">Config!$B$3</f>
        <v>2610_ff_lansare</v>
      </c>
      <c r="H426" s="10" t="str">
        <f aca="false">Config!$B$4</f>
        <v>general</v>
      </c>
      <c r="I426" s="10" t="str">
        <f aca="false">"https://"&amp;B426&amp;F426&amp;"?utm_source="&amp;D426&amp;"&amp;utm_medium="&amp;E426&amp;"&amp;utm_campaign="&amp;G426&amp;"&amp;utm_content="&amp;H426</f>
        <v>https://firmsfinder.eu/?utm_source=orcid&amp;utm_medium=referral&amp;utm_campaign=2610_ff_lansare&amp;utm_content=general</v>
      </c>
    </row>
    <row r="427" customFormat="false" ht="15" hidden="false" customHeight="false" outlineLevel="0" collapsed="false">
      <c r="A427" s="10" t="s">
        <v>86</v>
      </c>
      <c r="B427" s="10" t="str">
        <f aca="false">INDEX('Site-uri'!$B$2:$B$20,MATCH(A427,'Site-uri'!$A$2:$A$20,0))</f>
        <v>firmsfinder.eu</v>
      </c>
      <c r="C427" s="10" t="s">
        <v>175</v>
      </c>
      <c r="D427" s="10" t="str">
        <f aca="false">INDEX(Canale!$C$2:$C$30,MATCH(C427,Canale!$A$2:$A$30,0))</f>
        <v>github</v>
      </c>
      <c r="E427" s="10" t="str">
        <f aca="false">INDEX(Canale!$D$2:$D$30,MATCH(C427,Canale!$A$2:$A$30,0))</f>
        <v>referral</v>
      </c>
      <c r="F427" s="10" t="str">
        <f aca="false">INDEX('Site-uri'!$C$2:$C$20,MATCH(A427,'Site-uri'!$A$2:$A$20,0))</f>
        <v>/</v>
      </c>
      <c r="G427" s="10" t="str">
        <f aca="false">Config!$B$3</f>
        <v>2610_ff_lansare</v>
      </c>
      <c r="H427" s="10" t="str">
        <f aca="false">Config!$B$4</f>
        <v>general</v>
      </c>
      <c r="I427" s="10" t="str">
        <f aca="false">"https://"&amp;B427&amp;F427&amp;"?utm_source="&amp;D427&amp;"&amp;utm_medium="&amp;E427&amp;"&amp;utm_campaign="&amp;G427&amp;"&amp;utm_content="&amp;H427</f>
        <v>https://firmsfinder.eu/?utm_source=github&amp;utm_medium=referral&amp;utm_campaign=2610_ff_lansare&amp;utm_content=general</v>
      </c>
    </row>
    <row r="428" customFormat="false" ht="15" hidden="false" customHeight="false" outlineLevel="0" collapsed="false">
      <c r="A428" s="10" t="s">
        <v>86</v>
      </c>
      <c r="B428" s="10" t="str">
        <f aca="false">INDEX('Site-uri'!$B$2:$B$20,MATCH(A428,'Site-uri'!$A$2:$A$20,0))</f>
        <v>firmsfinder.eu</v>
      </c>
      <c r="C428" s="10" t="s">
        <v>178</v>
      </c>
      <c r="D428" s="10" t="str">
        <f aca="false">INDEX(Canale!$C$2:$C$30,MATCH(C428,Canale!$A$2:$A$30,0))</f>
        <v>kdp_book</v>
      </c>
      <c r="E428" s="10" t="str">
        <f aca="false">INDEX(Canale!$D$2:$D$30,MATCH(C428,Canale!$A$2:$A$30,0))</f>
        <v>book</v>
      </c>
      <c r="F428" s="10" t="str">
        <f aca="false">INDEX('Site-uri'!$C$2:$C$20,MATCH(A428,'Site-uri'!$A$2:$A$20,0))</f>
        <v>/</v>
      </c>
      <c r="G428" s="10" t="str">
        <f aca="false">Config!$B$3</f>
        <v>2610_ff_lansare</v>
      </c>
      <c r="H428" s="10" t="str">
        <f aca="false">Config!$B$4</f>
        <v>general</v>
      </c>
      <c r="I428" s="10" t="str">
        <f aca="false">"https://"&amp;B428&amp;F428&amp;"?utm_source="&amp;D428&amp;"&amp;utm_medium="&amp;E428&amp;"&amp;utm_campaign="&amp;G428&amp;"&amp;utm_content="&amp;H428</f>
        <v>https://firmsfinder.eu/?utm_source=kdp_book&amp;utm_medium=book&amp;utm_campaign=2610_ff_lansare&amp;utm_content=general</v>
      </c>
    </row>
    <row r="429" customFormat="false" ht="15" hidden="false" customHeight="false" outlineLevel="0" collapsed="false">
      <c r="A429" s="10" t="s">
        <v>86</v>
      </c>
      <c r="B429" s="10" t="str">
        <f aca="false">INDEX('Site-uri'!$B$2:$B$20,MATCH(A429,'Site-uri'!$A$2:$A$20,0))</f>
        <v>firmsfinder.eu</v>
      </c>
      <c r="C429" s="10" t="s">
        <v>183</v>
      </c>
      <c r="D429" s="10" t="str">
        <f aca="false">INDEX(Canale!$C$2:$C$30,MATCH(C429,Canale!$A$2:$A$30,0))</f>
        <v>udemy</v>
      </c>
      <c r="E429" s="10" t="str">
        <f aca="false">INDEX(Canale!$D$2:$D$30,MATCH(C429,Canale!$A$2:$A$30,0))</f>
        <v>course</v>
      </c>
      <c r="F429" s="10" t="str">
        <f aca="false">INDEX('Site-uri'!$C$2:$C$20,MATCH(A429,'Site-uri'!$A$2:$A$20,0))</f>
        <v>/</v>
      </c>
      <c r="G429" s="10" t="str">
        <f aca="false">Config!$B$3</f>
        <v>2610_ff_lansare</v>
      </c>
      <c r="H429" s="10" t="str">
        <f aca="false">Config!$B$4</f>
        <v>general</v>
      </c>
      <c r="I429" s="10" t="str">
        <f aca="false">"https://"&amp;B429&amp;F429&amp;"?utm_source="&amp;D429&amp;"&amp;utm_medium="&amp;E429&amp;"&amp;utm_campaign="&amp;G429&amp;"&amp;utm_content="&amp;H429</f>
        <v>https://firmsfinder.eu/?utm_source=udemy&amp;utm_medium=course&amp;utm_campaign=2610_ff_lansare&amp;utm_content=general</v>
      </c>
    </row>
    <row r="430" customFormat="false" ht="15" hidden="false" customHeight="false" outlineLevel="0" collapsed="false">
      <c r="A430" s="10" t="s">
        <v>86</v>
      </c>
      <c r="B430" s="10" t="str">
        <f aca="false">INDEX('Site-uri'!$B$2:$B$20,MATCH(A430,'Site-uri'!$A$2:$A$20,0))</f>
        <v>firmsfinder.eu</v>
      </c>
      <c r="C430" s="10" t="s">
        <v>186</v>
      </c>
      <c r="D430" s="10" t="str">
        <f aca="false">INDEX(Canale!$C$2:$C$30,MATCH(C430,Canale!$A$2:$A$30,0))</f>
        <v>directory</v>
      </c>
      <c r="E430" s="10" t="str">
        <f aca="false">INDEX(Canale!$D$2:$D$30,MATCH(C430,Canale!$A$2:$A$30,0))</f>
        <v>referral</v>
      </c>
      <c r="F430" s="10" t="str">
        <f aca="false">INDEX('Site-uri'!$C$2:$C$20,MATCH(A430,'Site-uri'!$A$2:$A$20,0))</f>
        <v>/</v>
      </c>
      <c r="G430" s="10" t="str">
        <f aca="false">Config!$B$3</f>
        <v>2610_ff_lansare</v>
      </c>
      <c r="H430" s="10" t="str">
        <f aca="false">Config!$B$4</f>
        <v>general</v>
      </c>
      <c r="I430" s="10" t="str">
        <f aca="false">"https://"&amp;B430&amp;F430&amp;"?utm_source="&amp;D430&amp;"&amp;utm_medium="&amp;E430&amp;"&amp;utm_campaign="&amp;G430&amp;"&amp;utm_content="&amp;H430</f>
        <v>https://firmsfinder.eu/?utm_source=directory&amp;utm_medium=referral&amp;utm_campaign=2610_ff_lansare&amp;utm_content=general</v>
      </c>
    </row>
    <row r="431" customFormat="false" ht="15" hidden="false" customHeight="false" outlineLevel="0" collapsed="false">
      <c r="A431" s="10" t="s">
        <v>86</v>
      </c>
      <c r="B431" s="10" t="str">
        <f aca="false">INDEX('Site-uri'!$B$2:$B$20,MATCH(A431,'Site-uri'!$A$2:$A$20,0))</f>
        <v>firmsfinder.eu</v>
      </c>
      <c r="C431" s="10" t="s">
        <v>190</v>
      </c>
      <c r="D431" s="10" t="str">
        <f aca="false">INDEX(Canale!$C$2:$C$30,MATCH(C431,Canale!$A$2:$A$30,0))</f>
        <v>partner</v>
      </c>
      <c r="E431" s="10" t="str">
        <f aca="false">INDEX(Canale!$D$2:$D$30,MATCH(C431,Canale!$A$2:$A$30,0))</f>
        <v>partner</v>
      </c>
      <c r="F431" s="10" t="str">
        <f aca="false">INDEX('Site-uri'!$C$2:$C$20,MATCH(A431,'Site-uri'!$A$2:$A$20,0))</f>
        <v>/</v>
      </c>
      <c r="G431" s="10" t="str">
        <f aca="false">Config!$B$3</f>
        <v>2610_ff_lansare</v>
      </c>
      <c r="H431" s="10" t="str">
        <f aca="false">Config!$B$4</f>
        <v>general</v>
      </c>
      <c r="I431" s="10" t="str">
        <f aca="false">"https://"&amp;B431&amp;F431&amp;"?utm_source="&amp;D431&amp;"&amp;utm_medium="&amp;E431&amp;"&amp;utm_campaign="&amp;G431&amp;"&amp;utm_content="&amp;H431</f>
        <v>https://firmsfinder.eu/?utm_source=partner&amp;utm_medium=partner&amp;utm_campaign=2610_ff_lansare&amp;utm_content=general</v>
      </c>
    </row>
    <row r="432" customFormat="false" ht="15" hidden="false" customHeight="false" outlineLevel="0" collapsed="false">
      <c r="A432" s="10" t="s">
        <v>86</v>
      </c>
      <c r="B432" s="10" t="str">
        <f aca="false">INDEX('Site-uri'!$B$2:$B$20,MATCH(A432,'Site-uri'!$A$2:$A$20,0))</f>
        <v>firmsfinder.eu</v>
      </c>
      <c r="C432" s="10" t="s">
        <v>192</v>
      </c>
      <c r="D432" s="10" t="str">
        <f aca="false">INDEX(Canale!$C$2:$C$30,MATCH(C432,Canale!$A$2:$A$30,0))</f>
        <v>pdf_proposal</v>
      </c>
      <c r="E432" s="10" t="str">
        <f aca="false">INDEX(Canale!$D$2:$D$30,MATCH(C432,Canale!$A$2:$A$30,0))</f>
        <v>document</v>
      </c>
      <c r="F432" s="10" t="str">
        <f aca="false">INDEX('Site-uri'!$C$2:$C$20,MATCH(A432,'Site-uri'!$A$2:$A$20,0))</f>
        <v>/</v>
      </c>
      <c r="G432" s="10" t="str">
        <f aca="false">Config!$B$3</f>
        <v>2610_ff_lansare</v>
      </c>
      <c r="H432" s="10" t="str">
        <f aca="false">Config!$B$4</f>
        <v>general</v>
      </c>
      <c r="I432" s="10" t="str">
        <f aca="false">"https://"&amp;B432&amp;F432&amp;"?utm_source="&amp;D432&amp;"&amp;utm_medium="&amp;E432&amp;"&amp;utm_campaign="&amp;G432&amp;"&amp;utm_content="&amp;H432</f>
        <v>https://firmsfinder.eu/?utm_source=pdf_proposal&amp;utm_medium=document&amp;utm_campaign=2610_ff_lansare&amp;utm_content=general</v>
      </c>
    </row>
    <row r="433" customFormat="false" ht="15" hidden="false" customHeight="false" outlineLevel="0" collapsed="false">
      <c r="A433" s="10" t="s">
        <v>86</v>
      </c>
      <c r="B433" s="10" t="str">
        <f aca="false">INDEX('Site-uri'!$B$2:$B$20,MATCH(A433,'Site-uri'!$A$2:$A$20,0))</f>
        <v>firmsfinder.eu</v>
      </c>
      <c r="C433" s="10" t="s">
        <v>197</v>
      </c>
      <c r="D433" s="10" t="str">
        <f aca="false">INDEX(Canale!$C$2:$C$30,MATCH(C433,Canale!$A$2:$A$30,0))</f>
        <v>qr_print</v>
      </c>
      <c r="E433" s="10" t="str">
        <f aca="false">INDEX(Canale!$D$2:$D$30,MATCH(C433,Canale!$A$2:$A$30,0))</f>
        <v>qr</v>
      </c>
      <c r="F433" s="10" t="str">
        <f aca="false">INDEX('Site-uri'!$C$2:$C$20,MATCH(A433,'Site-uri'!$A$2:$A$20,0))</f>
        <v>/</v>
      </c>
      <c r="G433" s="10" t="str">
        <f aca="false">Config!$B$3</f>
        <v>2610_ff_lansare</v>
      </c>
      <c r="H433" s="10" t="str">
        <f aca="false">Config!$B$4</f>
        <v>general</v>
      </c>
      <c r="I433" s="10" t="str">
        <f aca="false">"https://"&amp;B433&amp;F433&amp;"?utm_source="&amp;D433&amp;"&amp;utm_medium="&amp;E433&amp;"&amp;utm_campaign="&amp;G433&amp;"&amp;utm_content="&amp;H433</f>
        <v>https://firmsfinder.eu/?utm_source=qr_print&amp;utm_medium=qr&amp;utm_campaign=2610_ff_lansare&amp;utm_content=general</v>
      </c>
    </row>
    <row r="434" customFormat="false" ht="15" hidden="false" customHeight="false" outlineLevel="0" collapsed="false">
      <c r="A434" s="10" t="s">
        <v>86</v>
      </c>
      <c r="B434" s="10" t="str">
        <f aca="false">INDEX('Site-uri'!$B$2:$B$20,MATCH(A434,'Site-uri'!$A$2:$A$20,0))</f>
        <v>firmsfinder.eu</v>
      </c>
      <c r="C434" s="10" t="s">
        <v>201</v>
      </c>
      <c r="D434" s="10" t="str">
        <f aca="false">INDEX(Canale!$C$2:$C$30,MATCH(C434,Canale!$A$2:$A$30,0))</f>
        <v>event</v>
      </c>
      <c r="E434" s="10" t="str">
        <f aca="false">INDEX(Canale!$D$2:$D$30,MATCH(C434,Canale!$A$2:$A$30,0))</f>
        <v>event</v>
      </c>
      <c r="F434" s="10" t="str">
        <f aca="false">INDEX('Site-uri'!$C$2:$C$20,MATCH(A434,'Site-uri'!$A$2:$A$20,0))</f>
        <v>/</v>
      </c>
      <c r="G434" s="10" t="str">
        <f aca="false">Config!$B$3</f>
        <v>2610_ff_lansare</v>
      </c>
      <c r="H434" s="10" t="str">
        <f aca="false">Config!$B$4</f>
        <v>general</v>
      </c>
      <c r="I434" s="10" t="str">
        <f aca="false">"https://"&amp;B434&amp;F434&amp;"?utm_source="&amp;D434&amp;"&amp;utm_medium="&amp;E434&amp;"&amp;utm_campaign="&amp;G434&amp;"&amp;utm_content="&amp;H434</f>
        <v>https://firmsfinder.eu/?utm_source=event&amp;utm_medium=event&amp;utm_campaign=2610_ff_lansare&amp;utm_content=general</v>
      </c>
    </row>
    <row r="435" customFormat="false" ht="15" hidden="false" customHeight="false" outlineLevel="0" collapsed="false">
      <c r="A435" s="10" t="s">
        <v>86</v>
      </c>
      <c r="B435" s="10" t="str">
        <f aca="false">INDEX('Site-uri'!$B$2:$B$20,MATCH(A435,'Site-uri'!$A$2:$A$20,0))</f>
        <v>firmsfinder.eu</v>
      </c>
      <c r="C435" s="10" t="s">
        <v>203</v>
      </c>
      <c r="D435" s="10" t="str">
        <f aca="false">INDEX(Canale!$C$2:$C$30,MATCH(C435,Canale!$A$2:$A$30,0))</f>
        <v>a2a_agent_card</v>
      </c>
      <c r="E435" s="10" t="str">
        <f aca="false">INDEX(Canale!$D$2:$D$30,MATCH(C435,Canale!$A$2:$A$30,0))</f>
        <v>agent</v>
      </c>
      <c r="F435" s="10" t="str">
        <f aca="false">INDEX('Site-uri'!$C$2:$C$20,MATCH(A435,'Site-uri'!$A$2:$A$20,0))</f>
        <v>/</v>
      </c>
      <c r="G435" s="10" t="str">
        <f aca="false">Config!$B$3</f>
        <v>2610_ff_lansare</v>
      </c>
      <c r="H435" s="10" t="str">
        <f aca="false">Config!$B$4</f>
        <v>general</v>
      </c>
      <c r="I435" s="10" t="str">
        <f aca="false">"https://"&amp;B435&amp;F435&amp;"?utm_source="&amp;D435&amp;"&amp;utm_medium="&amp;E435&amp;"&amp;utm_campaign="&amp;G435&amp;"&amp;utm_content="&amp;H435</f>
        <v>https://firmsfinder.eu/?utm_source=a2a_agent_card&amp;utm_medium=agent&amp;utm_campaign=2610_ff_lansare&amp;utm_content=general</v>
      </c>
    </row>
    <row r="436" customFormat="false" ht="15" hidden="false" customHeight="false" outlineLevel="0" collapsed="false">
      <c r="A436" s="10" t="s">
        <v>86</v>
      </c>
      <c r="B436" s="10" t="str">
        <f aca="false">INDEX('Site-uri'!$B$2:$B$20,MATCH(A436,'Site-uri'!$A$2:$A$20,0))</f>
        <v>firmsfinder.eu</v>
      </c>
      <c r="C436" s="10" t="s">
        <v>208</v>
      </c>
      <c r="D436" s="10" t="str">
        <f aca="false">INDEX(Canale!$C$2:$C$30,MATCH(C436,Canale!$A$2:$A$30,0))</f>
        <v>llms_txt</v>
      </c>
      <c r="E436" s="10" t="str">
        <f aca="false">INDEX(Canale!$D$2:$D$30,MATCH(C436,Canale!$A$2:$A$30,0))</f>
        <v>ai_web</v>
      </c>
      <c r="F436" s="10" t="str">
        <f aca="false">INDEX('Site-uri'!$C$2:$C$20,MATCH(A436,'Site-uri'!$A$2:$A$20,0))</f>
        <v>/</v>
      </c>
      <c r="G436" s="10" t="str">
        <f aca="false">Config!$B$3</f>
        <v>2610_ff_lansare</v>
      </c>
      <c r="H436" s="10" t="str">
        <f aca="false">Config!$B$4</f>
        <v>general</v>
      </c>
      <c r="I436" s="10" t="str">
        <f aca="false">"https://"&amp;B436&amp;F436&amp;"?utm_source="&amp;D436&amp;"&amp;utm_medium="&amp;E436&amp;"&amp;utm_campaign="&amp;G436&amp;"&amp;utm_content="&amp;H436</f>
        <v>https://firmsfinder.eu/?utm_source=llms_txt&amp;utm_medium=ai_web&amp;utm_campaign=2610_ff_lansare&amp;utm_content=general</v>
      </c>
    </row>
    <row r="437" customFormat="false" ht="15" hidden="false" customHeight="false" outlineLevel="0" collapsed="false">
      <c r="A437" s="10" t="s">
        <v>89</v>
      </c>
      <c r="B437" s="10" t="str">
        <f aca="false">INDEX('Site-uri'!$B$2:$B$20,MATCH(A437,'Site-uri'!$A$2:$A$20,0))</f>
        <v>b2b-ai-library.org</v>
      </c>
      <c r="C437" s="10" t="s">
        <v>103</v>
      </c>
      <c r="D437" s="10" t="str">
        <f aca="false">INDEX(Canale!$C$2:$C$30,MATCH(C437,Canale!$A$2:$A$30,0))</f>
        <v>linkedin_personal</v>
      </c>
      <c r="E437" s="10" t="str">
        <f aca="false">INDEX(Canale!$D$2:$D$30,MATCH(C437,Canale!$A$2:$A$30,0))</f>
        <v>social</v>
      </c>
      <c r="F437" s="10" t="str">
        <f aca="false">INDEX('Site-uri'!$C$2:$C$20,MATCH(A437,'Site-uri'!$A$2:$A$20,0))</f>
        <v>/</v>
      </c>
      <c r="G437" s="10" t="str">
        <f aca="false">Config!$B$3</f>
        <v>2610_ff_lansare</v>
      </c>
      <c r="H437" s="10" t="str">
        <f aca="false">Config!$B$4</f>
        <v>general</v>
      </c>
      <c r="I437" s="10" t="str">
        <f aca="false">"https://"&amp;B437&amp;F437&amp;"?utm_source="&amp;D437&amp;"&amp;utm_medium="&amp;E437&amp;"&amp;utm_campaign="&amp;G437&amp;"&amp;utm_content="&amp;H437</f>
        <v>https://b2b-ai-library.org/?utm_source=linkedin_personal&amp;utm_medium=social&amp;utm_campaign=2610_ff_lansare&amp;utm_content=general</v>
      </c>
    </row>
    <row r="438" customFormat="false" ht="15" hidden="false" customHeight="false" outlineLevel="0" collapsed="false">
      <c r="A438" s="10" t="s">
        <v>89</v>
      </c>
      <c r="B438" s="10" t="str">
        <f aca="false">INDEX('Site-uri'!$B$2:$B$20,MATCH(A438,'Site-uri'!$A$2:$A$20,0))</f>
        <v>b2b-ai-library.org</v>
      </c>
      <c r="C438" s="10" t="s">
        <v>108</v>
      </c>
      <c r="D438" s="10" t="str">
        <f aca="false">INDEX(Canale!$C$2:$C$30,MATCH(C438,Canale!$A$2:$A$30,0))</f>
        <v>linkedin_company</v>
      </c>
      <c r="E438" s="10" t="str">
        <f aca="false">INDEX(Canale!$D$2:$D$30,MATCH(C438,Canale!$A$2:$A$30,0))</f>
        <v>social</v>
      </c>
      <c r="F438" s="10" t="str">
        <f aca="false">INDEX('Site-uri'!$C$2:$C$20,MATCH(A438,'Site-uri'!$A$2:$A$20,0))</f>
        <v>/</v>
      </c>
      <c r="G438" s="10" t="str">
        <f aca="false">Config!$B$3</f>
        <v>2610_ff_lansare</v>
      </c>
      <c r="H438" s="10" t="str">
        <f aca="false">Config!$B$4</f>
        <v>general</v>
      </c>
      <c r="I438" s="10" t="str">
        <f aca="false">"https://"&amp;B438&amp;F438&amp;"?utm_source="&amp;D438&amp;"&amp;utm_medium="&amp;E438&amp;"&amp;utm_campaign="&amp;G438&amp;"&amp;utm_content="&amp;H438</f>
        <v>https://b2b-ai-library.org/?utm_source=linkedin_company&amp;utm_medium=social&amp;utm_campaign=2610_ff_lansare&amp;utm_content=general</v>
      </c>
    </row>
    <row r="439" customFormat="false" ht="15" hidden="false" customHeight="false" outlineLevel="0" collapsed="false">
      <c r="A439" s="10" t="s">
        <v>89</v>
      </c>
      <c r="B439" s="10" t="str">
        <f aca="false">INDEX('Site-uri'!$B$2:$B$20,MATCH(A439,'Site-uri'!$A$2:$A$20,0))</f>
        <v>b2b-ai-library.org</v>
      </c>
      <c r="C439" s="10" t="s">
        <v>111</v>
      </c>
      <c r="D439" s="10" t="str">
        <f aca="false">INDEX(Canale!$C$2:$C$30,MATCH(C439,Canale!$A$2:$A$30,0))</f>
        <v>linkedin_showcase</v>
      </c>
      <c r="E439" s="10" t="str">
        <f aca="false">INDEX(Canale!$D$2:$D$30,MATCH(C439,Canale!$A$2:$A$30,0))</f>
        <v>social</v>
      </c>
      <c r="F439" s="10" t="str">
        <f aca="false">INDEX('Site-uri'!$C$2:$C$20,MATCH(A439,'Site-uri'!$A$2:$A$20,0))</f>
        <v>/</v>
      </c>
      <c r="G439" s="10" t="str">
        <f aca="false">Config!$B$3</f>
        <v>2610_ff_lansare</v>
      </c>
      <c r="H439" s="10" t="str">
        <f aca="false">Config!$B$4</f>
        <v>general</v>
      </c>
      <c r="I439" s="10" t="str">
        <f aca="false">"https://"&amp;B439&amp;F439&amp;"?utm_source="&amp;D439&amp;"&amp;utm_medium="&amp;E439&amp;"&amp;utm_campaign="&amp;G439&amp;"&amp;utm_content="&amp;H439</f>
        <v>https://b2b-ai-library.org/?utm_source=linkedin_showcase&amp;utm_medium=social&amp;utm_campaign=2610_ff_lansare&amp;utm_content=general</v>
      </c>
    </row>
    <row r="440" customFormat="false" ht="15" hidden="false" customHeight="false" outlineLevel="0" collapsed="false">
      <c r="A440" s="10" t="s">
        <v>89</v>
      </c>
      <c r="B440" s="10" t="str">
        <f aca="false">INDEX('Site-uri'!$B$2:$B$20,MATCH(A440,'Site-uri'!$A$2:$A$20,0))</f>
        <v>b2b-ai-library.org</v>
      </c>
      <c r="C440" s="10" t="s">
        <v>114</v>
      </c>
      <c r="D440" s="10" t="str">
        <f aca="false">INDEX(Canale!$C$2:$C$30,MATCH(C440,Canale!$A$2:$A$30,0))</f>
        <v>linkedin_newsletter</v>
      </c>
      <c r="E440" s="10" t="str">
        <f aca="false">INDEX(Canale!$D$2:$D$30,MATCH(C440,Canale!$A$2:$A$30,0))</f>
        <v>social</v>
      </c>
      <c r="F440" s="10" t="str">
        <f aca="false">INDEX('Site-uri'!$C$2:$C$20,MATCH(A440,'Site-uri'!$A$2:$A$20,0))</f>
        <v>/</v>
      </c>
      <c r="G440" s="10" t="str">
        <f aca="false">Config!$B$3</f>
        <v>2610_ff_lansare</v>
      </c>
      <c r="H440" s="10" t="str">
        <f aca="false">Config!$B$4</f>
        <v>general</v>
      </c>
      <c r="I440" s="10" t="str">
        <f aca="false">"https://"&amp;B440&amp;F440&amp;"?utm_source="&amp;D440&amp;"&amp;utm_medium="&amp;E440&amp;"&amp;utm_campaign="&amp;G440&amp;"&amp;utm_content="&amp;H440</f>
        <v>https://b2b-ai-library.org/?utm_source=linkedin_newsletter&amp;utm_medium=social&amp;utm_campaign=2610_ff_lansare&amp;utm_content=general</v>
      </c>
    </row>
    <row r="441" customFormat="false" ht="15" hidden="false" customHeight="false" outlineLevel="0" collapsed="false">
      <c r="A441" s="10" t="s">
        <v>89</v>
      </c>
      <c r="B441" s="10" t="str">
        <f aca="false">INDEX('Site-uri'!$B$2:$B$20,MATCH(A441,'Site-uri'!$A$2:$A$20,0))</f>
        <v>b2b-ai-library.org</v>
      </c>
      <c r="C441" s="10" t="s">
        <v>117</v>
      </c>
      <c r="D441" s="10" t="str">
        <f aca="false">INDEX(Canale!$C$2:$C$30,MATCH(C441,Canale!$A$2:$A$30,0))</f>
        <v>linkedin_ads</v>
      </c>
      <c r="E441" s="10" t="str">
        <f aca="false">INDEX(Canale!$D$2:$D$30,MATCH(C441,Canale!$A$2:$A$30,0))</f>
        <v>paid_social</v>
      </c>
      <c r="F441" s="10" t="str">
        <f aca="false">INDEX('Site-uri'!$C$2:$C$20,MATCH(A441,'Site-uri'!$A$2:$A$20,0))</f>
        <v>/</v>
      </c>
      <c r="G441" s="10" t="str">
        <f aca="false">Config!$B$3</f>
        <v>2610_ff_lansare</v>
      </c>
      <c r="H441" s="10" t="str">
        <f aca="false">Config!$B$4</f>
        <v>general</v>
      </c>
      <c r="I441" s="10" t="str">
        <f aca="false">"https://"&amp;B441&amp;F441&amp;"?utm_source="&amp;D441&amp;"&amp;utm_medium="&amp;E441&amp;"&amp;utm_campaign="&amp;G441&amp;"&amp;utm_content="&amp;H441</f>
        <v>https://b2b-ai-library.org/?utm_source=linkedin_ads&amp;utm_medium=paid_social&amp;utm_campaign=2610_ff_lansare&amp;utm_content=general</v>
      </c>
    </row>
    <row r="442" customFormat="false" ht="15" hidden="false" customHeight="false" outlineLevel="0" collapsed="false">
      <c r="A442" s="10" t="s">
        <v>89</v>
      </c>
      <c r="B442" s="10" t="str">
        <f aca="false">INDEX('Site-uri'!$B$2:$B$20,MATCH(A442,'Site-uri'!$A$2:$A$20,0))</f>
        <v>b2b-ai-library.org</v>
      </c>
      <c r="C442" s="10" t="s">
        <v>121</v>
      </c>
      <c r="D442" s="10" t="str">
        <f aca="false">INDEX(Canale!$C$2:$C$30,MATCH(C442,Canale!$A$2:$A$30,0))</f>
        <v>linkedin_dm</v>
      </c>
      <c r="E442" s="10" t="str">
        <f aca="false">INDEX(Canale!$D$2:$D$30,MATCH(C442,Canale!$A$2:$A$30,0))</f>
        <v>dm</v>
      </c>
      <c r="F442" s="10" t="str">
        <f aca="false">INDEX('Site-uri'!$C$2:$C$20,MATCH(A442,'Site-uri'!$A$2:$A$20,0))</f>
        <v>/</v>
      </c>
      <c r="G442" s="10" t="str">
        <f aca="false">Config!$B$3</f>
        <v>2610_ff_lansare</v>
      </c>
      <c r="H442" s="10" t="str">
        <f aca="false">Config!$B$4</f>
        <v>general</v>
      </c>
      <c r="I442" s="10" t="str">
        <f aca="false">"https://"&amp;B442&amp;F442&amp;"?utm_source="&amp;D442&amp;"&amp;utm_medium="&amp;E442&amp;"&amp;utm_campaign="&amp;G442&amp;"&amp;utm_content="&amp;H442</f>
        <v>https://b2b-ai-library.org/?utm_source=linkedin_dm&amp;utm_medium=dm&amp;utm_campaign=2610_ff_lansare&amp;utm_content=general</v>
      </c>
    </row>
    <row r="443" customFormat="false" ht="15" hidden="false" customHeight="false" outlineLevel="0" collapsed="false">
      <c r="A443" s="10" t="s">
        <v>89</v>
      </c>
      <c r="B443" s="10" t="str">
        <f aca="false">INDEX('Site-uri'!$B$2:$B$20,MATCH(A443,'Site-uri'!$A$2:$A$20,0))</f>
        <v>b2b-ai-library.org</v>
      </c>
      <c r="C443" s="10" t="s">
        <v>125</v>
      </c>
      <c r="D443" s="10" t="str">
        <f aca="false">INDEX(Canale!$C$2:$C$30,MATCH(C443,Canale!$A$2:$A$30,0))</f>
        <v>email_outreach</v>
      </c>
      <c r="E443" s="10" t="str">
        <f aca="false">INDEX(Canale!$D$2:$D$30,MATCH(C443,Canale!$A$2:$A$30,0))</f>
        <v>email</v>
      </c>
      <c r="F443" s="10" t="str">
        <f aca="false">INDEX('Site-uri'!$C$2:$C$20,MATCH(A443,'Site-uri'!$A$2:$A$20,0))</f>
        <v>/</v>
      </c>
      <c r="G443" s="10" t="str">
        <f aca="false">Config!$B$3</f>
        <v>2610_ff_lansare</v>
      </c>
      <c r="H443" s="10" t="str">
        <f aca="false">Config!$B$4</f>
        <v>general</v>
      </c>
      <c r="I443" s="10" t="str">
        <f aca="false">"https://"&amp;B443&amp;F443&amp;"?utm_source="&amp;D443&amp;"&amp;utm_medium="&amp;E443&amp;"&amp;utm_campaign="&amp;G443&amp;"&amp;utm_content="&amp;H443</f>
        <v>https://b2b-ai-library.org/?utm_source=email_outreach&amp;utm_medium=email&amp;utm_campaign=2610_ff_lansare&amp;utm_content=general</v>
      </c>
    </row>
    <row r="444" customFormat="false" ht="15" hidden="false" customHeight="false" outlineLevel="0" collapsed="false">
      <c r="A444" s="10" t="s">
        <v>89</v>
      </c>
      <c r="B444" s="10" t="str">
        <f aca="false">INDEX('Site-uri'!$B$2:$B$20,MATCH(A444,'Site-uri'!$A$2:$A$20,0))</f>
        <v>b2b-ai-library.org</v>
      </c>
      <c r="C444" s="10" t="s">
        <v>130</v>
      </c>
      <c r="D444" s="10" t="str">
        <f aca="false">INDEX(Canale!$C$2:$C$30,MATCH(C444,Canale!$A$2:$A$30,0))</f>
        <v>newsletter</v>
      </c>
      <c r="E444" s="10" t="str">
        <f aca="false">INDEX(Canale!$D$2:$D$30,MATCH(C444,Canale!$A$2:$A$30,0))</f>
        <v>email</v>
      </c>
      <c r="F444" s="10" t="str">
        <f aca="false">INDEX('Site-uri'!$C$2:$C$20,MATCH(A444,'Site-uri'!$A$2:$A$20,0))</f>
        <v>/</v>
      </c>
      <c r="G444" s="10" t="str">
        <f aca="false">Config!$B$3</f>
        <v>2610_ff_lansare</v>
      </c>
      <c r="H444" s="10" t="str">
        <f aca="false">Config!$B$4</f>
        <v>general</v>
      </c>
      <c r="I444" s="10" t="str">
        <f aca="false">"https://"&amp;B444&amp;F444&amp;"?utm_source="&amp;D444&amp;"&amp;utm_medium="&amp;E444&amp;"&amp;utm_campaign="&amp;G444&amp;"&amp;utm_content="&amp;H444</f>
        <v>https://b2b-ai-library.org/?utm_source=newsletter&amp;utm_medium=email&amp;utm_campaign=2610_ff_lansare&amp;utm_content=general</v>
      </c>
    </row>
    <row r="445" customFormat="false" ht="15" hidden="false" customHeight="false" outlineLevel="0" collapsed="false">
      <c r="A445" s="10" t="s">
        <v>89</v>
      </c>
      <c r="B445" s="10" t="str">
        <f aca="false">INDEX('Site-uri'!$B$2:$B$20,MATCH(A445,'Site-uri'!$A$2:$A$20,0))</f>
        <v>b2b-ai-library.org</v>
      </c>
      <c r="C445" s="10" t="s">
        <v>133</v>
      </c>
      <c r="D445" s="10" t="str">
        <f aca="false">INDEX(Canale!$C$2:$C$30,MATCH(C445,Canale!$A$2:$A$30,0))</f>
        <v>email_signature</v>
      </c>
      <c r="E445" s="10" t="str">
        <f aca="false">INDEX(Canale!$D$2:$D$30,MATCH(C445,Canale!$A$2:$A$30,0))</f>
        <v>email</v>
      </c>
      <c r="F445" s="10" t="str">
        <f aca="false">INDEX('Site-uri'!$C$2:$C$20,MATCH(A445,'Site-uri'!$A$2:$A$20,0))</f>
        <v>/</v>
      </c>
      <c r="G445" s="10" t="str">
        <f aca="false">Config!$B$3</f>
        <v>2610_ff_lansare</v>
      </c>
      <c r="H445" s="10" t="str">
        <f aca="false">Config!$B$4</f>
        <v>general</v>
      </c>
      <c r="I445" s="10" t="str">
        <f aca="false">"https://"&amp;B445&amp;F445&amp;"?utm_source="&amp;D445&amp;"&amp;utm_medium="&amp;E445&amp;"&amp;utm_campaign="&amp;G445&amp;"&amp;utm_content="&amp;H445</f>
        <v>https://b2b-ai-library.org/?utm_source=email_signature&amp;utm_medium=email&amp;utm_campaign=2610_ff_lansare&amp;utm_content=general</v>
      </c>
    </row>
    <row r="446" customFormat="false" ht="15" hidden="false" customHeight="false" outlineLevel="0" collapsed="false">
      <c r="A446" s="10" t="s">
        <v>89</v>
      </c>
      <c r="B446" s="10" t="str">
        <f aca="false">INDEX('Site-uri'!$B$2:$B$20,MATCH(A446,'Site-uri'!$A$2:$A$20,0))</f>
        <v>b2b-ai-library.org</v>
      </c>
      <c r="C446" s="10" t="s">
        <v>136</v>
      </c>
      <c r="D446" s="10" t="str">
        <f aca="false">INDEX(Canale!$C$2:$C$30,MATCH(C446,Canale!$A$2:$A$30,0))</f>
        <v>whatsapp</v>
      </c>
      <c r="E446" s="10" t="str">
        <f aca="false">INDEX(Canale!$D$2:$D$30,MATCH(C446,Canale!$A$2:$A$30,0))</f>
        <v>dm</v>
      </c>
      <c r="F446" s="10" t="str">
        <f aca="false">INDEX('Site-uri'!$C$2:$C$20,MATCH(A446,'Site-uri'!$A$2:$A$20,0))</f>
        <v>/</v>
      </c>
      <c r="G446" s="10" t="str">
        <f aca="false">Config!$B$3</f>
        <v>2610_ff_lansare</v>
      </c>
      <c r="H446" s="10" t="str">
        <f aca="false">Config!$B$4</f>
        <v>general</v>
      </c>
      <c r="I446" s="10" t="str">
        <f aca="false">"https://"&amp;B446&amp;F446&amp;"?utm_source="&amp;D446&amp;"&amp;utm_medium="&amp;E446&amp;"&amp;utm_campaign="&amp;G446&amp;"&amp;utm_content="&amp;H446</f>
        <v>https://b2b-ai-library.org/?utm_source=whatsapp&amp;utm_medium=dm&amp;utm_campaign=2610_ff_lansare&amp;utm_content=general</v>
      </c>
    </row>
    <row r="447" customFormat="false" ht="15" hidden="false" customHeight="false" outlineLevel="0" collapsed="false">
      <c r="A447" s="10" t="s">
        <v>89</v>
      </c>
      <c r="B447" s="10" t="str">
        <f aca="false">INDEX('Site-uri'!$B$2:$B$20,MATCH(A447,'Site-uri'!$A$2:$A$20,0))</f>
        <v>b2b-ai-library.org</v>
      </c>
      <c r="C447" s="10" t="s">
        <v>140</v>
      </c>
      <c r="D447" s="10" t="str">
        <f aca="false">INDEX(Canale!$C$2:$C$30,MATCH(C447,Canale!$A$2:$A$30,0))</f>
        <v>google</v>
      </c>
      <c r="E447" s="10" t="str">
        <f aca="false">INDEX(Canale!$D$2:$D$30,MATCH(C447,Canale!$A$2:$A$30,0))</f>
        <v>cpc</v>
      </c>
      <c r="F447" s="10" t="str">
        <f aca="false">INDEX('Site-uri'!$C$2:$C$20,MATCH(A447,'Site-uri'!$A$2:$A$20,0))</f>
        <v>/</v>
      </c>
      <c r="G447" s="10" t="str">
        <f aca="false">Config!$B$3</f>
        <v>2610_ff_lansare</v>
      </c>
      <c r="H447" s="10" t="str">
        <f aca="false">Config!$B$4</f>
        <v>general</v>
      </c>
      <c r="I447" s="10" t="str">
        <f aca="false">"https://"&amp;B447&amp;F447&amp;"?utm_source="&amp;D447&amp;"&amp;utm_medium="&amp;E447&amp;"&amp;utm_campaign="&amp;G447&amp;"&amp;utm_content="&amp;H447</f>
        <v>https://b2b-ai-library.org/?utm_source=google&amp;utm_medium=cpc&amp;utm_campaign=2610_ff_lansare&amp;utm_content=general</v>
      </c>
    </row>
    <row r="448" customFormat="false" ht="15" hidden="false" customHeight="false" outlineLevel="0" collapsed="false">
      <c r="A448" s="10" t="s">
        <v>89</v>
      </c>
      <c r="B448" s="10" t="str">
        <f aca="false">INDEX('Site-uri'!$B$2:$B$20,MATCH(A448,'Site-uri'!$A$2:$A$20,0))</f>
        <v>b2b-ai-library.org</v>
      </c>
      <c r="C448" s="10" t="s">
        <v>145</v>
      </c>
      <c r="D448" s="10" t="str">
        <f aca="false">INDEX(Canale!$C$2:$C$30,MATCH(C448,Canale!$A$2:$A$30,0))</f>
        <v>bing</v>
      </c>
      <c r="E448" s="10" t="str">
        <f aca="false">INDEX(Canale!$D$2:$D$30,MATCH(C448,Canale!$A$2:$A$30,0))</f>
        <v>cpc</v>
      </c>
      <c r="F448" s="10" t="str">
        <f aca="false">INDEX('Site-uri'!$C$2:$C$20,MATCH(A448,'Site-uri'!$A$2:$A$20,0))</f>
        <v>/</v>
      </c>
      <c r="G448" s="10" t="str">
        <f aca="false">Config!$B$3</f>
        <v>2610_ff_lansare</v>
      </c>
      <c r="H448" s="10" t="str">
        <f aca="false">Config!$B$4</f>
        <v>general</v>
      </c>
      <c r="I448" s="10" t="str">
        <f aca="false">"https://"&amp;B448&amp;F448&amp;"?utm_source="&amp;D448&amp;"&amp;utm_medium="&amp;E448&amp;"&amp;utm_campaign="&amp;G448&amp;"&amp;utm_content="&amp;H448</f>
        <v>https://b2b-ai-library.org/?utm_source=bing&amp;utm_medium=cpc&amp;utm_campaign=2610_ff_lansare&amp;utm_content=general</v>
      </c>
    </row>
    <row r="449" customFormat="false" ht="15" hidden="false" customHeight="false" outlineLevel="0" collapsed="false">
      <c r="A449" s="10" t="s">
        <v>89</v>
      </c>
      <c r="B449" s="10" t="str">
        <f aca="false">INDEX('Site-uri'!$B$2:$B$20,MATCH(A449,'Site-uri'!$A$2:$A$20,0))</f>
        <v>b2b-ai-library.org</v>
      </c>
      <c r="C449" s="10" t="s">
        <v>148</v>
      </c>
      <c r="D449" s="10" t="str">
        <f aca="false">INDEX(Canale!$C$2:$C$30,MATCH(C449,Canale!$A$2:$A$30,0))</f>
        <v>facebook</v>
      </c>
      <c r="E449" s="10" t="str">
        <f aca="false">INDEX(Canale!$D$2:$D$30,MATCH(C449,Canale!$A$2:$A$30,0))</f>
        <v>social</v>
      </c>
      <c r="F449" s="10" t="str">
        <f aca="false">INDEX('Site-uri'!$C$2:$C$20,MATCH(A449,'Site-uri'!$A$2:$A$20,0))</f>
        <v>/</v>
      </c>
      <c r="G449" s="10" t="str">
        <f aca="false">Config!$B$3</f>
        <v>2610_ff_lansare</v>
      </c>
      <c r="H449" s="10" t="str">
        <f aca="false">Config!$B$4</f>
        <v>general</v>
      </c>
      <c r="I449" s="10" t="str">
        <f aca="false">"https://"&amp;B449&amp;F449&amp;"?utm_source="&amp;D449&amp;"&amp;utm_medium="&amp;E449&amp;"&amp;utm_campaign="&amp;G449&amp;"&amp;utm_content="&amp;H449</f>
        <v>https://b2b-ai-library.org/?utm_source=facebook&amp;utm_medium=social&amp;utm_campaign=2610_ff_lansare&amp;utm_content=general</v>
      </c>
    </row>
    <row r="450" customFormat="false" ht="15" hidden="false" customHeight="false" outlineLevel="0" collapsed="false">
      <c r="A450" s="10" t="s">
        <v>89</v>
      </c>
      <c r="B450" s="10" t="str">
        <f aca="false">INDEX('Site-uri'!$B$2:$B$20,MATCH(A450,'Site-uri'!$A$2:$A$20,0))</f>
        <v>b2b-ai-library.org</v>
      </c>
      <c r="C450" s="10" t="s">
        <v>152</v>
      </c>
      <c r="D450" s="10" t="str">
        <f aca="false">INDEX(Canale!$C$2:$C$30,MATCH(C450,Canale!$A$2:$A$30,0))</f>
        <v>x</v>
      </c>
      <c r="E450" s="10" t="str">
        <f aca="false">INDEX(Canale!$D$2:$D$30,MATCH(C450,Canale!$A$2:$A$30,0))</f>
        <v>social</v>
      </c>
      <c r="F450" s="10" t="str">
        <f aca="false">INDEX('Site-uri'!$C$2:$C$20,MATCH(A450,'Site-uri'!$A$2:$A$20,0))</f>
        <v>/</v>
      </c>
      <c r="G450" s="10" t="str">
        <f aca="false">Config!$B$3</f>
        <v>2610_ff_lansare</v>
      </c>
      <c r="H450" s="10" t="str">
        <f aca="false">Config!$B$4</f>
        <v>general</v>
      </c>
      <c r="I450" s="10" t="str">
        <f aca="false">"https://"&amp;B450&amp;F450&amp;"?utm_source="&amp;D450&amp;"&amp;utm_medium="&amp;E450&amp;"&amp;utm_campaign="&amp;G450&amp;"&amp;utm_content="&amp;H450</f>
        <v>https://b2b-ai-library.org/?utm_source=x&amp;utm_medium=social&amp;utm_campaign=2610_ff_lansare&amp;utm_content=general</v>
      </c>
    </row>
    <row r="451" customFormat="false" ht="15" hidden="false" customHeight="false" outlineLevel="0" collapsed="false">
      <c r="A451" s="10" t="s">
        <v>89</v>
      </c>
      <c r="B451" s="10" t="str">
        <f aca="false">INDEX('Site-uri'!$B$2:$B$20,MATCH(A451,'Site-uri'!$A$2:$A$20,0))</f>
        <v>b2b-ai-library.org</v>
      </c>
      <c r="C451" s="10" t="s">
        <v>154</v>
      </c>
      <c r="D451" s="10" t="str">
        <f aca="false">INDEX(Canale!$C$2:$C$30,MATCH(C451,Canale!$A$2:$A$30,0))</f>
        <v>youtube</v>
      </c>
      <c r="E451" s="10" t="str">
        <f aca="false">INDEX(Canale!$D$2:$D$30,MATCH(C451,Canale!$A$2:$A$30,0))</f>
        <v>video</v>
      </c>
      <c r="F451" s="10" t="str">
        <f aca="false">INDEX('Site-uri'!$C$2:$C$20,MATCH(A451,'Site-uri'!$A$2:$A$20,0))</f>
        <v>/</v>
      </c>
      <c r="G451" s="10" t="str">
        <f aca="false">Config!$B$3</f>
        <v>2610_ff_lansare</v>
      </c>
      <c r="H451" s="10" t="str">
        <f aca="false">Config!$B$4</f>
        <v>general</v>
      </c>
      <c r="I451" s="10" t="str">
        <f aca="false">"https://"&amp;B451&amp;F451&amp;"?utm_source="&amp;D451&amp;"&amp;utm_medium="&amp;E451&amp;"&amp;utm_campaign="&amp;G451&amp;"&amp;utm_content="&amp;H451</f>
        <v>https://b2b-ai-library.org/?utm_source=youtube&amp;utm_medium=video&amp;utm_campaign=2610_ff_lansare&amp;utm_content=general</v>
      </c>
    </row>
    <row r="452" customFormat="false" ht="15" hidden="false" customHeight="false" outlineLevel="0" collapsed="false">
      <c r="A452" s="10" t="s">
        <v>89</v>
      </c>
      <c r="B452" s="10" t="str">
        <f aca="false">INDEX('Site-uri'!$B$2:$B$20,MATCH(A452,'Site-uri'!$A$2:$A$20,0))</f>
        <v>b2b-ai-library.org</v>
      </c>
      <c r="C452" s="10" t="s">
        <v>159</v>
      </c>
      <c r="D452" s="10" t="str">
        <f aca="false">INDEX(Canale!$C$2:$C$30,MATCH(C452,Canale!$A$2:$A$30,0))</f>
        <v>medium</v>
      </c>
      <c r="E452" s="10" t="str">
        <f aca="false">INDEX(Canale!$D$2:$D$30,MATCH(C452,Canale!$A$2:$A$30,0))</f>
        <v>content</v>
      </c>
      <c r="F452" s="10" t="str">
        <f aca="false">INDEX('Site-uri'!$C$2:$C$20,MATCH(A452,'Site-uri'!$A$2:$A$20,0))</f>
        <v>/</v>
      </c>
      <c r="G452" s="10" t="str">
        <f aca="false">Config!$B$3</f>
        <v>2610_ff_lansare</v>
      </c>
      <c r="H452" s="10" t="str">
        <f aca="false">Config!$B$4</f>
        <v>general</v>
      </c>
      <c r="I452" s="10" t="str">
        <f aca="false">"https://"&amp;B452&amp;F452&amp;"?utm_source="&amp;D452&amp;"&amp;utm_medium="&amp;E452&amp;"&amp;utm_campaign="&amp;G452&amp;"&amp;utm_content="&amp;H452</f>
        <v>https://b2b-ai-library.org/?utm_source=medium&amp;utm_medium=content&amp;utm_campaign=2610_ff_lansare&amp;utm_content=general</v>
      </c>
    </row>
    <row r="453" customFormat="false" ht="15" hidden="false" customHeight="false" outlineLevel="0" collapsed="false">
      <c r="A453" s="10" t="s">
        <v>89</v>
      </c>
      <c r="B453" s="10" t="str">
        <f aca="false">INDEX('Site-uri'!$B$2:$B$20,MATCH(A453,'Site-uri'!$A$2:$A$20,0))</f>
        <v>b2b-ai-library.org</v>
      </c>
      <c r="C453" s="10" t="s">
        <v>164</v>
      </c>
      <c r="D453" s="10" t="str">
        <f aca="false">INDEX(Canale!$C$2:$C$30,MATCH(C453,Canale!$A$2:$A$30,0))</f>
        <v>crunchbase</v>
      </c>
      <c r="E453" s="10" t="str">
        <f aca="false">INDEX(Canale!$D$2:$D$30,MATCH(C453,Canale!$A$2:$A$30,0))</f>
        <v>referral</v>
      </c>
      <c r="F453" s="10" t="str">
        <f aca="false">INDEX('Site-uri'!$C$2:$C$20,MATCH(A453,'Site-uri'!$A$2:$A$20,0))</f>
        <v>/</v>
      </c>
      <c r="G453" s="10" t="str">
        <f aca="false">Config!$B$3</f>
        <v>2610_ff_lansare</v>
      </c>
      <c r="H453" s="10" t="str">
        <f aca="false">Config!$B$4</f>
        <v>general</v>
      </c>
      <c r="I453" s="10" t="str">
        <f aca="false">"https://"&amp;B453&amp;F453&amp;"?utm_source="&amp;D453&amp;"&amp;utm_medium="&amp;E453&amp;"&amp;utm_campaign="&amp;G453&amp;"&amp;utm_content="&amp;H453</f>
        <v>https://b2b-ai-library.org/?utm_source=crunchbase&amp;utm_medium=referral&amp;utm_campaign=2610_ff_lansare&amp;utm_content=general</v>
      </c>
    </row>
    <row r="454" customFormat="false" ht="15" hidden="false" customHeight="false" outlineLevel="0" collapsed="false">
      <c r="A454" s="10" t="s">
        <v>89</v>
      </c>
      <c r="B454" s="10" t="str">
        <f aca="false">INDEX('Site-uri'!$B$2:$B$20,MATCH(A454,'Site-uri'!$A$2:$A$20,0))</f>
        <v>b2b-ai-library.org</v>
      </c>
      <c r="C454" s="10" t="s">
        <v>169</v>
      </c>
      <c r="D454" s="10" t="str">
        <f aca="false">INDEX(Canale!$C$2:$C$30,MATCH(C454,Canale!$A$2:$A$30,0))</f>
        <v>zenodo</v>
      </c>
      <c r="E454" s="10" t="str">
        <f aca="false">INDEX(Canale!$D$2:$D$30,MATCH(C454,Canale!$A$2:$A$30,0))</f>
        <v>referral</v>
      </c>
      <c r="F454" s="10" t="str">
        <f aca="false">INDEX('Site-uri'!$C$2:$C$20,MATCH(A454,'Site-uri'!$A$2:$A$20,0))</f>
        <v>/</v>
      </c>
      <c r="G454" s="10" t="str">
        <f aca="false">Config!$B$3</f>
        <v>2610_ff_lansare</v>
      </c>
      <c r="H454" s="10" t="str">
        <f aca="false">Config!$B$4</f>
        <v>general</v>
      </c>
      <c r="I454" s="10" t="str">
        <f aca="false">"https://"&amp;B454&amp;F454&amp;"?utm_source="&amp;D454&amp;"&amp;utm_medium="&amp;E454&amp;"&amp;utm_campaign="&amp;G454&amp;"&amp;utm_content="&amp;H454</f>
        <v>https://b2b-ai-library.org/?utm_source=zenodo&amp;utm_medium=referral&amp;utm_campaign=2610_ff_lansare&amp;utm_content=general</v>
      </c>
    </row>
    <row r="455" customFormat="false" ht="15" hidden="false" customHeight="false" outlineLevel="0" collapsed="false">
      <c r="A455" s="10" t="s">
        <v>89</v>
      </c>
      <c r="B455" s="10" t="str">
        <f aca="false">INDEX('Site-uri'!$B$2:$B$20,MATCH(A455,'Site-uri'!$A$2:$A$20,0))</f>
        <v>b2b-ai-library.org</v>
      </c>
      <c r="C455" s="10" t="s">
        <v>172</v>
      </c>
      <c r="D455" s="10" t="str">
        <f aca="false">INDEX(Canale!$C$2:$C$30,MATCH(C455,Canale!$A$2:$A$30,0))</f>
        <v>orcid</v>
      </c>
      <c r="E455" s="10" t="str">
        <f aca="false">INDEX(Canale!$D$2:$D$30,MATCH(C455,Canale!$A$2:$A$30,0))</f>
        <v>referral</v>
      </c>
      <c r="F455" s="10" t="str">
        <f aca="false">INDEX('Site-uri'!$C$2:$C$20,MATCH(A455,'Site-uri'!$A$2:$A$20,0))</f>
        <v>/</v>
      </c>
      <c r="G455" s="10" t="str">
        <f aca="false">Config!$B$3</f>
        <v>2610_ff_lansare</v>
      </c>
      <c r="H455" s="10" t="str">
        <f aca="false">Config!$B$4</f>
        <v>general</v>
      </c>
      <c r="I455" s="10" t="str">
        <f aca="false">"https://"&amp;B455&amp;F455&amp;"?utm_source="&amp;D455&amp;"&amp;utm_medium="&amp;E455&amp;"&amp;utm_campaign="&amp;G455&amp;"&amp;utm_content="&amp;H455</f>
        <v>https://b2b-ai-library.org/?utm_source=orcid&amp;utm_medium=referral&amp;utm_campaign=2610_ff_lansare&amp;utm_content=general</v>
      </c>
    </row>
    <row r="456" customFormat="false" ht="15" hidden="false" customHeight="false" outlineLevel="0" collapsed="false">
      <c r="A456" s="10" t="s">
        <v>89</v>
      </c>
      <c r="B456" s="10" t="str">
        <f aca="false">INDEX('Site-uri'!$B$2:$B$20,MATCH(A456,'Site-uri'!$A$2:$A$20,0))</f>
        <v>b2b-ai-library.org</v>
      </c>
      <c r="C456" s="10" t="s">
        <v>175</v>
      </c>
      <c r="D456" s="10" t="str">
        <f aca="false">INDEX(Canale!$C$2:$C$30,MATCH(C456,Canale!$A$2:$A$30,0))</f>
        <v>github</v>
      </c>
      <c r="E456" s="10" t="str">
        <f aca="false">INDEX(Canale!$D$2:$D$30,MATCH(C456,Canale!$A$2:$A$30,0))</f>
        <v>referral</v>
      </c>
      <c r="F456" s="10" t="str">
        <f aca="false">INDEX('Site-uri'!$C$2:$C$20,MATCH(A456,'Site-uri'!$A$2:$A$20,0))</f>
        <v>/</v>
      </c>
      <c r="G456" s="10" t="str">
        <f aca="false">Config!$B$3</f>
        <v>2610_ff_lansare</v>
      </c>
      <c r="H456" s="10" t="str">
        <f aca="false">Config!$B$4</f>
        <v>general</v>
      </c>
      <c r="I456" s="10" t="str">
        <f aca="false">"https://"&amp;B456&amp;F456&amp;"?utm_source="&amp;D456&amp;"&amp;utm_medium="&amp;E456&amp;"&amp;utm_campaign="&amp;G456&amp;"&amp;utm_content="&amp;H456</f>
        <v>https://b2b-ai-library.org/?utm_source=github&amp;utm_medium=referral&amp;utm_campaign=2610_ff_lansare&amp;utm_content=general</v>
      </c>
    </row>
    <row r="457" customFormat="false" ht="15" hidden="false" customHeight="false" outlineLevel="0" collapsed="false">
      <c r="A457" s="10" t="s">
        <v>89</v>
      </c>
      <c r="B457" s="10" t="str">
        <f aca="false">INDEX('Site-uri'!$B$2:$B$20,MATCH(A457,'Site-uri'!$A$2:$A$20,0))</f>
        <v>b2b-ai-library.org</v>
      </c>
      <c r="C457" s="10" t="s">
        <v>178</v>
      </c>
      <c r="D457" s="10" t="str">
        <f aca="false">INDEX(Canale!$C$2:$C$30,MATCH(C457,Canale!$A$2:$A$30,0))</f>
        <v>kdp_book</v>
      </c>
      <c r="E457" s="10" t="str">
        <f aca="false">INDEX(Canale!$D$2:$D$30,MATCH(C457,Canale!$A$2:$A$30,0))</f>
        <v>book</v>
      </c>
      <c r="F457" s="10" t="str">
        <f aca="false">INDEX('Site-uri'!$C$2:$C$20,MATCH(A457,'Site-uri'!$A$2:$A$20,0))</f>
        <v>/</v>
      </c>
      <c r="G457" s="10" t="str">
        <f aca="false">Config!$B$3</f>
        <v>2610_ff_lansare</v>
      </c>
      <c r="H457" s="10" t="str">
        <f aca="false">Config!$B$4</f>
        <v>general</v>
      </c>
      <c r="I457" s="10" t="str">
        <f aca="false">"https://"&amp;B457&amp;F457&amp;"?utm_source="&amp;D457&amp;"&amp;utm_medium="&amp;E457&amp;"&amp;utm_campaign="&amp;G457&amp;"&amp;utm_content="&amp;H457</f>
        <v>https://b2b-ai-library.org/?utm_source=kdp_book&amp;utm_medium=book&amp;utm_campaign=2610_ff_lansare&amp;utm_content=general</v>
      </c>
    </row>
    <row r="458" customFormat="false" ht="15" hidden="false" customHeight="false" outlineLevel="0" collapsed="false">
      <c r="A458" s="10" t="s">
        <v>89</v>
      </c>
      <c r="B458" s="10" t="str">
        <f aca="false">INDEX('Site-uri'!$B$2:$B$20,MATCH(A458,'Site-uri'!$A$2:$A$20,0))</f>
        <v>b2b-ai-library.org</v>
      </c>
      <c r="C458" s="10" t="s">
        <v>183</v>
      </c>
      <c r="D458" s="10" t="str">
        <f aca="false">INDEX(Canale!$C$2:$C$30,MATCH(C458,Canale!$A$2:$A$30,0))</f>
        <v>udemy</v>
      </c>
      <c r="E458" s="10" t="str">
        <f aca="false">INDEX(Canale!$D$2:$D$30,MATCH(C458,Canale!$A$2:$A$30,0))</f>
        <v>course</v>
      </c>
      <c r="F458" s="10" t="str">
        <f aca="false">INDEX('Site-uri'!$C$2:$C$20,MATCH(A458,'Site-uri'!$A$2:$A$20,0))</f>
        <v>/</v>
      </c>
      <c r="G458" s="10" t="str">
        <f aca="false">Config!$B$3</f>
        <v>2610_ff_lansare</v>
      </c>
      <c r="H458" s="10" t="str">
        <f aca="false">Config!$B$4</f>
        <v>general</v>
      </c>
      <c r="I458" s="10" t="str">
        <f aca="false">"https://"&amp;B458&amp;F458&amp;"?utm_source="&amp;D458&amp;"&amp;utm_medium="&amp;E458&amp;"&amp;utm_campaign="&amp;G458&amp;"&amp;utm_content="&amp;H458</f>
        <v>https://b2b-ai-library.org/?utm_source=udemy&amp;utm_medium=course&amp;utm_campaign=2610_ff_lansare&amp;utm_content=general</v>
      </c>
    </row>
    <row r="459" customFormat="false" ht="15" hidden="false" customHeight="false" outlineLevel="0" collapsed="false">
      <c r="A459" s="10" t="s">
        <v>89</v>
      </c>
      <c r="B459" s="10" t="str">
        <f aca="false">INDEX('Site-uri'!$B$2:$B$20,MATCH(A459,'Site-uri'!$A$2:$A$20,0))</f>
        <v>b2b-ai-library.org</v>
      </c>
      <c r="C459" s="10" t="s">
        <v>186</v>
      </c>
      <c r="D459" s="10" t="str">
        <f aca="false">INDEX(Canale!$C$2:$C$30,MATCH(C459,Canale!$A$2:$A$30,0))</f>
        <v>directory</v>
      </c>
      <c r="E459" s="10" t="str">
        <f aca="false">INDEX(Canale!$D$2:$D$30,MATCH(C459,Canale!$A$2:$A$30,0))</f>
        <v>referral</v>
      </c>
      <c r="F459" s="10" t="str">
        <f aca="false">INDEX('Site-uri'!$C$2:$C$20,MATCH(A459,'Site-uri'!$A$2:$A$20,0))</f>
        <v>/</v>
      </c>
      <c r="G459" s="10" t="str">
        <f aca="false">Config!$B$3</f>
        <v>2610_ff_lansare</v>
      </c>
      <c r="H459" s="10" t="str">
        <f aca="false">Config!$B$4</f>
        <v>general</v>
      </c>
      <c r="I459" s="10" t="str">
        <f aca="false">"https://"&amp;B459&amp;F459&amp;"?utm_source="&amp;D459&amp;"&amp;utm_medium="&amp;E459&amp;"&amp;utm_campaign="&amp;G459&amp;"&amp;utm_content="&amp;H459</f>
        <v>https://b2b-ai-library.org/?utm_source=directory&amp;utm_medium=referral&amp;utm_campaign=2610_ff_lansare&amp;utm_content=general</v>
      </c>
    </row>
    <row r="460" customFormat="false" ht="15" hidden="false" customHeight="false" outlineLevel="0" collapsed="false">
      <c r="A460" s="10" t="s">
        <v>89</v>
      </c>
      <c r="B460" s="10" t="str">
        <f aca="false">INDEX('Site-uri'!$B$2:$B$20,MATCH(A460,'Site-uri'!$A$2:$A$20,0))</f>
        <v>b2b-ai-library.org</v>
      </c>
      <c r="C460" s="10" t="s">
        <v>190</v>
      </c>
      <c r="D460" s="10" t="str">
        <f aca="false">INDEX(Canale!$C$2:$C$30,MATCH(C460,Canale!$A$2:$A$30,0))</f>
        <v>partner</v>
      </c>
      <c r="E460" s="10" t="str">
        <f aca="false">INDEX(Canale!$D$2:$D$30,MATCH(C460,Canale!$A$2:$A$30,0))</f>
        <v>partner</v>
      </c>
      <c r="F460" s="10" t="str">
        <f aca="false">INDEX('Site-uri'!$C$2:$C$20,MATCH(A460,'Site-uri'!$A$2:$A$20,0))</f>
        <v>/</v>
      </c>
      <c r="G460" s="10" t="str">
        <f aca="false">Config!$B$3</f>
        <v>2610_ff_lansare</v>
      </c>
      <c r="H460" s="10" t="str">
        <f aca="false">Config!$B$4</f>
        <v>general</v>
      </c>
      <c r="I460" s="10" t="str">
        <f aca="false">"https://"&amp;B460&amp;F460&amp;"?utm_source="&amp;D460&amp;"&amp;utm_medium="&amp;E460&amp;"&amp;utm_campaign="&amp;G460&amp;"&amp;utm_content="&amp;H460</f>
        <v>https://b2b-ai-library.org/?utm_source=partner&amp;utm_medium=partner&amp;utm_campaign=2610_ff_lansare&amp;utm_content=general</v>
      </c>
    </row>
    <row r="461" customFormat="false" ht="15" hidden="false" customHeight="false" outlineLevel="0" collapsed="false">
      <c r="A461" s="10" t="s">
        <v>89</v>
      </c>
      <c r="B461" s="10" t="str">
        <f aca="false">INDEX('Site-uri'!$B$2:$B$20,MATCH(A461,'Site-uri'!$A$2:$A$20,0))</f>
        <v>b2b-ai-library.org</v>
      </c>
      <c r="C461" s="10" t="s">
        <v>192</v>
      </c>
      <c r="D461" s="10" t="str">
        <f aca="false">INDEX(Canale!$C$2:$C$30,MATCH(C461,Canale!$A$2:$A$30,0))</f>
        <v>pdf_proposal</v>
      </c>
      <c r="E461" s="10" t="str">
        <f aca="false">INDEX(Canale!$D$2:$D$30,MATCH(C461,Canale!$A$2:$A$30,0))</f>
        <v>document</v>
      </c>
      <c r="F461" s="10" t="str">
        <f aca="false">INDEX('Site-uri'!$C$2:$C$20,MATCH(A461,'Site-uri'!$A$2:$A$20,0))</f>
        <v>/</v>
      </c>
      <c r="G461" s="10" t="str">
        <f aca="false">Config!$B$3</f>
        <v>2610_ff_lansare</v>
      </c>
      <c r="H461" s="10" t="str">
        <f aca="false">Config!$B$4</f>
        <v>general</v>
      </c>
      <c r="I461" s="10" t="str">
        <f aca="false">"https://"&amp;B461&amp;F461&amp;"?utm_source="&amp;D461&amp;"&amp;utm_medium="&amp;E461&amp;"&amp;utm_campaign="&amp;G461&amp;"&amp;utm_content="&amp;H461</f>
        <v>https://b2b-ai-library.org/?utm_source=pdf_proposal&amp;utm_medium=document&amp;utm_campaign=2610_ff_lansare&amp;utm_content=general</v>
      </c>
    </row>
    <row r="462" customFormat="false" ht="15" hidden="false" customHeight="false" outlineLevel="0" collapsed="false">
      <c r="A462" s="10" t="s">
        <v>89</v>
      </c>
      <c r="B462" s="10" t="str">
        <f aca="false">INDEX('Site-uri'!$B$2:$B$20,MATCH(A462,'Site-uri'!$A$2:$A$20,0))</f>
        <v>b2b-ai-library.org</v>
      </c>
      <c r="C462" s="10" t="s">
        <v>197</v>
      </c>
      <c r="D462" s="10" t="str">
        <f aca="false">INDEX(Canale!$C$2:$C$30,MATCH(C462,Canale!$A$2:$A$30,0))</f>
        <v>qr_print</v>
      </c>
      <c r="E462" s="10" t="str">
        <f aca="false">INDEX(Canale!$D$2:$D$30,MATCH(C462,Canale!$A$2:$A$30,0))</f>
        <v>qr</v>
      </c>
      <c r="F462" s="10" t="str">
        <f aca="false">INDEX('Site-uri'!$C$2:$C$20,MATCH(A462,'Site-uri'!$A$2:$A$20,0))</f>
        <v>/</v>
      </c>
      <c r="G462" s="10" t="str">
        <f aca="false">Config!$B$3</f>
        <v>2610_ff_lansare</v>
      </c>
      <c r="H462" s="10" t="str">
        <f aca="false">Config!$B$4</f>
        <v>general</v>
      </c>
      <c r="I462" s="10" t="str">
        <f aca="false">"https://"&amp;B462&amp;F462&amp;"?utm_source="&amp;D462&amp;"&amp;utm_medium="&amp;E462&amp;"&amp;utm_campaign="&amp;G462&amp;"&amp;utm_content="&amp;H462</f>
        <v>https://b2b-ai-library.org/?utm_source=qr_print&amp;utm_medium=qr&amp;utm_campaign=2610_ff_lansare&amp;utm_content=general</v>
      </c>
    </row>
    <row r="463" customFormat="false" ht="15" hidden="false" customHeight="false" outlineLevel="0" collapsed="false">
      <c r="A463" s="10" t="s">
        <v>89</v>
      </c>
      <c r="B463" s="10" t="str">
        <f aca="false">INDEX('Site-uri'!$B$2:$B$20,MATCH(A463,'Site-uri'!$A$2:$A$20,0))</f>
        <v>b2b-ai-library.org</v>
      </c>
      <c r="C463" s="10" t="s">
        <v>201</v>
      </c>
      <c r="D463" s="10" t="str">
        <f aca="false">INDEX(Canale!$C$2:$C$30,MATCH(C463,Canale!$A$2:$A$30,0))</f>
        <v>event</v>
      </c>
      <c r="E463" s="10" t="str">
        <f aca="false">INDEX(Canale!$D$2:$D$30,MATCH(C463,Canale!$A$2:$A$30,0))</f>
        <v>event</v>
      </c>
      <c r="F463" s="10" t="str">
        <f aca="false">INDEX('Site-uri'!$C$2:$C$20,MATCH(A463,'Site-uri'!$A$2:$A$20,0))</f>
        <v>/</v>
      </c>
      <c r="G463" s="10" t="str">
        <f aca="false">Config!$B$3</f>
        <v>2610_ff_lansare</v>
      </c>
      <c r="H463" s="10" t="str">
        <f aca="false">Config!$B$4</f>
        <v>general</v>
      </c>
      <c r="I463" s="10" t="str">
        <f aca="false">"https://"&amp;B463&amp;F463&amp;"?utm_source="&amp;D463&amp;"&amp;utm_medium="&amp;E463&amp;"&amp;utm_campaign="&amp;G463&amp;"&amp;utm_content="&amp;H463</f>
        <v>https://b2b-ai-library.org/?utm_source=event&amp;utm_medium=event&amp;utm_campaign=2610_ff_lansare&amp;utm_content=general</v>
      </c>
    </row>
    <row r="464" customFormat="false" ht="15" hidden="false" customHeight="false" outlineLevel="0" collapsed="false">
      <c r="A464" s="10" t="s">
        <v>89</v>
      </c>
      <c r="B464" s="10" t="str">
        <f aca="false">INDEX('Site-uri'!$B$2:$B$20,MATCH(A464,'Site-uri'!$A$2:$A$20,0))</f>
        <v>b2b-ai-library.org</v>
      </c>
      <c r="C464" s="10" t="s">
        <v>203</v>
      </c>
      <c r="D464" s="10" t="str">
        <f aca="false">INDEX(Canale!$C$2:$C$30,MATCH(C464,Canale!$A$2:$A$30,0))</f>
        <v>a2a_agent_card</v>
      </c>
      <c r="E464" s="10" t="str">
        <f aca="false">INDEX(Canale!$D$2:$D$30,MATCH(C464,Canale!$A$2:$A$30,0))</f>
        <v>agent</v>
      </c>
      <c r="F464" s="10" t="str">
        <f aca="false">INDEX('Site-uri'!$C$2:$C$20,MATCH(A464,'Site-uri'!$A$2:$A$20,0))</f>
        <v>/</v>
      </c>
      <c r="G464" s="10" t="str">
        <f aca="false">Config!$B$3</f>
        <v>2610_ff_lansare</v>
      </c>
      <c r="H464" s="10" t="str">
        <f aca="false">Config!$B$4</f>
        <v>general</v>
      </c>
      <c r="I464" s="10" t="str">
        <f aca="false">"https://"&amp;B464&amp;F464&amp;"?utm_source="&amp;D464&amp;"&amp;utm_medium="&amp;E464&amp;"&amp;utm_campaign="&amp;G464&amp;"&amp;utm_content="&amp;H464</f>
        <v>https://b2b-ai-library.org/?utm_source=a2a_agent_card&amp;utm_medium=agent&amp;utm_campaign=2610_ff_lansare&amp;utm_content=general</v>
      </c>
    </row>
    <row r="465" customFormat="false" ht="15" hidden="false" customHeight="false" outlineLevel="0" collapsed="false">
      <c r="A465" s="10" t="s">
        <v>89</v>
      </c>
      <c r="B465" s="10" t="str">
        <f aca="false">INDEX('Site-uri'!$B$2:$B$20,MATCH(A465,'Site-uri'!$A$2:$A$20,0))</f>
        <v>b2b-ai-library.org</v>
      </c>
      <c r="C465" s="10" t="s">
        <v>208</v>
      </c>
      <c r="D465" s="10" t="str">
        <f aca="false">INDEX(Canale!$C$2:$C$30,MATCH(C465,Canale!$A$2:$A$30,0))</f>
        <v>llms_txt</v>
      </c>
      <c r="E465" s="10" t="str">
        <f aca="false">INDEX(Canale!$D$2:$D$30,MATCH(C465,Canale!$A$2:$A$30,0))</f>
        <v>ai_web</v>
      </c>
      <c r="F465" s="10" t="str">
        <f aca="false">INDEX('Site-uri'!$C$2:$C$20,MATCH(A465,'Site-uri'!$A$2:$A$20,0))</f>
        <v>/</v>
      </c>
      <c r="G465" s="10" t="str">
        <f aca="false">Config!$B$3</f>
        <v>2610_ff_lansare</v>
      </c>
      <c r="H465" s="10" t="str">
        <f aca="false">Config!$B$4</f>
        <v>general</v>
      </c>
      <c r="I465" s="10" t="str">
        <f aca="false">"https://"&amp;B465&amp;F465&amp;"?utm_source="&amp;D465&amp;"&amp;utm_medium="&amp;E465&amp;"&amp;utm_campaign="&amp;G465&amp;"&amp;utm_content="&amp;H465</f>
        <v>https://b2b-ai-library.org/?utm_source=llms_txt&amp;utm_medium=ai_web&amp;utm_campaign=2610_ff_lansare&amp;utm_content=general</v>
      </c>
    </row>
    <row r="466" customFormat="false" ht="15" hidden="false" customHeight="false" outlineLevel="0" collapsed="false">
      <c r="A466" s="10" t="s">
        <v>91</v>
      </c>
      <c r="B466" s="10" t="str">
        <f aca="false">INDEX('Site-uri'!$B$2:$B$20,MATCH(A466,'Site-uri'!$A$2:$A$20,0))</f>
        <v>the3webs.com</v>
      </c>
      <c r="C466" s="10" t="s">
        <v>103</v>
      </c>
      <c r="D466" s="10" t="str">
        <f aca="false">INDEX(Canale!$C$2:$C$30,MATCH(C466,Canale!$A$2:$A$30,0))</f>
        <v>linkedin_personal</v>
      </c>
      <c r="E466" s="10" t="str">
        <f aca="false">INDEX(Canale!$D$2:$D$30,MATCH(C466,Canale!$A$2:$A$30,0))</f>
        <v>social</v>
      </c>
      <c r="F466" s="10" t="str">
        <f aca="false">INDEX('Site-uri'!$C$2:$C$20,MATCH(A466,'Site-uri'!$A$2:$A$20,0))</f>
        <v>/</v>
      </c>
      <c r="G466" s="10" t="str">
        <f aca="false">Config!$B$3</f>
        <v>2610_ff_lansare</v>
      </c>
      <c r="H466" s="10" t="str">
        <f aca="false">Config!$B$4</f>
        <v>general</v>
      </c>
      <c r="I466" s="10" t="str">
        <f aca="false">"https://"&amp;B466&amp;F466&amp;"?utm_source="&amp;D466&amp;"&amp;utm_medium="&amp;E466&amp;"&amp;utm_campaign="&amp;G466&amp;"&amp;utm_content="&amp;H466</f>
        <v>https://the3webs.com/?utm_source=linkedin_personal&amp;utm_medium=social&amp;utm_campaign=2610_ff_lansare&amp;utm_content=general</v>
      </c>
    </row>
    <row r="467" customFormat="false" ht="15" hidden="false" customHeight="false" outlineLevel="0" collapsed="false">
      <c r="A467" s="10" t="s">
        <v>91</v>
      </c>
      <c r="B467" s="10" t="str">
        <f aca="false">INDEX('Site-uri'!$B$2:$B$20,MATCH(A467,'Site-uri'!$A$2:$A$20,0))</f>
        <v>the3webs.com</v>
      </c>
      <c r="C467" s="10" t="s">
        <v>108</v>
      </c>
      <c r="D467" s="10" t="str">
        <f aca="false">INDEX(Canale!$C$2:$C$30,MATCH(C467,Canale!$A$2:$A$30,0))</f>
        <v>linkedin_company</v>
      </c>
      <c r="E467" s="10" t="str">
        <f aca="false">INDEX(Canale!$D$2:$D$30,MATCH(C467,Canale!$A$2:$A$30,0))</f>
        <v>social</v>
      </c>
      <c r="F467" s="10" t="str">
        <f aca="false">INDEX('Site-uri'!$C$2:$C$20,MATCH(A467,'Site-uri'!$A$2:$A$20,0))</f>
        <v>/</v>
      </c>
      <c r="G467" s="10" t="str">
        <f aca="false">Config!$B$3</f>
        <v>2610_ff_lansare</v>
      </c>
      <c r="H467" s="10" t="str">
        <f aca="false">Config!$B$4</f>
        <v>general</v>
      </c>
      <c r="I467" s="10" t="str">
        <f aca="false">"https://"&amp;B467&amp;F467&amp;"?utm_source="&amp;D467&amp;"&amp;utm_medium="&amp;E467&amp;"&amp;utm_campaign="&amp;G467&amp;"&amp;utm_content="&amp;H467</f>
        <v>https://the3webs.com/?utm_source=linkedin_company&amp;utm_medium=social&amp;utm_campaign=2610_ff_lansare&amp;utm_content=general</v>
      </c>
    </row>
    <row r="468" customFormat="false" ht="15" hidden="false" customHeight="false" outlineLevel="0" collapsed="false">
      <c r="A468" s="10" t="s">
        <v>91</v>
      </c>
      <c r="B468" s="10" t="str">
        <f aca="false">INDEX('Site-uri'!$B$2:$B$20,MATCH(A468,'Site-uri'!$A$2:$A$20,0))</f>
        <v>the3webs.com</v>
      </c>
      <c r="C468" s="10" t="s">
        <v>111</v>
      </c>
      <c r="D468" s="10" t="str">
        <f aca="false">INDEX(Canale!$C$2:$C$30,MATCH(C468,Canale!$A$2:$A$30,0))</f>
        <v>linkedin_showcase</v>
      </c>
      <c r="E468" s="10" t="str">
        <f aca="false">INDEX(Canale!$D$2:$D$30,MATCH(C468,Canale!$A$2:$A$30,0))</f>
        <v>social</v>
      </c>
      <c r="F468" s="10" t="str">
        <f aca="false">INDEX('Site-uri'!$C$2:$C$20,MATCH(A468,'Site-uri'!$A$2:$A$20,0))</f>
        <v>/</v>
      </c>
      <c r="G468" s="10" t="str">
        <f aca="false">Config!$B$3</f>
        <v>2610_ff_lansare</v>
      </c>
      <c r="H468" s="10" t="str">
        <f aca="false">Config!$B$4</f>
        <v>general</v>
      </c>
      <c r="I468" s="10" t="str">
        <f aca="false">"https://"&amp;B468&amp;F468&amp;"?utm_source="&amp;D468&amp;"&amp;utm_medium="&amp;E468&amp;"&amp;utm_campaign="&amp;G468&amp;"&amp;utm_content="&amp;H468</f>
        <v>https://the3webs.com/?utm_source=linkedin_showcase&amp;utm_medium=social&amp;utm_campaign=2610_ff_lansare&amp;utm_content=general</v>
      </c>
    </row>
    <row r="469" customFormat="false" ht="15" hidden="false" customHeight="false" outlineLevel="0" collapsed="false">
      <c r="A469" s="10" t="s">
        <v>91</v>
      </c>
      <c r="B469" s="10" t="str">
        <f aca="false">INDEX('Site-uri'!$B$2:$B$20,MATCH(A469,'Site-uri'!$A$2:$A$20,0))</f>
        <v>the3webs.com</v>
      </c>
      <c r="C469" s="10" t="s">
        <v>114</v>
      </c>
      <c r="D469" s="10" t="str">
        <f aca="false">INDEX(Canale!$C$2:$C$30,MATCH(C469,Canale!$A$2:$A$30,0))</f>
        <v>linkedin_newsletter</v>
      </c>
      <c r="E469" s="10" t="str">
        <f aca="false">INDEX(Canale!$D$2:$D$30,MATCH(C469,Canale!$A$2:$A$30,0))</f>
        <v>social</v>
      </c>
      <c r="F469" s="10" t="str">
        <f aca="false">INDEX('Site-uri'!$C$2:$C$20,MATCH(A469,'Site-uri'!$A$2:$A$20,0))</f>
        <v>/</v>
      </c>
      <c r="G469" s="10" t="str">
        <f aca="false">Config!$B$3</f>
        <v>2610_ff_lansare</v>
      </c>
      <c r="H469" s="10" t="str">
        <f aca="false">Config!$B$4</f>
        <v>general</v>
      </c>
      <c r="I469" s="10" t="str">
        <f aca="false">"https://"&amp;B469&amp;F469&amp;"?utm_source="&amp;D469&amp;"&amp;utm_medium="&amp;E469&amp;"&amp;utm_campaign="&amp;G469&amp;"&amp;utm_content="&amp;H469</f>
        <v>https://the3webs.com/?utm_source=linkedin_newsletter&amp;utm_medium=social&amp;utm_campaign=2610_ff_lansare&amp;utm_content=general</v>
      </c>
    </row>
    <row r="470" customFormat="false" ht="15" hidden="false" customHeight="false" outlineLevel="0" collapsed="false">
      <c r="A470" s="10" t="s">
        <v>91</v>
      </c>
      <c r="B470" s="10" t="str">
        <f aca="false">INDEX('Site-uri'!$B$2:$B$20,MATCH(A470,'Site-uri'!$A$2:$A$20,0))</f>
        <v>the3webs.com</v>
      </c>
      <c r="C470" s="10" t="s">
        <v>117</v>
      </c>
      <c r="D470" s="10" t="str">
        <f aca="false">INDEX(Canale!$C$2:$C$30,MATCH(C470,Canale!$A$2:$A$30,0))</f>
        <v>linkedin_ads</v>
      </c>
      <c r="E470" s="10" t="str">
        <f aca="false">INDEX(Canale!$D$2:$D$30,MATCH(C470,Canale!$A$2:$A$30,0))</f>
        <v>paid_social</v>
      </c>
      <c r="F470" s="10" t="str">
        <f aca="false">INDEX('Site-uri'!$C$2:$C$20,MATCH(A470,'Site-uri'!$A$2:$A$20,0))</f>
        <v>/</v>
      </c>
      <c r="G470" s="10" t="str">
        <f aca="false">Config!$B$3</f>
        <v>2610_ff_lansare</v>
      </c>
      <c r="H470" s="10" t="str">
        <f aca="false">Config!$B$4</f>
        <v>general</v>
      </c>
      <c r="I470" s="10" t="str">
        <f aca="false">"https://"&amp;B470&amp;F470&amp;"?utm_source="&amp;D470&amp;"&amp;utm_medium="&amp;E470&amp;"&amp;utm_campaign="&amp;G470&amp;"&amp;utm_content="&amp;H470</f>
        <v>https://the3webs.com/?utm_source=linkedin_ads&amp;utm_medium=paid_social&amp;utm_campaign=2610_ff_lansare&amp;utm_content=general</v>
      </c>
    </row>
    <row r="471" customFormat="false" ht="15" hidden="false" customHeight="false" outlineLevel="0" collapsed="false">
      <c r="A471" s="10" t="s">
        <v>91</v>
      </c>
      <c r="B471" s="10" t="str">
        <f aca="false">INDEX('Site-uri'!$B$2:$B$20,MATCH(A471,'Site-uri'!$A$2:$A$20,0))</f>
        <v>the3webs.com</v>
      </c>
      <c r="C471" s="10" t="s">
        <v>121</v>
      </c>
      <c r="D471" s="10" t="str">
        <f aca="false">INDEX(Canale!$C$2:$C$30,MATCH(C471,Canale!$A$2:$A$30,0))</f>
        <v>linkedin_dm</v>
      </c>
      <c r="E471" s="10" t="str">
        <f aca="false">INDEX(Canale!$D$2:$D$30,MATCH(C471,Canale!$A$2:$A$30,0))</f>
        <v>dm</v>
      </c>
      <c r="F471" s="10" t="str">
        <f aca="false">INDEX('Site-uri'!$C$2:$C$20,MATCH(A471,'Site-uri'!$A$2:$A$20,0))</f>
        <v>/</v>
      </c>
      <c r="G471" s="10" t="str">
        <f aca="false">Config!$B$3</f>
        <v>2610_ff_lansare</v>
      </c>
      <c r="H471" s="10" t="str">
        <f aca="false">Config!$B$4</f>
        <v>general</v>
      </c>
      <c r="I471" s="10" t="str">
        <f aca="false">"https://"&amp;B471&amp;F471&amp;"?utm_source="&amp;D471&amp;"&amp;utm_medium="&amp;E471&amp;"&amp;utm_campaign="&amp;G471&amp;"&amp;utm_content="&amp;H471</f>
        <v>https://the3webs.com/?utm_source=linkedin_dm&amp;utm_medium=dm&amp;utm_campaign=2610_ff_lansare&amp;utm_content=general</v>
      </c>
    </row>
    <row r="472" customFormat="false" ht="15" hidden="false" customHeight="false" outlineLevel="0" collapsed="false">
      <c r="A472" s="10" t="s">
        <v>91</v>
      </c>
      <c r="B472" s="10" t="str">
        <f aca="false">INDEX('Site-uri'!$B$2:$B$20,MATCH(A472,'Site-uri'!$A$2:$A$20,0))</f>
        <v>the3webs.com</v>
      </c>
      <c r="C472" s="10" t="s">
        <v>125</v>
      </c>
      <c r="D472" s="10" t="str">
        <f aca="false">INDEX(Canale!$C$2:$C$30,MATCH(C472,Canale!$A$2:$A$30,0))</f>
        <v>email_outreach</v>
      </c>
      <c r="E472" s="10" t="str">
        <f aca="false">INDEX(Canale!$D$2:$D$30,MATCH(C472,Canale!$A$2:$A$30,0))</f>
        <v>email</v>
      </c>
      <c r="F472" s="10" t="str">
        <f aca="false">INDEX('Site-uri'!$C$2:$C$20,MATCH(A472,'Site-uri'!$A$2:$A$20,0))</f>
        <v>/</v>
      </c>
      <c r="G472" s="10" t="str">
        <f aca="false">Config!$B$3</f>
        <v>2610_ff_lansare</v>
      </c>
      <c r="H472" s="10" t="str">
        <f aca="false">Config!$B$4</f>
        <v>general</v>
      </c>
      <c r="I472" s="10" t="str">
        <f aca="false">"https://"&amp;B472&amp;F472&amp;"?utm_source="&amp;D472&amp;"&amp;utm_medium="&amp;E472&amp;"&amp;utm_campaign="&amp;G472&amp;"&amp;utm_content="&amp;H472</f>
        <v>https://the3webs.com/?utm_source=email_outreach&amp;utm_medium=email&amp;utm_campaign=2610_ff_lansare&amp;utm_content=general</v>
      </c>
    </row>
    <row r="473" customFormat="false" ht="15" hidden="false" customHeight="false" outlineLevel="0" collapsed="false">
      <c r="A473" s="10" t="s">
        <v>91</v>
      </c>
      <c r="B473" s="10" t="str">
        <f aca="false">INDEX('Site-uri'!$B$2:$B$20,MATCH(A473,'Site-uri'!$A$2:$A$20,0))</f>
        <v>the3webs.com</v>
      </c>
      <c r="C473" s="10" t="s">
        <v>130</v>
      </c>
      <c r="D473" s="10" t="str">
        <f aca="false">INDEX(Canale!$C$2:$C$30,MATCH(C473,Canale!$A$2:$A$30,0))</f>
        <v>newsletter</v>
      </c>
      <c r="E473" s="10" t="str">
        <f aca="false">INDEX(Canale!$D$2:$D$30,MATCH(C473,Canale!$A$2:$A$30,0))</f>
        <v>email</v>
      </c>
      <c r="F473" s="10" t="str">
        <f aca="false">INDEX('Site-uri'!$C$2:$C$20,MATCH(A473,'Site-uri'!$A$2:$A$20,0))</f>
        <v>/</v>
      </c>
      <c r="G473" s="10" t="str">
        <f aca="false">Config!$B$3</f>
        <v>2610_ff_lansare</v>
      </c>
      <c r="H473" s="10" t="str">
        <f aca="false">Config!$B$4</f>
        <v>general</v>
      </c>
      <c r="I473" s="10" t="str">
        <f aca="false">"https://"&amp;B473&amp;F473&amp;"?utm_source="&amp;D473&amp;"&amp;utm_medium="&amp;E473&amp;"&amp;utm_campaign="&amp;G473&amp;"&amp;utm_content="&amp;H473</f>
        <v>https://the3webs.com/?utm_source=newsletter&amp;utm_medium=email&amp;utm_campaign=2610_ff_lansare&amp;utm_content=general</v>
      </c>
    </row>
    <row r="474" customFormat="false" ht="15" hidden="false" customHeight="false" outlineLevel="0" collapsed="false">
      <c r="A474" s="10" t="s">
        <v>91</v>
      </c>
      <c r="B474" s="10" t="str">
        <f aca="false">INDEX('Site-uri'!$B$2:$B$20,MATCH(A474,'Site-uri'!$A$2:$A$20,0))</f>
        <v>the3webs.com</v>
      </c>
      <c r="C474" s="10" t="s">
        <v>133</v>
      </c>
      <c r="D474" s="10" t="str">
        <f aca="false">INDEX(Canale!$C$2:$C$30,MATCH(C474,Canale!$A$2:$A$30,0))</f>
        <v>email_signature</v>
      </c>
      <c r="E474" s="10" t="str">
        <f aca="false">INDEX(Canale!$D$2:$D$30,MATCH(C474,Canale!$A$2:$A$30,0))</f>
        <v>email</v>
      </c>
      <c r="F474" s="10" t="str">
        <f aca="false">INDEX('Site-uri'!$C$2:$C$20,MATCH(A474,'Site-uri'!$A$2:$A$20,0))</f>
        <v>/</v>
      </c>
      <c r="G474" s="10" t="str">
        <f aca="false">Config!$B$3</f>
        <v>2610_ff_lansare</v>
      </c>
      <c r="H474" s="10" t="str">
        <f aca="false">Config!$B$4</f>
        <v>general</v>
      </c>
      <c r="I474" s="10" t="str">
        <f aca="false">"https://"&amp;B474&amp;F474&amp;"?utm_source="&amp;D474&amp;"&amp;utm_medium="&amp;E474&amp;"&amp;utm_campaign="&amp;G474&amp;"&amp;utm_content="&amp;H474</f>
        <v>https://the3webs.com/?utm_source=email_signature&amp;utm_medium=email&amp;utm_campaign=2610_ff_lansare&amp;utm_content=general</v>
      </c>
    </row>
    <row r="475" customFormat="false" ht="15" hidden="false" customHeight="false" outlineLevel="0" collapsed="false">
      <c r="A475" s="10" t="s">
        <v>91</v>
      </c>
      <c r="B475" s="10" t="str">
        <f aca="false">INDEX('Site-uri'!$B$2:$B$20,MATCH(A475,'Site-uri'!$A$2:$A$20,0))</f>
        <v>the3webs.com</v>
      </c>
      <c r="C475" s="10" t="s">
        <v>136</v>
      </c>
      <c r="D475" s="10" t="str">
        <f aca="false">INDEX(Canale!$C$2:$C$30,MATCH(C475,Canale!$A$2:$A$30,0))</f>
        <v>whatsapp</v>
      </c>
      <c r="E475" s="10" t="str">
        <f aca="false">INDEX(Canale!$D$2:$D$30,MATCH(C475,Canale!$A$2:$A$30,0))</f>
        <v>dm</v>
      </c>
      <c r="F475" s="10" t="str">
        <f aca="false">INDEX('Site-uri'!$C$2:$C$20,MATCH(A475,'Site-uri'!$A$2:$A$20,0))</f>
        <v>/</v>
      </c>
      <c r="G475" s="10" t="str">
        <f aca="false">Config!$B$3</f>
        <v>2610_ff_lansare</v>
      </c>
      <c r="H475" s="10" t="str">
        <f aca="false">Config!$B$4</f>
        <v>general</v>
      </c>
      <c r="I475" s="10" t="str">
        <f aca="false">"https://"&amp;B475&amp;F475&amp;"?utm_source="&amp;D475&amp;"&amp;utm_medium="&amp;E475&amp;"&amp;utm_campaign="&amp;G475&amp;"&amp;utm_content="&amp;H475</f>
        <v>https://the3webs.com/?utm_source=whatsapp&amp;utm_medium=dm&amp;utm_campaign=2610_ff_lansare&amp;utm_content=general</v>
      </c>
    </row>
    <row r="476" customFormat="false" ht="15" hidden="false" customHeight="false" outlineLevel="0" collapsed="false">
      <c r="A476" s="10" t="s">
        <v>91</v>
      </c>
      <c r="B476" s="10" t="str">
        <f aca="false">INDEX('Site-uri'!$B$2:$B$20,MATCH(A476,'Site-uri'!$A$2:$A$20,0))</f>
        <v>the3webs.com</v>
      </c>
      <c r="C476" s="10" t="s">
        <v>140</v>
      </c>
      <c r="D476" s="10" t="str">
        <f aca="false">INDEX(Canale!$C$2:$C$30,MATCH(C476,Canale!$A$2:$A$30,0))</f>
        <v>google</v>
      </c>
      <c r="E476" s="10" t="str">
        <f aca="false">INDEX(Canale!$D$2:$D$30,MATCH(C476,Canale!$A$2:$A$30,0))</f>
        <v>cpc</v>
      </c>
      <c r="F476" s="10" t="str">
        <f aca="false">INDEX('Site-uri'!$C$2:$C$20,MATCH(A476,'Site-uri'!$A$2:$A$20,0))</f>
        <v>/</v>
      </c>
      <c r="G476" s="10" t="str">
        <f aca="false">Config!$B$3</f>
        <v>2610_ff_lansare</v>
      </c>
      <c r="H476" s="10" t="str">
        <f aca="false">Config!$B$4</f>
        <v>general</v>
      </c>
      <c r="I476" s="10" t="str">
        <f aca="false">"https://"&amp;B476&amp;F476&amp;"?utm_source="&amp;D476&amp;"&amp;utm_medium="&amp;E476&amp;"&amp;utm_campaign="&amp;G476&amp;"&amp;utm_content="&amp;H476</f>
        <v>https://the3webs.com/?utm_source=google&amp;utm_medium=cpc&amp;utm_campaign=2610_ff_lansare&amp;utm_content=general</v>
      </c>
    </row>
    <row r="477" customFormat="false" ht="15" hidden="false" customHeight="false" outlineLevel="0" collapsed="false">
      <c r="A477" s="10" t="s">
        <v>91</v>
      </c>
      <c r="B477" s="10" t="str">
        <f aca="false">INDEX('Site-uri'!$B$2:$B$20,MATCH(A477,'Site-uri'!$A$2:$A$20,0))</f>
        <v>the3webs.com</v>
      </c>
      <c r="C477" s="10" t="s">
        <v>145</v>
      </c>
      <c r="D477" s="10" t="str">
        <f aca="false">INDEX(Canale!$C$2:$C$30,MATCH(C477,Canale!$A$2:$A$30,0))</f>
        <v>bing</v>
      </c>
      <c r="E477" s="10" t="str">
        <f aca="false">INDEX(Canale!$D$2:$D$30,MATCH(C477,Canale!$A$2:$A$30,0))</f>
        <v>cpc</v>
      </c>
      <c r="F477" s="10" t="str">
        <f aca="false">INDEX('Site-uri'!$C$2:$C$20,MATCH(A477,'Site-uri'!$A$2:$A$20,0))</f>
        <v>/</v>
      </c>
      <c r="G477" s="10" t="str">
        <f aca="false">Config!$B$3</f>
        <v>2610_ff_lansare</v>
      </c>
      <c r="H477" s="10" t="str">
        <f aca="false">Config!$B$4</f>
        <v>general</v>
      </c>
      <c r="I477" s="10" t="str">
        <f aca="false">"https://"&amp;B477&amp;F477&amp;"?utm_source="&amp;D477&amp;"&amp;utm_medium="&amp;E477&amp;"&amp;utm_campaign="&amp;G477&amp;"&amp;utm_content="&amp;H477</f>
        <v>https://the3webs.com/?utm_source=bing&amp;utm_medium=cpc&amp;utm_campaign=2610_ff_lansare&amp;utm_content=general</v>
      </c>
    </row>
    <row r="478" customFormat="false" ht="15" hidden="false" customHeight="false" outlineLevel="0" collapsed="false">
      <c r="A478" s="10" t="s">
        <v>91</v>
      </c>
      <c r="B478" s="10" t="str">
        <f aca="false">INDEX('Site-uri'!$B$2:$B$20,MATCH(A478,'Site-uri'!$A$2:$A$20,0))</f>
        <v>the3webs.com</v>
      </c>
      <c r="C478" s="10" t="s">
        <v>148</v>
      </c>
      <c r="D478" s="10" t="str">
        <f aca="false">INDEX(Canale!$C$2:$C$30,MATCH(C478,Canale!$A$2:$A$30,0))</f>
        <v>facebook</v>
      </c>
      <c r="E478" s="10" t="str">
        <f aca="false">INDEX(Canale!$D$2:$D$30,MATCH(C478,Canale!$A$2:$A$30,0))</f>
        <v>social</v>
      </c>
      <c r="F478" s="10" t="str">
        <f aca="false">INDEX('Site-uri'!$C$2:$C$20,MATCH(A478,'Site-uri'!$A$2:$A$20,0))</f>
        <v>/</v>
      </c>
      <c r="G478" s="10" t="str">
        <f aca="false">Config!$B$3</f>
        <v>2610_ff_lansare</v>
      </c>
      <c r="H478" s="10" t="str">
        <f aca="false">Config!$B$4</f>
        <v>general</v>
      </c>
      <c r="I478" s="10" t="str">
        <f aca="false">"https://"&amp;B478&amp;F478&amp;"?utm_source="&amp;D478&amp;"&amp;utm_medium="&amp;E478&amp;"&amp;utm_campaign="&amp;G478&amp;"&amp;utm_content="&amp;H478</f>
        <v>https://the3webs.com/?utm_source=facebook&amp;utm_medium=social&amp;utm_campaign=2610_ff_lansare&amp;utm_content=general</v>
      </c>
    </row>
    <row r="479" customFormat="false" ht="15" hidden="false" customHeight="false" outlineLevel="0" collapsed="false">
      <c r="A479" s="10" t="s">
        <v>91</v>
      </c>
      <c r="B479" s="10" t="str">
        <f aca="false">INDEX('Site-uri'!$B$2:$B$20,MATCH(A479,'Site-uri'!$A$2:$A$20,0))</f>
        <v>the3webs.com</v>
      </c>
      <c r="C479" s="10" t="s">
        <v>152</v>
      </c>
      <c r="D479" s="10" t="str">
        <f aca="false">INDEX(Canale!$C$2:$C$30,MATCH(C479,Canale!$A$2:$A$30,0))</f>
        <v>x</v>
      </c>
      <c r="E479" s="10" t="str">
        <f aca="false">INDEX(Canale!$D$2:$D$30,MATCH(C479,Canale!$A$2:$A$30,0))</f>
        <v>social</v>
      </c>
      <c r="F479" s="10" t="str">
        <f aca="false">INDEX('Site-uri'!$C$2:$C$20,MATCH(A479,'Site-uri'!$A$2:$A$20,0))</f>
        <v>/</v>
      </c>
      <c r="G479" s="10" t="str">
        <f aca="false">Config!$B$3</f>
        <v>2610_ff_lansare</v>
      </c>
      <c r="H479" s="10" t="str">
        <f aca="false">Config!$B$4</f>
        <v>general</v>
      </c>
      <c r="I479" s="10" t="str">
        <f aca="false">"https://"&amp;B479&amp;F479&amp;"?utm_source="&amp;D479&amp;"&amp;utm_medium="&amp;E479&amp;"&amp;utm_campaign="&amp;G479&amp;"&amp;utm_content="&amp;H479</f>
        <v>https://the3webs.com/?utm_source=x&amp;utm_medium=social&amp;utm_campaign=2610_ff_lansare&amp;utm_content=general</v>
      </c>
    </row>
    <row r="480" customFormat="false" ht="15" hidden="false" customHeight="false" outlineLevel="0" collapsed="false">
      <c r="A480" s="10" t="s">
        <v>91</v>
      </c>
      <c r="B480" s="10" t="str">
        <f aca="false">INDEX('Site-uri'!$B$2:$B$20,MATCH(A480,'Site-uri'!$A$2:$A$20,0))</f>
        <v>the3webs.com</v>
      </c>
      <c r="C480" s="10" t="s">
        <v>154</v>
      </c>
      <c r="D480" s="10" t="str">
        <f aca="false">INDEX(Canale!$C$2:$C$30,MATCH(C480,Canale!$A$2:$A$30,0))</f>
        <v>youtube</v>
      </c>
      <c r="E480" s="10" t="str">
        <f aca="false">INDEX(Canale!$D$2:$D$30,MATCH(C480,Canale!$A$2:$A$30,0))</f>
        <v>video</v>
      </c>
      <c r="F480" s="10" t="str">
        <f aca="false">INDEX('Site-uri'!$C$2:$C$20,MATCH(A480,'Site-uri'!$A$2:$A$20,0))</f>
        <v>/</v>
      </c>
      <c r="G480" s="10" t="str">
        <f aca="false">Config!$B$3</f>
        <v>2610_ff_lansare</v>
      </c>
      <c r="H480" s="10" t="str">
        <f aca="false">Config!$B$4</f>
        <v>general</v>
      </c>
      <c r="I480" s="10" t="str">
        <f aca="false">"https://"&amp;B480&amp;F480&amp;"?utm_source="&amp;D480&amp;"&amp;utm_medium="&amp;E480&amp;"&amp;utm_campaign="&amp;G480&amp;"&amp;utm_content="&amp;H480</f>
        <v>https://the3webs.com/?utm_source=youtube&amp;utm_medium=video&amp;utm_campaign=2610_ff_lansare&amp;utm_content=general</v>
      </c>
    </row>
    <row r="481" customFormat="false" ht="15" hidden="false" customHeight="false" outlineLevel="0" collapsed="false">
      <c r="A481" s="10" t="s">
        <v>91</v>
      </c>
      <c r="B481" s="10" t="str">
        <f aca="false">INDEX('Site-uri'!$B$2:$B$20,MATCH(A481,'Site-uri'!$A$2:$A$20,0))</f>
        <v>the3webs.com</v>
      </c>
      <c r="C481" s="10" t="s">
        <v>159</v>
      </c>
      <c r="D481" s="10" t="str">
        <f aca="false">INDEX(Canale!$C$2:$C$30,MATCH(C481,Canale!$A$2:$A$30,0))</f>
        <v>medium</v>
      </c>
      <c r="E481" s="10" t="str">
        <f aca="false">INDEX(Canale!$D$2:$D$30,MATCH(C481,Canale!$A$2:$A$30,0))</f>
        <v>content</v>
      </c>
      <c r="F481" s="10" t="str">
        <f aca="false">INDEX('Site-uri'!$C$2:$C$20,MATCH(A481,'Site-uri'!$A$2:$A$20,0))</f>
        <v>/</v>
      </c>
      <c r="G481" s="10" t="str">
        <f aca="false">Config!$B$3</f>
        <v>2610_ff_lansare</v>
      </c>
      <c r="H481" s="10" t="str">
        <f aca="false">Config!$B$4</f>
        <v>general</v>
      </c>
      <c r="I481" s="10" t="str">
        <f aca="false">"https://"&amp;B481&amp;F481&amp;"?utm_source="&amp;D481&amp;"&amp;utm_medium="&amp;E481&amp;"&amp;utm_campaign="&amp;G481&amp;"&amp;utm_content="&amp;H481</f>
        <v>https://the3webs.com/?utm_source=medium&amp;utm_medium=content&amp;utm_campaign=2610_ff_lansare&amp;utm_content=general</v>
      </c>
    </row>
    <row r="482" customFormat="false" ht="15" hidden="false" customHeight="false" outlineLevel="0" collapsed="false">
      <c r="A482" s="10" t="s">
        <v>91</v>
      </c>
      <c r="B482" s="10" t="str">
        <f aca="false">INDEX('Site-uri'!$B$2:$B$20,MATCH(A482,'Site-uri'!$A$2:$A$20,0))</f>
        <v>the3webs.com</v>
      </c>
      <c r="C482" s="10" t="s">
        <v>164</v>
      </c>
      <c r="D482" s="10" t="str">
        <f aca="false">INDEX(Canale!$C$2:$C$30,MATCH(C482,Canale!$A$2:$A$30,0))</f>
        <v>crunchbase</v>
      </c>
      <c r="E482" s="10" t="str">
        <f aca="false">INDEX(Canale!$D$2:$D$30,MATCH(C482,Canale!$A$2:$A$30,0))</f>
        <v>referral</v>
      </c>
      <c r="F482" s="10" t="str">
        <f aca="false">INDEX('Site-uri'!$C$2:$C$20,MATCH(A482,'Site-uri'!$A$2:$A$20,0))</f>
        <v>/</v>
      </c>
      <c r="G482" s="10" t="str">
        <f aca="false">Config!$B$3</f>
        <v>2610_ff_lansare</v>
      </c>
      <c r="H482" s="10" t="str">
        <f aca="false">Config!$B$4</f>
        <v>general</v>
      </c>
      <c r="I482" s="10" t="str">
        <f aca="false">"https://"&amp;B482&amp;F482&amp;"?utm_source="&amp;D482&amp;"&amp;utm_medium="&amp;E482&amp;"&amp;utm_campaign="&amp;G482&amp;"&amp;utm_content="&amp;H482</f>
        <v>https://the3webs.com/?utm_source=crunchbase&amp;utm_medium=referral&amp;utm_campaign=2610_ff_lansare&amp;utm_content=general</v>
      </c>
    </row>
    <row r="483" customFormat="false" ht="15" hidden="false" customHeight="false" outlineLevel="0" collapsed="false">
      <c r="A483" s="10" t="s">
        <v>91</v>
      </c>
      <c r="B483" s="10" t="str">
        <f aca="false">INDEX('Site-uri'!$B$2:$B$20,MATCH(A483,'Site-uri'!$A$2:$A$20,0))</f>
        <v>the3webs.com</v>
      </c>
      <c r="C483" s="10" t="s">
        <v>169</v>
      </c>
      <c r="D483" s="10" t="str">
        <f aca="false">INDEX(Canale!$C$2:$C$30,MATCH(C483,Canale!$A$2:$A$30,0))</f>
        <v>zenodo</v>
      </c>
      <c r="E483" s="10" t="str">
        <f aca="false">INDEX(Canale!$D$2:$D$30,MATCH(C483,Canale!$A$2:$A$30,0))</f>
        <v>referral</v>
      </c>
      <c r="F483" s="10" t="str">
        <f aca="false">INDEX('Site-uri'!$C$2:$C$20,MATCH(A483,'Site-uri'!$A$2:$A$20,0))</f>
        <v>/</v>
      </c>
      <c r="G483" s="10" t="str">
        <f aca="false">Config!$B$3</f>
        <v>2610_ff_lansare</v>
      </c>
      <c r="H483" s="10" t="str">
        <f aca="false">Config!$B$4</f>
        <v>general</v>
      </c>
      <c r="I483" s="10" t="str">
        <f aca="false">"https://"&amp;B483&amp;F483&amp;"?utm_source="&amp;D483&amp;"&amp;utm_medium="&amp;E483&amp;"&amp;utm_campaign="&amp;G483&amp;"&amp;utm_content="&amp;H483</f>
        <v>https://the3webs.com/?utm_source=zenodo&amp;utm_medium=referral&amp;utm_campaign=2610_ff_lansare&amp;utm_content=general</v>
      </c>
    </row>
    <row r="484" customFormat="false" ht="15" hidden="false" customHeight="false" outlineLevel="0" collapsed="false">
      <c r="A484" s="10" t="s">
        <v>91</v>
      </c>
      <c r="B484" s="10" t="str">
        <f aca="false">INDEX('Site-uri'!$B$2:$B$20,MATCH(A484,'Site-uri'!$A$2:$A$20,0))</f>
        <v>the3webs.com</v>
      </c>
      <c r="C484" s="10" t="s">
        <v>172</v>
      </c>
      <c r="D484" s="10" t="str">
        <f aca="false">INDEX(Canale!$C$2:$C$30,MATCH(C484,Canale!$A$2:$A$30,0))</f>
        <v>orcid</v>
      </c>
      <c r="E484" s="10" t="str">
        <f aca="false">INDEX(Canale!$D$2:$D$30,MATCH(C484,Canale!$A$2:$A$30,0))</f>
        <v>referral</v>
      </c>
      <c r="F484" s="10" t="str">
        <f aca="false">INDEX('Site-uri'!$C$2:$C$20,MATCH(A484,'Site-uri'!$A$2:$A$20,0))</f>
        <v>/</v>
      </c>
      <c r="G484" s="10" t="str">
        <f aca="false">Config!$B$3</f>
        <v>2610_ff_lansare</v>
      </c>
      <c r="H484" s="10" t="str">
        <f aca="false">Config!$B$4</f>
        <v>general</v>
      </c>
      <c r="I484" s="10" t="str">
        <f aca="false">"https://"&amp;B484&amp;F484&amp;"?utm_source="&amp;D484&amp;"&amp;utm_medium="&amp;E484&amp;"&amp;utm_campaign="&amp;G484&amp;"&amp;utm_content="&amp;H484</f>
        <v>https://the3webs.com/?utm_source=orcid&amp;utm_medium=referral&amp;utm_campaign=2610_ff_lansare&amp;utm_content=general</v>
      </c>
    </row>
    <row r="485" customFormat="false" ht="15" hidden="false" customHeight="false" outlineLevel="0" collapsed="false">
      <c r="A485" s="10" t="s">
        <v>91</v>
      </c>
      <c r="B485" s="10" t="str">
        <f aca="false">INDEX('Site-uri'!$B$2:$B$20,MATCH(A485,'Site-uri'!$A$2:$A$20,0))</f>
        <v>the3webs.com</v>
      </c>
      <c r="C485" s="10" t="s">
        <v>175</v>
      </c>
      <c r="D485" s="10" t="str">
        <f aca="false">INDEX(Canale!$C$2:$C$30,MATCH(C485,Canale!$A$2:$A$30,0))</f>
        <v>github</v>
      </c>
      <c r="E485" s="10" t="str">
        <f aca="false">INDEX(Canale!$D$2:$D$30,MATCH(C485,Canale!$A$2:$A$30,0))</f>
        <v>referral</v>
      </c>
      <c r="F485" s="10" t="str">
        <f aca="false">INDEX('Site-uri'!$C$2:$C$20,MATCH(A485,'Site-uri'!$A$2:$A$20,0))</f>
        <v>/</v>
      </c>
      <c r="G485" s="10" t="str">
        <f aca="false">Config!$B$3</f>
        <v>2610_ff_lansare</v>
      </c>
      <c r="H485" s="10" t="str">
        <f aca="false">Config!$B$4</f>
        <v>general</v>
      </c>
      <c r="I485" s="10" t="str">
        <f aca="false">"https://"&amp;B485&amp;F485&amp;"?utm_source="&amp;D485&amp;"&amp;utm_medium="&amp;E485&amp;"&amp;utm_campaign="&amp;G485&amp;"&amp;utm_content="&amp;H485</f>
        <v>https://the3webs.com/?utm_source=github&amp;utm_medium=referral&amp;utm_campaign=2610_ff_lansare&amp;utm_content=general</v>
      </c>
    </row>
    <row r="486" customFormat="false" ht="15" hidden="false" customHeight="false" outlineLevel="0" collapsed="false">
      <c r="A486" s="10" t="s">
        <v>91</v>
      </c>
      <c r="B486" s="10" t="str">
        <f aca="false">INDEX('Site-uri'!$B$2:$B$20,MATCH(A486,'Site-uri'!$A$2:$A$20,0))</f>
        <v>the3webs.com</v>
      </c>
      <c r="C486" s="10" t="s">
        <v>178</v>
      </c>
      <c r="D486" s="10" t="str">
        <f aca="false">INDEX(Canale!$C$2:$C$30,MATCH(C486,Canale!$A$2:$A$30,0))</f>
        <v>kdp_book</v>
      </c>
      <c r="E486" s="10" t="str">
        <f aca="false">INDEX(Canale!$D$2:$D$30,MATCH(C486,Canale!$A$2:$A$30,0))</f>
        <v>book</v>
      </c>
      <c r="F486" s="10" t="str">
        <f aca="false">INDEX('Site-uri'!$C$2:$C$20,MATCH(A486,'Site-uri'!$A$2:$A$20,0))</f>
        <v>/</v>
      </c>
      <c r="G486" s="10" t="str">
        <f aca="false">Config!$B$3</f>
        <v>2610_ff_lansare</v>
      </c>
      <c r="H486" s="10" t="str">
        <f aca="false">Config!$B$4</f>
        <v>general</v>
      </c>
      <c r="I486" s="10" t="str">
        <f aca="false">"https://"&amp;B486&amp;F486&amp;"?utm_source="&amp;D486&amp;"&amp;utm_medium="&amp;E486&amp;"&amp;utm_campaign="&amp;G486&amp;"&amp;utm_content="&amp;H486</f>
        <v>https://the3webs.com/?utm_source=kdp_book&amp;utm_medium=book&amp;utm_campaign=2610_ff_lansare&amp;utm_content=general</v>
      </c>
    </row>
    <row r="487" customFormat="false" ht="15" hidden="false" customHeight="false" outlineLevel="0" collapsed="false">
      <c r="A487" s="10" t="s">
        <v>91</v>
      </c>
      <c r="B487" s="10" t="str">
        <f aca="false">INDEX('Site-uri'!$B$2:$B$20,MATCH(A487,'Site-uri'!$A$2:$A$20,0))</f>
        <v>the3webs.com</v>
      </c>
      <c r="C487" s="10" t="s">
        <v>183</v>
      </c>
      <c r="D487" s="10" t="str">
        <f aca="false">INDEX(Canale!$C$2:$C$30,MATCH(C487,Canale!$A$2:$A$30,0))</f>
        <v>udemy</v>
      </c>
      <c r="E487" s="10" t="str">
        <f aca="false">INDEX(Canale!$D$2:$D$30,MATCH(C487,Canale!$A$2:$A$30,0))</f>
        <v>course</v>
      </c>
      <c r="F487" s="10" t="str">
        <f aca="false">INDEX('Site-uri'!$C$2:$C$20,MATCH(A487,'Site-uri'!$A$2:$A$20,0))</f>
        <v>/</v>
      </c>
      <c r="G487" s="10" t="str">
        <f aca="false">Config!$B$3</f>
        <v>2610_ff_lansare</v>
      </c>
      <c r="H487" s="10" t="str">
        <f aca="false">Config!$B$4</f>
        <v>general</v>
      </c>
      <c r="I487" s="10" t="str">
        <f aca="false">"https://"&amp;B487&amp;F487&amp;"?utm_source="&amp;D487&amp;"&amp;utm_medium="&amp;E487&amp;"&amp;utm_campaign="&amp;G487&amp;"&amp;utm_content="&amp;H487</f>
        <v>https://the3webs.com/?utm_source=udemy&amp;utm_medium=course&amp;utm_campaign=2610_ff_lansare&amp;utm_content=general</v>
      </c>
    </row>
    <row r="488" customFormat="false" ht="15" hidden="false" customHeight="false" outlineLevel="0" collapsed="false">
      <c r="A488" s="10" t="s">
        <v>91</v>
      </c>
      <c r="B488" s="10" t="str">
        <f aca="false">INDEX('Site-uri'!$B$2:$B$20,MATCH(A488,'Site-uri'!$A$2:$A$20,0))</f>
        <v>the3webs.com</v>
      </c>
      <c r="C488" s="10" t="s">
        <v>186</v>
      </c>
      <c r="D488" s="10" t="str">
        <f aca="false">INDEX(Canale!$C$2:$C$30,MATCH(C488,Canale!$A$2:$A$30,0))</f>
        <v>directory</v>
      </c>
      <c r="E488" s="10" t="str">
        <f aca="false">INDEX(Canale!$D$2:$D$30,MATCH(C488,Canale!$A$2:$A$30,0))</f>
        <v>referral</v>
      </c>
      <c r="F488" s="10" t="str">
        <f aca="false">INDEX('Site-uri'!$C$2:$C$20,MATCH(A488,'Site-uri'!$A$2:$A$20,0))</f>
        <v>/</v>
      </c>
      <c r="G488" s="10" t="str">
        <f aca="false">Config!$B$3</f>
        <v>2610_ff_lansare</v>
      </c>
      <c r="H488" s="10" t="str">
        <f aca="false">Config!$B$4</f>
        <v>general</v>
      </c>
      <c r="I488" s="10" t="str">
        <f aca="false">"https://"&amp;B488&amp;F488&amp;"?utm_source="&amp;D488&amp;"&amp;utm_medium="&amp;E488&amp;"&amp;utm_campaign="&amp;G488&amp;"&amp;utm_content="&amp;H488</f>
        <v>https://the3webs.com/?utm_source=directory&amp;utm_medium=referral&amp;utm_campaign=2610_ff_lansare&amp;utm_content=general</v>
      </c>
    </row>
    <row r="489" customFormat="false" ht="15" hidden="false" customHeight="false" outlineLevel="0" collapsed="false">
      <c r="A489" s="10" t="s">
        <v>91</v>
      </c>
      <c r="B489" s="10" t="str">
        <f aca="false">INDEX('Site-uri'!$B$2:$B$20,MATCH(A489,'Site-uri'!$A$2:$A$20,0))</f>
        <v>the3webs.com</v>
      </c>
      <c r="C489" s="10" t="s">
        <v>190</v>
      </c>
      <c r="D489" s="10" t="str">
        <f aca="false">INDEX(Canale!$C$2:$C$30,MATCH(C489,Canale!$A$2:$A$30,0))</f>
        <v>partner</v>
      </c>
      <c r="E489" s="10" t="str">
        <f aca="false">INDEX(Canale!$D$2:$D$30,MATCH(C489,Canale!$A$2:$A$30,0))</f>
        <v>partner</v>
      </c>
      <c r="F489" s="10" t="str">
        <f aca="false">INDEX('Site-uri'!$C$2:$C$20,MATCH(A489,'Site-uri'!$A$2:$A$20,0))</f>
        <v>/</v>
      </c>
      <c r="G489" s="10" t="str">
        <f aca="false">Config!$B$3</f>
        <v>2610_ff_lansare</v>
      </c>
      <c r="H489" s="10" t="str">
        <f aca="false">Config!$B$4</f>
        <v>general</v>
      </c>
      <c r="I489" s="10" t="str">
        <f aca="false">"https://"&amp;B489&amp;F489&amp;"?utm_source="&amp;D489&amp;"&amp;utm_medium="&amp;E489&amp;"&amp;utm_campaign="&amp;G489&amp;"&amp;utm_content="&amp;H489</f>
        <v>https://the3webs.com/?utm_source=partner&amp;utm_medium=partner&amp;utm_campaign=2610_ff_lansare&amp;utm_content=general</v>
      </c>
    </row>
    <row r="490" customFormat="false" ht="15" hidden="false" customHeight="false" outlineLevel="0" collapsed="false">
      <c r="A490" s="10" t="s">
        <v>91</v>
      </c>
      <c r="B490" s="10" t="str">
        <f aca="false">INDEX('Site-uri'!$B$2:$B$20,MATCH(A490,'Site-uri'!$A$2:$A$20,0))</f>
        <v>the3webs.com</v>
      </c>
      <c r="C490" s="10" t="s">
        <v>192</v>
      </c>
      <c r="D490" s="10" t="str">
        <f aca="false">INDEX(Canale!$C$2:$C$30,MATCH(C490,Canale!$A$2:$A$30,0))</f>
        <v>pdf_proposal</v>
      </c>
      <c r="E490" s="10" t="str">
        <f aca="false">INDEX(Canale!$D$2:$D$30,MATCH(C490,Canale!$A$2:$A$30,0))</f>
        <v>document</v>
      </c>
      <c r="F490" s="10" t="str">
        <f aca="false">INDEX('Site-uri'!$C$2:$C$20,MATCH(A490,'Site-uri'!$A$2:$A$20,0))</f>
        <v>/</v>
      </c>
      <c r="G490" s="10" t="str">
        <f aca="false">Config!$B$3</f>
        <v>2610_ff_lansare</v>
      </c>
      <c r="H490" s="10" t="str">
        <f aca="false">Config!$B$4</f>
        <v>general</v>
      </c>
      <c r="I490" s="10" t="str">
        <f aca="false">"https://"&amp;B490&amp;F490&amp;"?utm_source="&amp;D490&amp;"&amp;utm_medium="&amp;E490&amp;"&amp;utm_campaign="&amp;G490&amp;"&amp;utm_content="&amp;H490</f>
        <v>https://the3webs.com/?utm_source=pdf_proposal&amp;utm_medium=document&amp;utm_campaign=2610_ff_lansare&amp;utm_content=general</v>
      </c>
    </row>
    <row r="491" customFormat="false" ht="15" hidden="false" customHeight="false" outlineLevel="0" collapsed="false">
      <c r="A491" s="10" t="s">
        <v>91</v>
      </c>
      <c r="B491" s="10" t="str">
        <f aca="false">INDEX('Site-uri'!$B$2:$B$20,MATCH(A491,'Site-uri'!$A$2:$A$20,0))</f>
        <v>the3webs.com</v>
      </c>
      <c r="C491" s="10" t="s">
        <v>197</v>
      </c>
      <c r="D491" s="10" t="str">
        <f aca="false">INDEX(Canale!$C$2:$C$30,MATCH(C491,Canale!$A$2:$A$30,0))</f>
        <v>qr_print</v>
      </c>
      <c r="E491" s="10" t="str">
        <f aca="false">INDEX(Canale!$D$2:$D$30,MATCH(C491,Canale!$A$2:$A$30,0))</f>
        <v>qr</v>
      </c>
      <c r="F491" s="10" t="str">
        <f aca="false">INDEX('Site-uri'!$C$2:$C$20,MATCH(A491,'Site-uri'!$A$2:$A$20,0))</f>
        <v>/</v>
      </c>
      <c r="G491" s="10" t="str">
        <f aca="false">Config!$B$3</f>
        <v>2610_ff_lansare</v>
      </c>
      <c r="H491" s="10" t="str">
        <f aca="false">Config!$B$4</f>
        <v>general</v>
      </c>
      <c r="I491" s="10" t="str">
        <f aca="false">"https://"&amp;B491&amp;F491&amp;"?utm_source="&amp;D491&amp;"&amp;utm_medium="&amp;E491&amp;"&amp;utm_campaign="&amp;G491&amp;"&amp;utm_content="&amp;H491</f>
        <v>https://the3webs.com/?utm_source=qr_print&amp;utm_medium=qr&amp;utm_campaign=2610_ff_lansare&amp;utm_content=general</v>
      </c>
    </row>
    <row r="492" customFormat="false" ht="15" hidden="false" customHeight="false" outlineLevel="0" collapsed="false">
      <c r="A492" s="10" t="s">
        <v>91</v>
      </c>
      <c r="B492" s="10" t="str">
        <f aca="false">INDEX('Site-uri'!$B$2:$B$20,MATCH(A492,'Site-uri'!$A$2:$A$20,0))</f>
        <v>the3webs.com</v>
      </c>
      <c r="C492" s="10" t="s">
        <v>201</v>
      </c>
      <c r="D492" s="10" t="str">
        <f aca="false">INDEX(Canale!$C$2:$C$30,MATCH(C492,Canale!$A$2:$A$30,0))</f>
        <v>event</v>
      </c>
      <c r="E492" s="10" t="str">
        <f aca="false">INDEX(Canale!$D$2:$D$30,MATCH(C492,Canale!$A$2:$A$30,0))</f>
        <v>event</v>
      </c>
      <c r="F492" s="10" t="str">
        <f aca="false">INDEX('Site-uri'!$C$2:$C$20,MATCH(A492,'Site-uri'!$A$2:$A$20,0))</f>
        <v>/</v>
      </c>
      <c r="G492" s="10" t="str">
        <f aca="false">Config!$B$3</f>
        <v>2610_ff_lansare</v>
      </c>
      <c r="H492" s="10" t="str">
        <f aca="false">Config!$B$4</f>
        <v>general</v>
      </c>
      <c r="I492" s="10" t="str">
        <f aca="false">"https://"&amp;B492&amp;F492&amp;"?utm_source="&amp;D492&amp;"&amp;utm_medium="&amp;E492&amp;"&amp;utm_campaign="&amp;G492&amp;"&amp;utm_content="&amp;H492</f>
        <v>https://the3webs.com/?utm_source=event&amp;utm_medium=event&amp;utm_campaign=2610_ff_lansare&amp;utm_content=general</v>
      </c>
    </row>
    <row r="493" customFormat="false" ht="15" hidden="false" customHeight="false" outlineLevel="0" collapsed="false">
      <c r="A493" s="10" t="s">
        <v>91</v>
      </c>
      <c r="B493" s="10" t="str">
        <f aca="false">INDEX('Site-uri'!$B$2:$B$20,MATCH(A493,'Site-uri'!$A$2:$A$20,0))</f>
        <v>the3webs.com</v>
      </c>
      <c r="C493" s="10" t="s">
        <v>203</v>
      </c>
      <c r="D493" s="10" t="str">
        <f aca="false">INDEX(Canale!$C$2:$C$30,MATCH(C493,Canale!$A$2:$A$30,0))</f>
        <v>a2a_agent_card</v>
      </c>
      <c r="E493" s="10" t="str">
        <f aca="false">INDEX(Canale!$D$2:$D$30,MATCH(C493,Canale!$A$2:$A$30,0))</f>
        <v>agent</v>
      </c>
      <c r="F493" s="10" t="str">
        <f aca="false">INDEX('Site-uri'!$C$2:$C$20,MATCH(A493,'Site-uri'!$A$2:$A$20,0))</f>
        <v>/</v>
      </c>
      <c r="G493" s="10" t="str">
        <f aca="false">Config!$B$3</f>
        <v>2610_ff_lansare</v>
      </c>
      <c r="H493" s="10" t="str">
        <f aca="false">Config!$B$4</f>
        <v>general</v>
      </c>
      <c r="I493" s="10" t="str">
        <f aca="false">"https://"&amp;B493&amp;F493&amp;"?utm_source="&amp;D493&amp;"&amp;utm_medium="&amp;E493&amp;"&amp;utm_campaign="&amp;G493&amp;"&amp;utm_content="&amp;H493</f>
        <v>https://the3webs.com/?utm_source=a2a_agent_card&amp;utm_medium=agent&amp;utm_campaign=2610_ff_lansare&amp;utm_content=general</v>
      </c>
    </row>
    <row r="494" customFormat="false" ht="15" hidden="false" customHeight="false" outlineLevel="0" collapsed="false">
      <c r="A494" s="10" t="s">
        <v>91</v>
      </c>
      <c r="B494" s="10" t="str">
        <f aca="false">INDEX('Site-uri'!$B$2:$B$20,MATCH(A494,'Site-uri'!$A$2:$A$20,0))</f>
        <v>the3webs.com</v>
      </c>
      <c r="C494" s="10" t="s">
        <v>208</v>
      </c>
      <c r="D494" s="10" t="str">
        <f aca="false">INDEX(Canale!$C$2:$C$30,MATCH(C494,Canale!$A$2:$A$30,0))</f>
        <v>llms_txt</v>
      </c>
      <c r="E494" s="10" t="str">
        <f aca="false">INDEX(Canale!$D$2:$D$30,MATCH(C494,Canale!$A$2:$A$30,0))</f>
        <v>ai_web</v>
      </c>
      <c r="F494" s="10" t="str">
        <f aca="false">INDEX('Site-uri'!$C$2:$C$20,MATCH(A494,'Site-uri'!$A$2:$A$20,0))</f>
        <v>/</v>
      </c>
      <c r="G494" s="10" t="str">
        <f aca="false">Config!$B$3</f>
        <v>2610_ff_lansare</v>
      </c>
      <c r="H494" s="10" t="str">
        <f aca="false">Config!$B$4</f>
        <v>general</v>
      </c>
      <c r="I494" s="10" t="str">
        <f aca="false">"https://"&amp;B494&amp;F494&amp;"?utm_source="&amp;D494&amp;"&amp;utm_medium="&amp;E494&amp;"&amp;utm_campaign="&amp;G494&amp;"&amp;utm_content="&amp;H494</f>
        <v>https://the3webs.com/?utm_source=llms_txt&amp;utm_medium=ai_web&amp;utm_campaign=2610_ff_lansare&amp;utm_content=general</v>
      </c>
    </row>
    <row r="495" customFormat="false" ht="15" hidden="false" customHeight="false" outlineLevel="0" collapsed="false">
      <c r="A495" s="10" t="s">
        <v>94</v>
      </c>
      <c r="B495" s="10" t="str">
        <f aca="false">INDEX('Site-uri'!$B$2:$B$20,MATCH(A495,'Site-uri'!$A$2:$A$20,0))</f>
        <v>floride-e2.com</v>
      </c>
      <c r="C495" s="10" t="s">
        <v>103</v>
      </c>
      <c r="D495" s="10" t="str">
        <f aca="false">INDEX(Canale!$C$2:$C$30,MATCH(C495,Canale!$A$2:$A$30,0))</f>
        <v>linkedin_personal</v>
      </c>
      <c r="E495" s="10" t="str">
        <f aca="false">INDEX(Canale!$D$2:$D$30,MATCH(C495,Canale!$A$2:$A$30,0))</f>
        <v>social</v>
      </c>
      <c r="F495" s="10" t="str">
        <f aca="false">INDEX('Site-uri'!$C$2:$C$20,MATCH(A495,'Site-uri'!$A$2:$A$20,0))</f>
        <v>/</v>
      </c>
      <c r="G495" s="10" t="str">
        <f aca="false">Config!$B$3</f>
        <v>2610_ff_lansare</v>
      </c>
      <c r="H495" s="10" t="str">
        <f aca="false">Config!$B$4</f>
        <v>general</v>
      </c>
      <c r="I495" s="10" t="str">
        <f aca="false">"https://"&amp;B495&amp;F495&amp;"?utm_source="&amp;D495&amp;"&amp;utm_medium="&amp;E495&amp;"&amp;utm_campaign="&amp;G495&amp;"&amp;utm_content="&amp;H495</f>
        <v>https://floride-e2.com/?utm_source=linkedin_personal&amp;utm_medium=social&amp;utm_campaign=2610_ff_lansare&amp;utm_content=general</v>
      </c>
    </row>
    <row r="496" customFormat="false" ht="15" hidden="false" customHeight="false" outlineLevel="0" collapsed="false">
      <c r="A496" s="10" t="s">
        <v>94</v>
      </c>
      <c r="B496" s="10" t="str">
        <f aca="false">INDEX('Site-uri'!$B$2:$B$20,MATCH(A496,'Site-uri'!$A$2:$A$20,0))</f>
        <v>floride-e2.com</v>
      </c>
      <c r="C496" s="10" t="s">
        <v>108</v>
      </c>
      <c r="D496" s="10" t="str">
        <f aca="false">INDEX(Canale!$C$2:$C$30,MATCH(C496,Canale!$A$2:$A$30,0))</f>
        <v>linkedin_company</v>
      </c>
      <c r="E496" s="10" t="str">
        <f aca="false">INDEX(Canale!$D$2:$D$30,MATCH(C496,Canale!$A$2:$A$30,0))</f>
        <v>social</v>
      </c>
      <c r="F496" s="10" t="str">
        <f aca="false">INDEX('Site-uri'!$C$2:$C$20,MATCH(A496,'Site-uri'!$A$2:$A$20,0))</f>
        <v>/</v>
      </c>
      <c r="G496" s="10" t="str">
        <f aca="false">Config!$B$3</f>
        <v>2610_ff_lansare</v>
      </c>
      <c r="H496" s="10" t="str">
        <f aca="false">Config!$B$4</f>
        <v>general</v>
      </c>
      <c r="I496" s="10" t="str">
        <f aca="false">"https://"&amp;B496&amp;F496&amp;"?utm_source="&amp;D496&amp;"&amp;utm_medium="&amp;E496&amp;"&amp;utm_campaign="&amp;G496&amp;"&amp;utm_content="&amp;H496</f>
        <v>https://floride-e2.com/?utm_source=linkedin_company&amp;utm_medium=social&amp;utm_campaign=2610_ff_lansare&amp;utm_content=general</v>
      </c>
    </row>
    <row r="497" customFormat="false" ht="15" hidden="false" customHeight="false" outlineLevel="0" collapsed="false">
      <c r="A497" s="10" t="s">
        <v>94</v>
      </c>
      <c r="B497" s="10" t="str">
        <f aca="false">INDEX('Site-uri'!$B$2:$B$20,MATCH(A497,'Site-uri'!$A$2:$A$20,0))</f>
        <v>floride-e2.com</v>
      </c>
      <c r="C497" s="10" t="s">
        <v>111</v>
      </c>
      <c r="D497" s="10" t="str">
        <f aca="false">INDEX(Canale!$C$2:$C$30,MATCH(C497,Canale!$A$2:$A$30,0))</f>
        <v>linkedin_showcase</v>
      </c>
      <c r="E497" s="10" t="str">
        <f aca="false">INDEX(Canale!$D$2:$D$30,MATCH(C497,Canale!$A$2:$A$30,0))</f>
        <v>social</v>
      </c>
      <c r="F497" s="10" t="str">
        <f aca="false">INDEX('Site-uri'!$C$2:$C$20,MATCH(A497,'Site-uri'!$A$2:$A$20,0))</f>
        <v>/</v>
      </c>
      <c r="G497" s="10" t="str">
        <f aca="false">Config!$B$3</f>
        <v>2610_ff_lansare</v>
      </c>
      <c r="H497" s="10" t="str">
        <f aca="false">Config!$B$4</f>
        <v>general</v>
      </c>
      <c r="I497" s="10" t="str">
        <f aca="false">"https://"&amp;B497&amp;F497&amp;"?utm_source="&amp;D497&amp;"&amp;utm_medium="&amp;E497&amp;"&amp;utm_campaign="&amp;G497&amp;"&amp;utm_content="&amp;H497</f>
        <v>https://floride-e2.com/?utm_source=linkedin_showcase&amp;utm_medium=social&amp;utm_campaign=2610_ff_lansare&amp;utm_content=general</v>
      </c>
    </row>
    <row r="498" customFormat="false" ht="15" hidden="false" customHeight="false" outlineLevel="0" collapsed="false">
      <c r="A498" s="10" t="s">
        <v>94</v>
      </c>
      <c r="B498" s="10" t="str">
        <f aca="false">INDEX('Site-uri'!$B$2:$B$20,MATCH(A498,'Site-uri'!$A$2:$A$20,0))</f>
        <v>floride-e2.com</v>
      </c>
      <c r="C498" s="10" t="s">
        <v>114</v>
      </c>
      <c r="D498" s="10" t="str">
        <f aca="false">INDEX(Canale!$C$2:$C$30,MATCH(C498,Canale!$A$2:$A$30,0))</f>
        <v>linkedin_newsletter</v>
      </c>
      <c r="E498" s="10" t="str">
        <f aca="false">INDEX(Canale!$D$2:$D$30,MATCH(C498,Canale!$A$2:$A$30,0))</f>
        <v>social</v>
      </c>
      <c r="F498" s="10" t="str">
        <f aca="false">INDEX('Site-uri'!$C$2:$C$20,MATCH(A498,'Site-uri'!$A$2:$A$20,0))</f>
        <v>/</v>
      </c>
      <c r="G498" s="10" t="str">
        <f aca="false">Config!$B$3</f>
        <v>2610_ff_lansare</v>
      </c>
      <c r="H498" s="10" t="str">
        <f aca="false">Config!$B$4</f>
        <v>general</v>
      </c>
      <c r="I498" s="10" t="str">
        <f aca="false">"https://"&amp;B498&amp;F498&amp;"?utm_source="&amp;D498&amp;"&amp;utm_medium="&amp;E498&amp;"&amp;utm_campaign="&amp;G498&amp;"&amp;utm_content="&amp;H498</f>
        <v>https://floride-e2.com/?utm_source=linkedin_newsletter&amp;utm_medium=social&amp;utm_campaign=2610_ff_lansare&amp;utm_content=general</v>
      </c>
    </row>
    <row r="499" customFormat="false" ht="15" hidden="false" customHeight="false" outlineLevel="0" collapsed="false">
      <c r="A499" s="10" t="s">
        <v>94</v>
      </c>
      <c r="B499" s="10" t="str">
        <f aca="false">INDEX('Site-uri'!$B$2:$B$20,MATCH(A499,'Site-uri'!$A$2:$A$20,0))</f>
        <v>floride-e2.com</v>
      </c>
      <c r="C499" s="10" t="s">
        <v>117</v>
      </c>
      <c r="D499" s="10" t="str">
        <f aca="false">INDEX(Canale!$C$2:$C$30,MATCH(C499,Canale!$A$2:$A$30,0))</f>
        <v>linkedin_ads</v>
      </c>
      <c r="E499" s="10" t="str">
        <f aca="false">INDEX(Canale!$D$2:$D$30,MATCH(C499,Canale!$A$2:$A$30,0))</f>
        <v>paid_social</v>
      </c>
      <c r="F499" s="10" t="str">
        <f aca="false">INDEX('Site-uri'!$C$2:$C$20,MATCH(A499,'Site-uri'!$A$2:$A$20,0))</f>
        <v>/</v>
      </c>
      <c r="G499" s="10" t="str">
        <f aca="false">Config!$B$3</f>
        <v>2610_ff_lansare</v>
      </c>
      <c r="H499" s="10" t="str">
        <f aca="false">Config!$B$4</f>
        <v>general</v>
      </c>
      <c r="I499" s="10" t="str">
        <f aca="false">"https://"&amp;B499&amp;F499&amp;"?utm_source="&amp;D499&amp;"&amp;utm_medium="&amp;E499&amp;"&amp;utm_campaign="&amp;G499&amp;"&amp;utm_content="&amp;H499</f>
        <v>https://floride-e2.com/?utm_source=linkedin_ads&amp;utm_medium=paid_social&amp;utm_campaign=2610_ff_lansare&amp;utm_content=general</v>
      </c>
    </row>
    <row r="500" customFormat="false" ht="15" hidden="false" customHeight="false" outlineLevel="0" collapsed="false">
      <c r="A500" s="10" t="s">
        <v>94</v>
      </c>
      <c r="B500" s="10" t="str">
        <f aca="false">INDEX('Site-uri'!$B$2:$B$20,MATCH(A500,'Site-uri'!$A$2:$A$20,0))</f>
        <v>floride-e2.com</v>
      </c>
      <c r="C500" s="10" t="s">
        <v>121</v>
      </c>
      <c r="D500" s="10" t="str">
        <f aca="false">INDEX(Canale!$C$2:$C$30,MATCH(C500,Canale!$A$2:$A$30,0))</f>
        <v>linkedin_dm</v>
      </c>
      <c r="E500" s="10" t="str">
        <f aca="false">INDEX(Canale!$D$2:$D$30,MATCH(C500,Canale!$A$2:$A$30,0))</f>
        <v>dm</v>
      </c>
      <c r="F500" s="10" t="str">
        <f aca="false">INDEX('Site-uri'!$C$2:$C$20,MATCH(A500,'Site-uri'!$A$2:$A$20,0))</f>
        <v>/</v>
      </c>
      <c r="G500" s="10" t="str">
        <f aca="false">Config!$B$3</f>
        <v>2610_ff_lansare</v>
      </c>
      <c r="H500" s="10" t="str">
        <f aca="false">Config!$B$4</f>
        <v>general</v>
      </c>
      <c r="I500" s="10" t="str">
        <f aca="false">"https://"&amp;B500&amp;F500&amp;"?utm_source="&amp;D500&amp;"&amp;utm_medium="&amp;E500&amp;"&amp;utm_campaign="&amp;G500&amp;"&amp;utm_content="&amp;H500</f>
        <v>https://floride-e2.com/?utm_source=linkedin_dm&amp;utm_medium=dm&amp;utm_campaign=2610_ff_lansare&amp;utm_content=general</v>
      </c>
    </row>
    <row r="501" customFormat="false" ht="15" hidden="false" customHeight="false" outlineLevel="0" collapsed="false">
      <c r="A501" s="10" t="s">
        <v>94</v>
      </c>
      <c r="B501" s="10" t="str">
        <f aca="false">INDEX('Site-uri'!$B$2:$B$20,MATCH(A501,'Site-uri'!$A$2:$A$20,0))</f>
        <v>floride-e2.com</v>
      </c>
      <c r="C501" s="10" t="s">
        <v>125</v>
      </c>
      <c r="D501" s="10" t="str">
        <f aca="false">INDEX(Canale!$C$2:$C$30,MATCH(C501,Canale!$A$2:$A$30,0))</f>
        <v>email_outreach</v>
      </c>
      <c r="E501" s="10" t="str">
        <f aca="false">INDEX(Canale!$D$2:$D$30,MATCH(C501,Canale!$A$2:$A$30,0))</f>
        <v>email</v>
      </c>
      <c r="F501" s="10" t="str">
        <f aca="false">INDEX('Site-uri'!$C$2:$C$20,MATCH(A501,'Site-uri'!$A$2:$A$20,0))</f>
        <v>/</v>
      </c>
      <c r="G501" s="10" t="str">
        <f aca="false">Config!$B$3</f>
        <v>2610_ff_lansare</v>
      </c>
      <c r="H501" s="10" t="str">
        <f aca="false">Config!$B$4</f>
        <v>general</v>
      </c>
      <c r="I501" s="10" t="str">
        <f aca="false">"https://"&amp;B501&amp;F501&amp;"?utm_source="&amp;D501&amp;"&amp;utm_medium="&amp;E501&amp;"&amp;utm_campaign="&amp;G501&amp;"&amp;utm_content="&amp;H501</f>
        <v>https://floride-e2.com/?utm_source=email_outreach&amp;utm_medium=email&amp;utm_campaign=2610_ff_lansare&amp;utm_content=general</v>
      </c>
    </row>
    <row r="502" customFormat="false" ht="15" hidden="false" customHeight="false" outlineLevel="0" collapsed="false">
      <c r="A502" s="10" t="s">
        <v>94</v>
      </c>
      <c r="B502" s="10" t="str">
        <f aca="false">INDEX('Site-uri'!$B$2:$B$20,MATCH(A502,'Site-uri'!$A$2:$A$20,0))</f>
        <v>floride-e2.com</v>
      </c>
      <c r="C502" s="10" t="s">
        <v>130</v>
      </c>
      <c r="D502" s="10" t="str">
        <f aca="false">INDEX(Canale!$C$2:$C$30,MATCH(C502,Canale!$A$2:$A$30,0))</f>
        <v>newsletter</v>
      </c>
      <c r="E502" s="10" t="str">
        <f aca="false">INDEX(Canale!$D$2:$D$30,MATCH(C502,Canale!$A$2:$A$30,0))</f>
        <v>email</v>
      </c>
      <c r="F502" s="10" t="str">
        <f aca="false">INDEX('Site-uri'!$C$2:$C$20,MATCH(A502,'Site-uri'!$A$2:$A$20,0))</f>
        <v>/</v>
      </c>
      <c r="G502" s="10" t="str">
        <f aca="false">Config!$B$3</f>
        <v>2610_ff_lansare</v>
      </c>
      <c r="H502" s="10" t="str">
        <f aca="false">Config!$B$4</f>
        <v>general</v>
      </c>
      <c r="I502" s="10" t="str">
        <f aca="false">"https://"&amp;B502&amp;F502&amp;"?utm_source="&amp;D502&amp;"&amp;utm_medium="&amp;E502&amp;"&amp;utm_campaign="&amp;G502&amp;"&amp;utm_content="&amp;H502</f>
        <v>https://floride-e2.com/?utm_source=newsletter&amp;utm_medium=email&amp;utm_campaign=2610_ff_lansare&amp;utm_content=general</v>
      </c>
    </row>
    <row r="503" customFormat="false" ht="15" hidden="false" customHeight="false" outlineLevel="0" collapsed="false">
      <c r="A503" s="10" t="s">
        <v>94</v>
      </c>
      <c r="B503" s="10" t="str">
        <f aca="false">INDEX('Site-uri'!$B$2:$B$20,MATCH(A503,'Site-uri'!$A$2:$A$20,0))</f>
        <v>floride-e2.com</v>
      </c>
      <c r="C503" s="10" t="s">
        <v>133</v>
      </c>
      <c r="D503" s="10" t="str">
        <f aca="false">INDEX(Canale!$C$2:$C$30,MATCH(C503,Canale!$A$2:$A$30,0))</f>
        <v>email_signature</v>
      </c>
      <c r="E503" s="10" t="str">
        <f aca="false">INDEX(Canale!$D$2:$D$30,MATCH(C503,Canale!$A$2:$A$30,0))</f>
        <v>email</v>
      </c>
      <c r="F503" s="10" t="str">
        <f aca="false">INDEX('Site-uri'!$C$2:$C$20,MATCH(A503,'Site-uri'!$A$2:$A$20,0))</f>
        <v>/</v>
      </c>
      <c r="G503" s="10" t="str">
        <f aca="false">Config!$B$3</f>
        <v>2610_ff_lansare</v>
      </c>
      <c r="H503" s="10" t="str">
        <f aca="false">Config!$B$4</f>
        <v>general</v>
      </c>
      <c r="I503" s="10" t="str">
        <f aca="false">"https://"&amp;B503&amp;F503&amp;"?utm_source="&amp;D503&amp;"&amp;utm_medium="&amp;E503&amp;"&amp;utm_campaign="&amp;G503&amp;"&amp;utm_content="&amp;H503</f>
        <v>https://floride-e2.com/?utm_source=email_signature&amp;utm_medium=email&amp;utm_campaign=2610_ff_lansare&amp;utm_content=general</v>
      </c>
    </row>
    <row r="504" customFormat="false" ht="15" hidden="false" customHeight="false" outlineLevel="0" collapsed="false">
      <c r="A504" s="10" t="s">
        <v>94</v>
      </c>
      <c r="B504" s="10" t="str">
        <f aca="false">INDEX('Site-uri'!$B$2:$B$20,MATCH(A504,'Site-uri'!$A$2:$A$20,0))</f>
        <v>floride-e2.com</v>
      </c>
      <c r="C504" s="10" t="s">
        <v>136</v>
      </c>
      <c r="D504" s="10" t="str">
        <f aca="false">INDEX(Canale!$C$2:$C$30,MATCH(C504,Canale!$A$2:$A$30,0))</f>
        <v>whatsapp</v>
      </c>
      <c r="E504" s="10" t="str">
        <f aca="false">INDEX(Canale!$D$2:$D$30,MATCH(C504,Canale!$A$2:$A$30,0))</f>
        <v>dm</v>
      </c>
      <c r="F504" s="10" t="str">
        <f aca="false">INDEX('Site-uri'!$C$2:$C$20,MATCH(A504,'Site-uri'!$A$2:$A$20,0))</f>
        <v>/</v>
      </c>
      <c r="G504" s="10" t="str">
        <f aca="false">Config!$B$3</f>
        <v>2610_ff_lansare</v>
      </c>
      <c r="H504" s="10" t="str">
        <f aca="false">Config!$B$4</f>
        <v>general</v>
      </c>
      <c r="I504" s="10" t="str">
        <f aca="false">"https://"&amp;B504&amp;F504&amp;"?utm_source="&amp;D504&amp;"&amp;utm_medium="&amp;E504&amp;"&amp;utm_campaign="&amp;G504&amp;"&amp;utm_content="&amp;H504</f>
        <v>https://floride-e2.com/?utm_source=whatsapp&amp;utm_medium=dm&amp;utm_campaign=2610_ff_lansare&amp;utm_content=general</v>
      </c>
    </row>
    <row r="505" customFormat="false" ht="15" hidden="false" customHeight="false" outlineLevel="0" collapsed="false">
      <c r="A505" s="10" t="s">
        <v>94</v>
      </c>
      <c r="B505" s="10" t="str">
        <f aca="false">INDEX('Site-uri'!$B$2:$B$20,MATCH(A505,'Site-uri'!$A$2:$A$20,0))</f>
        <v>floride-e2.com</v>
      </c>
      <c r="C505" s="10" t="s">
        <v>140</v>
      </c>
      <c r="D505" s="10" t="str">
        <f aca="false">INDEX(Canale!$C$2:$C$30,MATCH(C505,Canale!$A$2:$A$30,0))</f>
        <v>google</v>
      </c>
      <c r="E505" s="10" t="str">
        <f aca="false">INDEX(Canale!$D$2:$D$30,MATCH(C505,Canale!$A$2:$A$30,0))</f>
        <v>cpc</v>
      </c>
      <c r="F505" s="10" t="str">
        <f aca="false">INDEX('Site-uri'!$C$2:$C$20,MATCH(A505,'Site-uri'!$A$2:$A$20,0))</f>
        <v>/</v>
      </c>
      <c r="G505" s="10" t="str">
        <f aca="false">Config!$B$3</f>
        <v>2610_ff_lansare</v>
      </c>
      <c r="H505" s="10" t="str">
        <f aca="false">Config!$B$4</f>
        <v>general</v>
      </c>
      <c r="I505" s="10" t="str">
        <f aca="false">"https://"&amp;B505&amp;F505&amp;"?utm_source="&amp;D505&amp;"&amp;utm_medium="&amp;E505&amp;"&amp;utm_campaign="&amp;G505&amp;"&amp;utm_content="&amp;H505</f>
        <v>https://floride-e2.com/?utm_source=google&amp;utm_medium=cpc&amp;utm_campaign=2610_ff_lansare&amp;utm_content=general</v>
      </c>
    </row>
    <row r="506" customFormat="false" ht="15" hidden="false" customHeight="false" outlineLevel="0" collapsed="false">
      <c r="A506" s="10" t="s">
        <v>94</v>
      </c>
      <c r="B506" s="10" t="str">
        <f aca="false">INDEX('Site-uri'!$B$2:$B$20,MATCH(A506,'Site-uri'!$A$2:$A$20,0))</f>
        <v>floride-e2.com</v>
      </c>
      <c r="C506" s="10" t="s">
        <v>145</v>
      </c>
      <c r="D506" s="10" t="str">
        <f aca="false">INDEX(Canale!$C$2:$C$30,MATCH(C506,Canale!$A$2:$A$30,0))</f>
        <v>bing</v>
      </c>
      <c r="E506" s="10" t="str">
        <f aca="false">INDEX(Canale!$D$2:$D$30,MATCH(C506,Canale!$A$2:$A$30,0))</f>
        <v>cpc</v>
      </c>
      <c r="F506" s="10" t="str">
        <f aca="false">INDEX('Site-uri'!$C$2:$C$20,MATCH(A506,'Site-uri'!$A$2:$A$20,0))</f>
        <v>/</v>
      </c>
      <c r="G506" s="10" t="str">
        <f aca="false">Config!$B$3</f>
        <v>2610_ff_lansare</v>
      </c>
      <c r="H506" s="10" t="str">
        <f aca="false">Config!$B$4</f>
        <v>general</v>
      </c>
      <c r="I506" s="10" t="str">
        <f aca="false">"https://"&amp;B506&amp;F506&amp;"?utm_source="&amp;D506&amp;"&amp;utm_medium="&amp;E506&amp;"&amp;utm_campaign="&amp;G506&amp;"&amp;utm_content="&amp;H506</f>
        <v>https://floride-e2.com/?utm_source=bing&amp;utm_medium=cpc&amp;utm_campaign=2610_ff_lansare&amp;utm_content=general</v>
      </c>
    </row>
    <row r="507" customFormat="false" ht="15" hidden="false" customHeight="false" outlineLevel="0" collapsed="false">
      <c r="A507" s="10" t="s">
        <v>94</v>
      </c>
      <c r="B507" s="10" t="str">
        <f aca="false">INDEX('Site-uri'!$B$2:$B$20,MATCH(A507,'Site-uri'!$A$2:$A$20,0))</f>
        <v>floride-e2.com</v>
      </c>
      <c r="C507" s="10" t="s">
        <v>148</v>
      </c>
      <c r="D507" s="10" t="str">
        <f aca="false">INDEX(Canale!$C$2:$C$30,MATCH(C507,Canale!$A$2:$A$30,0))</f>
        <v>facebook</v>
      </c>
      <c r="E507" s="10" t="str">
        <f aca="false">INDEX(Canale!$D$2:$D$30,MATCH(C507,Canale!$A$2:$A$30,0))</f>
        <v>social</v>
      </c>
      <c r="F507" s="10" t="str">
        <f aca="false">INDEX('Site-uri'!$C$2:$C$20,MATCH(A507,'Site-uri'!$A$2:$A$20,0))</f>
        <v>/</v>
      </c>
      <c r="G507" s="10" t="str">
        <f aca="false">Config!$B$3</f>
        <v>2610_ff_lansare</v>
      </c>
      <c r="H507" s="10" t="str">
        <f aca="false">Config!$B$4</f>
        <v>general</v>
      </c>
      <c r="I507" s="10" t="str">
        <f aca="false">"https://"&amp;B507&amp;F507&amp;"?utm_source="&amp;D507&amp;"&amp;utm_medium="&amp;E507&amp;"&amp;utm_campaign="&amp;G507&amp;"&amp;utm_content="&amp;H507</f>
        <v>https://floride-e2.com/?utm_source=facebook&amp;utm_medium=social&amp;utm_campaign=2610_ff_lansare&amp;utm_content=general</v>
      </c>
    </row>
    <row r="508" customFormat="false" ht="15" hidden="false" customHeight="false" outlineLevel="0" collapsed="false">
      <c r="A508" s="10" t="s">
        <v>94</v>
      </c>
      <c r="B508" s="10" t="str">
        <f aca="false">INDEX('Site-uri'!$B$2:$B$20,MATCH(A508,'Site-uri'!$A$2:$A$20,0))</f>
        <v>floride-e2.com</v>
      </c>
      <c r="C508" s="10" t="s">
        <v>152</v>
      </c>
      <c r="D508" s="10" t="str">
        <f aca="false">INDEX(Canale!$C$2:$C$30,MATCH(C508,Canale!$A$2:$A$30,0))</f>
        <v>x</v>
      </c>
      <c r="E508" s="10" t="str">
        <f aca="false">INDEX(Canale!$D$2:$D$30,MATCH(C508,Canale!$A$2:$A$30,0))</f>
        <v>social</v>
      </c>
      <c r="F508" s="10" t="str">
        <f aca="false">INDEX('Site-uri'!$C$2:$C$20,MATCH(A508,'Site-uri'!$A$2:$A$20,0))</f>
        <v>/</v>
      </c>
      <c r="G508" s="10" t="str">
        <f aca="false">Config!$B$3</f>
        <v>2610_ff_lansare</v>
      </c>
      <c r="H508" s="10" t="str">
        <f aca="false">Config!$B$4</f>
        <v>general</v>
      </c>
      <c r="I508" s="10" t="str">
        <f aca="false">"https://"&amp;B508&amp;F508&amp;"?utm_source="&amp;D508&amp;"&amp;utm_medium="&amp;E508&amp;"&amp;utm_campaign="&amp;G508&amp;"&amp;utm_content="&amp;H508</f>
        <v>https://floride-e2.com/?utm_source=x&amp;utm_medium=social&amp;utm_campaign=2610_ff_lansare&amp;utm_content=general</v>
      </c>
    </row>
    <row r="509" customFormat="false" ht="15" hidden="false" customHeight="false" outlineLevel="0" collapsed="false">
      <c r="A509" s="10" t="s">
        <v>94</v>
      </c>
      <c r="B509" s="10" t="str">
        <f aca="false">INDEX('Site-uri'!$B$2:$B$20,MATCH(A509,'Site-uri'!$A$2:$A$20,0))</f>
        <v>floride-e2.com</v>
      </c>
      <c r="C509" s="10" t="s">
        <v>154</v>
      </c>
      <c r="D509" s="10" t="str">
        <f aca="false">INDEX(Canale!$C$2:$C$30,MATCH(C509,Canale!$A$2:$A$30,0))</f>
        <v>youtube</v>
      </c>
      <c r="E509" s="10" t="str">
        <f aca="false">INDEX(Canale!$D$2:$D$30,MATCH(C509,Canale!$A$2:$A$30,0))</f>
        <v>video</v>
      </c>
      <c r="F509" s="10" t="str">
        <f aca="false">INDEX('Site-uri'!$C$2:$C$20,MATCH(A509,'Site-uri'!$A$2:$A$20,0))</f>
        <v>/</v>
      </c>
      <c r="G509" s="10" t="str">
        <f aca="false">Config!$B$3</f>
        <v>2610_ff_lansare</v>
      </c>
      <c r="H509" s="10" t="str">
        <f aca="false">Config!$B$4</f>
        <v>general</v>
      </c>
      <c r="I509" s="10" t="str">
        <f aca="false">"https://"&amp;B509&amp;F509&amp;"?utm_source="&amp;D509&amp;"&amp;utm_medium="&amp;E509&amp;"&amp;utm_campaign="&amp;G509&amp;"&amp;utm_content="&amp;H509</f>
        <v>https://floride-e2.com/?utm_source=youtube&amp;utm_medium=video&amp;utm_campaign=2610_ff_lansare&amp;utm_content=general</v>
      </c>
    </row>
    <row r="510" customFormat="false" ht="15" hidden="false" customHeight="false" outlineLevel="0" collapsed="false">
      <c r="A510" s="10" t="s">
        <v>94</v>
      </c>
      <c r="B510" s="10" t="str">
        <f aca="false">INDEX('Site-uri'!$B$2:$B$20,MATCH(A510,'Site-uri'!$A$2:$A$20,0))</f>
        <v>floride-e2.com</v>
      </c>
      <c r="C510" s="10" t="s">
        <v>159</v>
      </c>
      <c r="D510" s="10" t="str">
        <f aca="false">INDEX(Canale!$C$2:$C$30,MATCH(C510,Canale!$A$2:$A$30,0))</f>
        <v>medium</v>
      </c>
      <c r="E510" s="10" t="str">
        <f aca="false">INDEX(Canale!$D$2:$D$30,MATCH(C510,Canale!$A$2:$A$30,0))</f>
        <v>content</v>
      </c>
      <c r="F510" s="10" t="str">
        <f aca="false">INDEX('Site-uri'!$C$2:$C$20,MATCH(A510,'Site-uri'!$A$2:$A$20,0))</f>
        <v>/</v>
      </c>
      <c r="G510" s="10" t="str">
        <f aca="false">Config!$B$3</f>
        <v>2610_ff_lansare</v>
      </c>
      <c r="H510" s="10" t="str">
        <f aca="false">Config!$B$4</f>
        <v>general</v>
      </c>
      <c r="I510" s="10" t="str">
        <f aca="false">"https://"&amp;B510&amp;F510&amp;"?utm_source="&amp;D510&amp;"&amp;utm_medium="&amp;E510&amp;"&amp;utm_campaign="&amp;G510&amp;"&amp;utm_content="&amp;H510</f>
        <v>https://floride-e2.com/?utm_source=medium&amp;utm_medium=content&amp;utm_campaign=2610_ff_lansare&amp;utm_content=general</v>
      </c>
    </row>
    <row r="511" customFormat="false" ht="15" hidden="false" customHeight="false" outlineLevel="0" collapsed="false">
      <c r="A511" s="10" t="s">
        <v>94</v>
      </c>
      <c r="B511" s="10" t="str">
        <f aca="false">INDEX('Site-uri'!$B$2:$B$20,MATCH(A511,'Site-uri'!$A$2:$A$20,0))</f>
        <v>floride-e2.com</v>
      </c>
      <c r="C511" s="10" t="s">
        <v>164</v>
      </c>
      <c r="D511" s="10" t="str">
        <f aca="false">INDEX(Canale!$C$2:$C$30,MATCH(C511,Canale!$A$2:$A$30,0))</f>
        <v>crunchbase</v>
      </c>
      <c r="E511" s="10" t="str">
        <f aca="false">INDEX(Canale!$D$2:$D$30,MATCH(C511,Canale!$A$2:$A$30,0))</f>
        <v>referral</v>
      </c>
      <c r="F511" s="10" t="str">
        <f aca="false">INDEX('Site-uri'!$C$2:$C$20,MATCH(A511,'Site-uri'!$A$2:$A$20,0))</f>
        <v>/</v>
      </c>
      <c r="G511" s="10" t="str">
        <f aca="false">Config!$B$3</f>
        <v>2610_ff_lansare</v>
      </c>
      <c r="H511" s="10" t="str">
        <f aca="false">Config!$B$4</f>
        <v>general</v>
      </c>
      <c r="I511" s="10" t="str">
        <f aca="false">"https://"&amp;B511&amp;F511&amp;"?utm_source="&amp;D511&amp;"&amp;utm_medium="&amp;E511&amp;"&amp;utm_campaign="&amp;G511&amp;"&amp;utm_content="&amp;H511</f>
        <v>https://floride-e2.com/?utm_source=crunchbase&amp;utm_medium=referral&amp;utm_campaign=2610_ff_lansare&amp;utm_content=general</v>
      </c>
    </row>
    <row r="512" customFormat="false" ht="15" hidden="false" customHeight="false" outlineLevel="0" collapsed="false">
      <c r="A512" s="10" t="s">
        <v>94</v>
      </c>
      <c r="B512" s="10" t="str">
        <f aca="false">INDEX('Site-uri'!$B$2:$B$20,MATCH(A512,'Site-uri'!$A$2:$A$20,0))</f>
        <v>floride-e2.com</v>
      </c>
      <c r="C512" s="10" t="s">
        <v>169</v>
      </c>
      <c r="D512" s="10" t="str">
        <f aca="false">INDEX(Canale!$C$2:$C$30,MATCH(C512,Canale!$A$2:$A$30,0))</f>
        <v>zenodo</v>
      </c>
      <c r="E512" s="10" t="str">
        <f aca="false">INDEX(Canale!$D$2:$D$30,MATCH(C512,Canale!$A$2:$A$30,0))</f>
        <v>referral</v>
      </c>
      <c r="F512" s="10" t="str">
        <f aca="false">INDEX('Site-uri'!$C$2:$C$20,MATCH(A512,'Site-uri'!$A$2:$A$20,0))</f>
        <v>/</v>
      </c>
      <c r="G512" s="10" t="str">
        <f aca="false">Config!$B$3</f>
        <v>2610_ff_lansare</v>
      </c>
      <c r="H512" s="10" t="str">
        <f aca="false">Config!$B$4</f>
        <v>general</v>
      </c>
      <c r="I512" s="10" t="str">
        <f aca="false">"https://"&amp;B512&amp;F512&amp;"?utm_source="&amp;D512&amp;"&amp;utm_medium="&amp;E512&amp;"&amp;utm_campaign="&amp;G512&amp;"&amp;utm_content="&amp;H512</f>
        <v>https://floride-e2.com/?utm_source=zenodo&amp;utm_medium=referral&amp;utm_campaign=2610_ff_lansare&amp;utm_content=general</v>
      </c>
    </row>
    <row r="513" customFormat="false" ht="15" hidden="false" customHeight="false" outlineLevel="0" collapsed="false">
      <c r="A513" s="10" t="s">
        <v>94</v>
      </c>
      <c r="B513" s="10" t="str">
        <f aca="false">INDEX('Site-uri'!$B$2:$B$20,MATCH(A513,'Site-uri'!$A$2:$A$20,0))</f>
        <v>floride-e2.com</v>
      </c>
      <c r="C513" s="10" t="s">
        <v>172</v>
      </c>
      <c r="D513" s="10" t="str">
        <f aca="false">INDEX(Canale!$C$2:$C$30,MATCH(C513,Canale!$A$2:$A$30,0))</f>
        <v>orcid</v>
      </c>
      <c r="E513" s="10" t="str">
        <f aca="false">INDEX(Canale!$D$2:$D$30,MATCH(C513,Canale!$A$2:$A$30,0))</f>
        <v>referral</v>
      </c>
      <c r="F513" s="10" t="str">
        <f aca="false">INDEX('Site-uri'!$C$2:$C$20,MATCH(A513,'Site-uri'!$A$2:$A$20,0))</f>
        <v>/</v>
      </c>
      <c r="G513" s="10" t="str">
        <f aca="false">Config!$B$3</f>
        <v>2610_ff_lansare</v>
      </c>
      <c r="H513" s="10" t="str">
        <f aca="false">Config!$B$4</f>
        <v>general</v>
      </c>
      <c r="I513" s="10" t="str">
        <f aca="false">"https://"&amp;B513&amp;F513&amp;"?utm_source="&amp;D513&amp;"&amp;utm_medium="&amp;E513&amp;"&amp;utm_campaign="&amp;G513&amp;"&amp;utm_content="&amp;H513</f>
        <v>https://floride-e2.com/?utm_source=orcid&amp;utm_medium=referral&amp;utm_campaign=2610_ff_lansare&amp;utm_content=general</v>
      </c>
    </row>
    <row r="514" customFormat="false" ht="15" hidden="false" customHeight="false" outlineLevel="0" collapsed="false">
      <c r="A514" s="10" t="s">
        <v>94</v>
      </c>
      <c r="B514" s="10" t="str">
        <f aca="false">INDEX('Site-uri'!$B$2:$B$20,MATCH(A514,'Site-uri'!$A$2:$A$20,0))</f>
        <v>floride-e2.com</v>
      </c>
      <c r="C514" s="10" t="s">
        <v>175</v>
      </c>
      <c r="D514" s="10" t="str">
        <f aca="false">INDEX(Canale!$C$2:$C$30,MATCH(C514,Canale!$A$2:$A$30,0))</f>
        <v>github</v>
      </c>
      <c r="E514" s="10" t="str">
        <f aca="false">INDEX(Canale!$D$2:$D$30,MATCH(C514,Canale!$A$2:$A$30,0))</f>
        <v>referral</v>
      </c>
      <c r="F514" s="10" t="str">
        <f aca="false">INDEX('Site-uri'!$C$2:$C$20,MATCH(A514,'Site-uri'!$A$2:$A$20,0))</f>
        <v>/</v>
      </c>
      <c r="G514" s="10" t="str">
        <f aca="false">Config!$B$3</f>
        <v>2610_ff_lansare</v>
      </c>
      <c r="H514" s="10" t="str">
        <f aca="false">Config!$B$4</f>
        <v>general</v>
      </c>
      <c r="I514" s="10" t="str">
        <f aca="false">"https://"&amp;B514&amp;F514&amp;"?utm_source="&amp;D514&amp;"&amp;utm_medium="&amp;E514&amp;"&amp;utm_campaign="&amp;G514&amp;"&amp;utm_content="&amp;H514</f>
        <v>https://floride-e2.com/?utm_source=github&amp;utm_medium=referral&amp;utm_campaign=2610_ff_lansare&amp;utm_content=general</v>
      </c>
    </row>
    <row r="515" customFormat="false" ht="15" hidden="false" customHeight="false" outlineLevel="0" collapsed="false">
      <c r="A515" s="10" t="s">
        <v>94</v>
      </c>
      <c r="B515" s="10" t="str">
        <f aca="false">INDEX('Site-uri'!$B$2:$B$20,MATCH(A515,'Site-uri'!$A$2:$A$20,0))</f>
        <v>floride-e2.com</v>
      </c>
      <c r="C515" s="10" t="s">
        <v>178</v>
      </c>
      <c r="D515" s="10" t="str">
        <f aca="false">INDEX(Canale!$C$2:$C$30,MATCH(C515,Canale!$A$2:$A$30,0))</f>
        <v>kdp_book</v>
      </c>
      <c r="E515" s="10" t="str">
        <f aca="false">INDEX(Canale!$D$2:$D$30,MATCH(C515,Canale!$A$2:$A$30,0))</f>
        <v>book</v>
      </c>
      <c r="F515" s="10" t="str">
        <f aca="false">INDEX('Site-uri'!$C$2:$C$20,MATCH(A515,'Site-uri'!$A$2:$A$20,0))</f>
        <v>/</v>
      </c>
      <c r="G515" s="10" t="str">
        <f aca="false">Config!$B$3</f>
        <v>2610_ff_lansare</v>
      </c>
      <c r="H515" s="10" t="str">
        <f aca="false">Config!$B$4</f>
        <v>general</v>
      </c>
      <c r="I515" s="10" t="str">
        <f aca="false">"https://"&amp;B515&amp;F515&amp;"?utm_source="&amp;D515&amp;"&amp;utm_medium="&amp;E515&amp;"&amp;utm_campaign="&amp;G515&amp;"&amp;utm_content="&amp;H515</f>
        <v>https://floride-e2.com/?utm_source=kdp_book&amp;utm_medium=book&amp;utm_campaign=2610_ff_lansare&amp;utm_content=general</v>
      </c>
    </row>
    <row r="516" customFormat="false" ht="15" hidden="false" customHeight="false" outlineLevel="0" collapsed="false">
      <c r="A516" s="10" t="s">
        <v>94</v>
      </c>
      <c r="B516" s="10" t="str">
        <f aca="false">INDEX('Site-uri'!$B$2:$B$20,MATCH(A516,'Site-uri'!$A$2:$A$20,0))</f>
        <v>floride-e2.com</v>
      </c>
      <c r="C516" s="10" t="s">
        <v>183</v>
      </c>
      <c r="D516" s="10" t="str">
        <f aca="false">INDEX(Canale!$C$2:$C$30,MATCH(C516,Canale!$A$2:$A$30,0))</f>
        <v>udemy</v>
      </c>
      <c r="E516" s="10" t="str">
        <f aca="false">INDEX(Canale!$D$2:$D$30,MATCH(C516,Canale!$A$2:$A$30,0))</f>
        <v>course</v>
      </c>
      <c r="F516" s="10" t="str">
        <f aca="false">INDEX('Site-uri'!$C$2:$C$20,MATCH(A516,'Site-uri'!$A$2:$A$20,0))</f>
        <v>/</v>
      </c>
      <c r="G516" s="10" t="str">
        <f aca="false">Config!$B$3</f>
        <v>2610_ff_lansare</v>
      </c>
      <c r="H516" s="10" t="str">
        <f aca="false">Config!$B$4</f>
        <v>general</v>
      </c>
      <c r="I516" s="10" t="str">
        <f aca="false">"https://"&amp;B516&amp;F516&amp;"?utm_source="&amp;D516&amp;"&amp;utm_medium="&amp;E516&amp;"&amp;utm_campaign="&amp;G516&amp;"&amp;utm_content="&amp;H516</f>
        <v>https://floride-e2.com/?utm_source=udemy&amp;utm_medium=course&amp;utm_campaign=2610_ff_lansare&amp;utm_content=general</v>
      </c>
    </row>
    <row r="517" customFormat="false" ht="15" hidden="false" customHeight="false" outlineLevel="0" collapsed="false">
      <c r="A517" s="10" t="s">
        <v>94</v>
      </c>
      <c r="B517" s="10" t="str">
        <f aca="false">INDEX('Site-uri'!$B$2:$B$20,MATCH(A517,'Site-uri'!$A$2:$A$20,0))</f>
        <v>floride-e2.com</v>
      </c>
      <c r="C517" s="10" t="s">
        <v>186</v>
      </c>
      <c r="D517" s="10" t="str">
        <f aca="false">INDEX(Canale!$C$2:$C$30,MATCH(C517,Canale!$A$2:$A$30,0))</f>
        <v>directory</v>
      </c>
      <c r="E517" s="10" t="str">
        <f aca="false">INDEX(Canale!$D$2:$D$30,MATCH(C517,Canale!$A$2:$A$30,0))</f>
        <v>referral</v>
      </c>
      <c r="F517" s="10" t="str">
        <f aca="false">INDEX('Site-uri'!$C$2:$C$20,MATCH(A517,'Site-uri'!$A$2:$A$20,0))</f>
        <v>/</v>
      </c>
      <c r="G517" s="10" t="str">
        <f aca="false">Config!$B$3</f>
        <v>2610_ff_lansare</v>
      </c>
      <c r="H517" s="10" t="str">
        <f aca="false">Config!$B$4</f>
        <v>general</v>
      </c>
      <c r="I517" s="10" t="str">
        <f aca="false">"https://"&amp;B517&amp;F517&amp;"?utm_source="&amp;D517&amp;"&amp;utm_medium="&amp;E517&amp;"&amp;utm_campaign="&amp;G517&amp;"&amp;utm_content="&amp;H517</f>
        <v>https://floride-e2.com/?utm_source=directory&amp;utm_medium=referral&amp;utm_campaign=2610_ff_lansare&amp;utm_content=general</v>
      </c>
    </row>
    <row r="518" customFormat="false" ht="15" hidden="false" customHeight="false" outlineLevel="0" collapsed="false">
      <c r="A518" s="10" t="s">
        <v>94</v>
      </c>
      <c r="B518" s="10" t="str">
        <f aca="false">INDEX('Site-uri'!$B$2:$B$20,MATCH(A518,'Site-uri'!$A$2:$A$20,0))</f>
        <v>floride-e2.com</v>
      </c>
      <c r="C518" s="10" t="s">
        <v>190</v>
      </c>
      <c r="D518" s="10" t="str">
        <f aca="false">INDEX(Canale!$C$2:$C$30,MATCH(C518,Canale!$A$2:$A$30,0))</f>
        <v>partner</v>
      </c>
      <c r="E518" s="10" t="str">
        <f aca="false">INDEX(Canale!$D$2:$D$30,MATCH(C518,Canale!$A$2:$A$30,0))</f>
        <v>partner</v>
      </c>
      <c r="F518" s="10" t="str">
        <f aca="false">INDEX('Site-uri'!$C$2:$C$20,MATCH(A518,'Site-uri'!$A$2:$A$20,0))</f>
        <v>/</v>
      </c>
      <c r="G518" s="10" t="str">
        <f aca="false">Config!$B$3</f>
        <v>2610_ff_lansare</v>
      </c>
      <c r="H518" s="10" t="str">
        <f aca="false">Config!$B$4</f>
        <v>general</v>
      </c>
      <c r="I518" s="10" t="str">
        <f aca="false">"https://"&amp;B518&amp;F518&amp;"?utm_source="&amp;D518&amp;"&amp;utm_medium="&amp;E518&amp;"&amp;utm_campaign="&amp;G518&amp;"&amp;utm_content="&amp;H518</f>
        <v>https://floride-e2.com/?utm_source=partner&amp;utm_medium=partner&amp;utm_campaign=2610_ff_lansare&amp;utm_content=general</v>
      </c>
    </row>
    <row r="519" customFormat="false" ht="15" hidden="false" customHeight="false" outlineLevel="0" collapsed="false">
      <c r="A519" s="10" t="s">
        <v>94</v>
      </c>
      <c r="B519" s="10" t="str">
        <f aca="false">INDEX('Site-uri'!$B$2:$B$20,MATCH(A519,'Site-uri'!$A$2:$A$20,0))</f>
        <v>floride-e2.com</v>
      </c>
      <c r="C519" s="10" t="s">
        <v>192</v>
      </c>
      <c r="D519" s="10" t="str">
        <f aca="false">INDEX(Canale!$C$2:$C$30,MATCH(C519,Canale!$A$2:$A$30,0))</f>
        <v>pdf_proposal</v>
      </c>
      <c r="E519" s="10" t="str">
        <f aca="false">INDEX(Canale!$D$2:$D$30,MATCH(C519,Canale!$A$2:$A$30,0))</f>
        <v>document</v>
      </c>
      <c r="F519" s="10" t="str">
        <f aca="false">INDEX('Site-uri'!$C$2:$C$20,MATCH(A519,'Site-uri'!$A$2:$A$20,0))</f>
        <v>/</v>
      </c>
      <c r="G519" s="10" t="str">
        <f aca="false">Config!$B$3</f>
        <v>2610_ff_lansare</v>
      </c>
      <c r="H519" s="10" t="str">
        <f aca="false">Config!$B$4</f>
        <v>general</v>
      </c>
      <c r="I519" s="10" t="str">
        <f aca="false">"https://"&amp;B519&amp;F519&amp;"?utm_source="&amp;D519&amp;"&amp;utm_medium="&amp;E519&amp;"&amp;utm_campaign="&amp;G519&amp;"&amp;utm_content="&amp;H519</f>
        <v>https://floride-e2.com/?utm_source=pdf_proposal&amp;utm_medium=document&amp;utm_campaign=2610_ff_lansare&amp;utm_content=general</v>
      </c>
    </row>
    <row r="520" customFormat="false" ht="15" hidden="false" customHeight="false" outlineLevel="0" collapsed="false">
      <c r="A520" s="10" t="s">
        <v>94</v>
      </c>
      <c r="B520" s="10" t="str">
        <f aca="false">INDEX('Site-uri'!$B$2:$B$20,MATCH(A520,'Site-uri'!$A$2:$A$20,0))</f>
        <v>floride-e2.com</v>
      </c>
      <c r="C520" s="10" t="s">
        <v>197</v>
      </c>
      <c r="D520" s="10" t="str">
        <f aca="false">INDEX(Canale!$C$2:$C$30,MATCH(C520,Canale!$A$2:$A$30,0))</f>
        <v>qr_print</v>
      </c>
      <c r="E520" s="10" t="str">
        <f aca="false">INDEX(Canale!$D$2:$D$30,MATCH(C520,Canale!$A$2:$A$30,0))</f>
        <v>qr</v>
      </c>
      <c r="F520" s="10" t="str">
        <f aca="false">INDEX('Site-uri'!$C$2:$C$20,MATCH(A520,'Site-uri'!$A$2:$A$20,0))</f>
        <v>/</v>
      </c>
      <c r="G520" s="10" t="str">
        <f aca="false">Config!$B$3</f>
        <v>2610_ff_lansare</v>
      </c>
      <c r="H520" s="10" t="str">
        <f aca="false">Config!$B$4</f>
        <v>general</v>
      </c>
      <c r="I520" s="10" t="str">
        <f aca="false">"https://"&amp;B520&amp;F520&amp;"?utm_source="&amp;D520&amp;"&amp;utm_medium="&amp;E520&amp;"&amp;utm_campaign="&amp;G520&amp;"&amp;utm_content="&amp;H520</f>
        <v>https://floride-e2.com/?utm_source=qr_print&amp;utm_medium=qr&amp;utm_campaign=2610_ff_lansare&amp;utm_content=general</v>
      </c>
    </row>
    <row r="521" customFormat="false" ht="15" hidden="false" customHeight="false" outlineLevel="0" collapsed="false">
      <c r="A521" s="10" t="s">
        <v>94</v>
      </c>
      <c r="B521" s="10" t="str">
        <f aca="false">INDEX('Site-uri'!$B$2:$B$20,MATCH(A521,'Site-uri'!$A$2:$A$20,0))</f>
        <v>floride-e2.com</v>
      </c>
      <c r="C521" s="10" t="s">
        <v>201</v>
      </c>
      <c r="D521" s="10" t="str">
        <f aca="false">INDEX(Canale!$C$2:$C$30,MATCH(C521,Canale!$A$2:$A$30,0))</f>
        <v>event</v>
      </c>
      <c r="E521" s="10" t="str">
        <f aca="false">INDEX(Canale!$D$2:$D$30,MATCH(C521,Canale!$A$2:$A$30,0))</f>
        <v>event</v>
      </c>
      <c r="F521" s="10" t="str">
        <f aca="false">INDEX('Site-uri'!$C$2:$C$20,MATCH(A521,'Site-uri'!$A$2:$A$20,0))</f>
        <v>/</v>
      </c>
      <c r="G521" s="10" t="str">
        <f aca="false">Config!$B$3</f>
        <v>2610_ff_lansare</v>
      </c>
      <c r="H521" s="10" t="str">
        <f aca="false">Config!$B$4</f>
        <v>general</v>
      </c>
      <c r="I521" s="10" t="str">
        <f aca="false">"https://"&amp;B521&amp;F521&amp;"?utm_source="&amp;D521&amp;"&amp;utm_medium="&amp;E521&amp;"&amp;utm_campaign="&amp;G521&amp;"&amp;utm_content="&amp;H521</f>
        <v>https://floride-e2.com/?utm_source=event&amp;utm_medium=event&amp;utm_campaign=2610_ff_lansare&amp;utm_content=general</v>
      </c>
    </row>
    <row r="522" customFormat="false" ht="15" hidden="false" customHeight="false" outlineLevel="0" collapsed="false">
      <c r="A522" s="10" t="s">
        <v>94</v>
      </c>
      <c r="B522" s="10" t="str">
        <f aca="false">INDEX('Site-uri'!$B$2:$B$20,MATCH(A522,'Site-uri'!$A$2:$A$20,0))</f>
        <v>floride-e2.com</v>
      </c>
      <c r="C522" s="10" t="s">
        <v>203</v>
      </c>
      <c r="D522" s="10" t="str">
        <f aca="false">INDEX(Canale!$C$2:$C$30,MATCH(C522,Canale!$A$2:$A$30,0))</f>
        <v>a2a_agent_card</v>
      </c>
      <c r="E522" s="10" t="str">
        <f aca="false">INDEX(Canale!$D$2:$D$30,MATCH(C522,Canale!$A$2:$A$30,0))</f>
        <v>agent</v>
      </c>
      <c r="F522" s="10" t="str">
        <f aca="false">INDEX('Site-uri'!$C$2:$C$20,MATCH(A522,'Site-uri'!$A$2:$A$20,0))</f>
        <v>/</v>
      </c>
      <c r="G522" s="10" t="str">
        <f aca="false">Config!$B$3</f>
        <v>2610_ff_lansare</v>
      </c>
      <c r="H522" s="10" t="str">
        <f aca="false">Config!$B$4</f>
        <v>general</v>
      </c>
      <c r="I522" s="10" t="str">
        <f aca="false">"https://"&amp;B522&amp;F522&amp;"?utm_source="&amp;D522&amp;"&amp;utm_medium="&amp;E522&amp;"&amp;utm_campaign="&amp;G522&amp;"&amp;utm_content="&amp;H522</f>
        <v>https://floride-e2.com/?utm_source=a2a_agent_card&amp;utm_medium=agent&amp;utm_campaign=2610_ff_lansare&amp;utm_content=general</v>
      </c>
    </row>
    <row r="523" customFormat="false" ht="15" hidden="false" customHeight="false" outlineLevel="0" collapsed="false">
      <c r="A523" s="10" t="s">
        <v>94</v>
      </c>
      <c r="B523" s="10" t="str">
        <f aca="false">INDEX('Site-uri'!$B$2:$B$20,MATCH(A523,'Site-uri'!$A$2:$A$20,0))</f>
        <v>floride-e2.com</v>
      </c>
      <c r="C523" s="10" t="s">
        <v>208</v>
      </c>
      <c r="D523" s="10" t="str">
        <f aca="false">INDEX(Canale!$C$2:$C$30,MATCH(C523,Canale!$A$2:$A$30,0))</f>
        <v>llms_txt</v>
      </c>
      <c r="E523" s="10" t="str">
        <f aca="false">INDEX(Canale!$D$2:$D$30,MATCH(C523,Canale!$A$2:$A$30,0))</f>
        <v>ai_web</v>
      </c>
      <c r="F523" s="10" t="str">
        <f aca="false">INDEX('Site-uri'!$C$2:$C$20,MATCH(A523,'Site-uri'!$A$2:$A$20,0))</f>
        <v>/</v>
      </c>
      <c r="G523" s="10" t="str">
        <f aca="false">Config!$B$3</f>
        <v>2610_ff_lansare</v>
      </c>
      <c r="H523" s="10" t="str">
        <f aca="false">Config!$B$4</f>
        <v>general</v>
      </c>
      <c r="I523" s="10" t="str">
        <f aca="false">"https://"&amp;B523&amp;F523&amp;"?utm_source="&amp;D523&amp;"&amp;utm_medium="&amp;E523&amp;"&amp;utm_campaign="&amp;G523&amp;"&amp;utm_content="&amp;H523</f>
        <v>https://floride-e2.com/?utm_source=llms_txt&amp;utm_medium=ai_web&amp;utm_campaign=2610_ff_lansare&amp;utm_content=general</v>
      </c>
    </row>
    <row r="524" customFormat="false" ht="15" hidden="false" customHeight="false" outlineLevel="0" collapsed="false">
      <c r="A524" s="10" t="s">
        <v>96</v>
      </c>
      <c r="B524" s="10" t="str">
        <f aca="false">INDEX('Site-uri'!$B$2:$B$20,MATCH(A524,'Site-uri'!$A$2:$A$20,0))</f>
        <v>ecbtax.com</v>
      </c>
      <c r="C524" s="10" t="s">
        <v>103</v>
      </c>
      <c r="D524" s="10" t="str">
        <f aca="false">INDEX(Canale!$C$2:$C$30,MATCH(C524,Canale!$A$2:$A$30,0))</f>
        <v>linkedin_personal</v>
      </c>
      <c r="E524" s="10" t="str">
        <f aca="false">INDEX(Canale!$D$2:$D$30,MATCH(C524,Canale!$A$2:$A$30,0))</f>
        <v>social</v>
      </c>
      <c r="F524" s="10" t="str">
        <f aca="false">INDEX('Site-uri'!$C$2:$C$20,MATCH(A524,'Site-uri'!$A$2:$A$20,0))</f>
        <v>/</v>
      </c>
      <c r="G524" s="10" t="str">
        <f aca="false">Config!$B$3</f>
        <v>2610_ff_lansare</v>
      </c>
      <c r="H524" s="10" t="str">
        <f aca="false">Config!$B$4</f>
        <v>general</v>
      </c>
      <c r="I524" s="10" t="str">
        <f aca="false">"https://"&amp;B524&amp;F524&amp;"?utm_source="&amp;D524&amp;"&amp;utm_medium="&amp;E524&amp;"&amp;utm_campaign="&amp;G524&amp;"&amp;utm_content="&amp;H524</f>
        <v>https://ecbtax.com/?utm_source=linkedin_personal&amp;utm_medium=social&amp;utm_campaign=2610_ff_lansare&amp;utm_content=general</v>
      </c>
    </row>
    <row r="525" customFormat="false" ht="15" hidden="false" customHeight="false" outlineLevel="0" collapsed="false">
      <c r="A525" s="10" t="s">
        <v>96</v>
      </c>
      <c r="B525" s="10" t="str">
        <f aca="false">INDEX('Site-uri'!$B$2:$B$20,MATCH(A525,'Site-uri'!$A$2:$A$20,0))</f>
        <v>ecbtax.com</v>
      </c>
      <c r="C525" s="10" t="s">
        <v>108</v>
      </c>
      <c r="D525" s="10" t="str">
        <f aca="false">INDEX(Canale!$C$2:$C$30,MATCH(C525,Canale!$A$2:$A$30,0))</f>
        <v>linkedin_company</v>
      </c>
      <c r="E525" s="10" t="str">
        <f aca="false">INDEX(Canale!$D$2:$D$30,MATCH(C525,Canale!$A$2:$A$30,0))</f>
        <v>social</v>
      </c>
      <c r="F525" s="10" t="str">
        <f aca="false">INDEX('Site-uri'!$C$2:$C$20,MATCH(A525,'Site-uri'!$A$2:$A$20,0))</f>
        <v>/</v>
      </c>
      <c r="G525" s="10" t="str">
        <f aca="false">Config!$B$3</f>
        <v>2610_ff_lansare</v>
      </c>
      <c r="H525" s="10" t="str">
        <f aca="false">Config!$B$4</f>
        <v>general</v>
      </c>
      <c r="I525" s="10" t="str">
        <f aca="false">"https://"&amp;B525&amp;F525&amp;"?utm_source="&amp;D525&amp;"&amp;utm_medium="&amp;E525&amp;"&amp;utm_campaign="&amp;G525&amp;"&amp;utm_content="&amp;H525</f>
        <v>https://ecbtax.com/?utm_source=linkedin_company&amp;utm_medium=social&amp;utm_campaign=2610_ff_lansare&amp;utm_content=general</v>
      </c>
    </row>
    <row r="526" customFormat="false" ht="15" hidden="false" customHeight="false" outlineLevel="0" collapsed="false">
      <c r="A526" s="10" t="s">
        <v>96</v>
      </c>
      <c r="B526" s="10" t="str">
        <f aca="false">INDEX('Site-uri'!$B$2:$B$20,MATCH(A526,'Site-uri'!$A$2:$A$20,0))</f>
        <v>ecbtax.com</v>
      </c>
      <c r="C526" s="10" t="s">
        <v>111</v>
      </c>
      <c r="D526" s="10" t="str">
        <f aca="false">INDEX(Canale!$C$2:$C$30,MATCH(C526,Canale!$A$2:$A$30,0))</f>
        <v>linkedin_showcase</v>
      </c>
      <c r="E526" s="10" t="str">
        <f aca="false">INDEX(Canale!$D$2:$D$30,MATCH(C526,Canale!$A$2:$A$30,0))</f>
        <v>social</v>
      </c>
      <c r="F526" s="10" t="str">
        <f aca="false">INDEX('Site-uri'!$C$2:$C$20,MATCH(A526,'Site-uri'!$A$2:$A$20,0))</f>
        <v>/</v>
      </c>
      <c r="G526" s="10" t="str">
        <f aca="false">Config!$B$3</f>
        <v>2610_ff_lansare</v>
      </c>
      <c r="H526" s="10" t="str">
        <f aca="false">Config!$B$4</f>
        <v>general</v>
      </c>
      <c r="I526" s="10" t="str">
        <f aca="false">"https://"&amp;B526&amp;F526&amp;"?utm_source="&amp;D526&amp;"&amp;utm_medium="&amp;E526&amp;"&amp;utm_campaign="&amp;G526&amp;"&amp;utm_content="&amp;H526</f>
        <v>https://ecbtax.com/?utm_source=linkedin_showcase&amp;utm_medium=social&amp;utm_campaign=2610_ff_lansare&amp;utm_content=general</v>
      </c>
    </row>
    <row r="527" customFormat="false" ht="15" hidden="false" customHeight="false" outlineLevel="0" collapsed="false">
      <c r="A527" s="10" t="s">
        <v>96</v>
      </c>
      <c r="B527" s="10" t="str">
        <f aca="false">INDEX('Site-uri'!$B$2:$B$20,MATCH(A527,'Site-uri'!$A$2:$A$20,0))</f>
        <v>ecbtax.com</v>
      </c>
      <c r="C527" s="10" t="s">
        <v>114</v>
      </c>
      <c r="D527" s="10" t="str">
        <f aca="false">INDEX(Canale!$C$2:$C$30,MATCH(C527,Canale!$A$2:$A$30,0))</f>
        <v>linkedin_newsletter</v>
      </c>
      <c r="E527" s="10" t="str">
        <f aca="false">INDEX(Canale!$D$2:$D$30,MATCH(C527,Canale!$A$2:$A$30,0))</f>
        <v>social</v>
      </c>
      <c r="F527" s="10" t="str">
        <f aca="false">INDEX('Site-uri'!$C$2:$C$20,MATCH(A527,'Site-uri'!$A$2:$A$20,0))</f>
        <v>/</v>
      </c>
      <c r="G527" s="10" t="str">
        <f aca="false">Config!$B$3</f>
        <v>2610_ff_lansare</v>
      </c>
      <c r="H527" s="10" t="str">
        <f aca="false">Config!$B$4</f>
        <v>general</v>
      </c>
      <c r="I527" s="10" t="str">
        <f aca="false">"https://"&amp;B527&amp;F527&amp;"?utm_source="&amp;D527&amp;"&amp;utm_medium="&amp;E527&amp;"&amp;utm_campaign="&amp;G527&amp;"&amp;utm_content="&amp;H527</f>
        <v>https://ecbtax.com/?utm_source=linkedin_newsletter&amp;utm_medium=social&amp;utm_campaign=2610_ff_lansare&amp;utm_content=general</v>
      </c>
    </row>
    <row r="528" customFormat="false" ht="15" hidden="false" customHeight="false" outlineLevel="0" collapsed="false">
      <c r="A528" s="10" t="s">
        <v>96</v>
      </c>
      <c r="B528" s="10" t="str">
        <f aca="false">INDEX('Site-uri'!$B$2:$B$20,MATCH(A528,'Site-uri'!$A$2:$A$20,0))</f>
        <v>ecbtax.com</v>
      </c>
      <c r="C528" s="10" t="s">
        <v>117</v>
      </c>
      <c r="D528" s="10" t="str">
        <f aca="false">INDEX(Canale!$C$2:$C$30,MATCH(C528,Canale!$A$2:$A$30,0))</f>
        <v>linkedin_ads</v>
      </c>
      <c r="E528" s="10" t="str">
        <f aca="false">INDEX(Canale!$D$2:$D$30,MATCH(C528,Canale!$A$2:$A$30,0))</f>
        <v>paid_social</v>
      </c>
      <c r="F528" s="10" t="str">
        <f aca="false">INDEX('Site-uri'!$C$2:$C$20,MATCH(A528,'Site-uri'!$A$2:$A$20,0))</f>
        <v>/</v>
      </c>
      <c r="G528" s="10" t="str">
        <f aca="false">Config!$B$3</f>
        <v>2610_ff_lansare</v>
      </c>
      <c r="H528" s="10" t="str">
        <f aca="false">Config!$B$4</f>
        <v>general</v>
      </c>
      <c r="I528" s="10" t="str">
        <f aca="false">"https://"&amp;B528&amp;F528&amp;"?utm_source="&amp;D528&amp;"&amp;utm_medium="&amp;E528&amp;"&amp;utm_campaign="&amp;G528&amp;"&amp;utm_content="&amp;H528</f>
        <v>https://ecbtax.com/?utm_source=linkedin_ads&amp;utm_medium=paid_social&amp;utm_campaign=2610_ff_lansare&amp;utm_content=general</v>
      </c>
    </row>
    <row r="529" customFormat="false" ht="15" hidden="false" customHeight="false" outlineLevel="0" collapsed="false">
      <c r="A529" s="10" t="s">
        <v>96</v>
      </c>
      <c r="B529" s="10" t="str">
        <f aca="false">INDEX('Site-uri'!$B$2:$B$20,MATCH(A529,'Site-uri'!$A$2:$A$20,0))</f>
        <v>ecbtax.com</v>
      </c>
      <c r="C529" s="10" t="s">
        <v>121</v>
      </c>
      <c r="D529" s="10" t="str">
        <f aca="false">INDEX(Canale!$C$2:$C$30,MATCH(C529,Canale!$A$2:$A$30,0))</f>
        <v>linkedin_dm</v>
      </c>
      <c r="E529" s="10" t="str">
        <f aca="false">INDEX(Canale!$D$2:$D$30,MATCH(C529,Canale!$A$2:$A$30,0))</f>
        <v>dm</v>
      </c>
      <c r="F529" s="10" t="str">
        <f aca="false">INDEX('Site-uri'!$C$2:$C$20,MATCH(A529,'Site-uri'!$A$2:$A$20,0))</f>
        <v>/</v>
      </c>
      <c r="G529" s="10" t="str">
        <f aca="false">Config!$B$3</f>
        <v>2610_ff_lansare</v>
      </c>
      <c r="H529" s="10" t="str">
        <f aca="false">Config!$B$4</f>
        <v>general</v>
      </c>
      <c r="I529" s="10" t="str">
        <f aca="false">"https://"&amp;B529&amp;F529&amp;"?utm_source="&amp;D529&amp;"&amp;utm_medium="&amp;E529&amp;"&amp;utm_campaign="&amp;G529&amp;"&amp;utm_content="&amp;H529</f>
        <v>https://ecbtax.com/?utm_source=linkedin_dm&amp;utm_medium=dm&amp;utm_campaign=2610_ff_lansare&amp;utm_content=general</v>
      </c>
    </row>
    <row r="530" customFormat="false" ht="15" hidden="false" customHeight="false" outlineLevel="0" collapsed="false">
      <c r="A530" s="10" t="s">
        <v>96</v>
      </c>
      <c r="B530" s="10" t="str">
        <f aca="false">INDEX('Site-uri'!$B$2:$B$20,MATCH(A530,'Site-uri'!$A$2:$A$20,0))</f>
        <v>ecbtax.com</v>
      </c>
      <c r="C530" s="10" t="s">
        <v>125</v>
      </c>
      <c r="D530" s="10" t="str">
        <f aca="false">INDEX(Canale!$C$2:$C$30,MATCH(C530,Canale!$A$2:$A$30,0))</f>
        <v>email_outreach</v>
      </c>
      <c r="E530" s="10" t="str">
        <f aca="false">INDEX(Canale!$D$2:$D$30,MATCH(C530,Canale!$A$2:$A$30,0))</f>
        <v>email</v>
      </c>
      <c r="F530" s="10" t="str">
        <f aca="false">INDEX('Site-uri'!$C$2:$C$20,MATCH(A530,'Site-uri'!$A$2:$A$20,0))</f>
        <v>/</v>
      </c>
      <c r="G530" s="10" t="str">
        <f aca="false">Config!$B$3</f>
        <v>2610_ff_lansare</v>
      </c>
      <c r="H530" s="10" t="str">
        <f aca="false">Config!$B$4</f>
        <v>general</v>
      </c>
      <c r="I530" s="10" t="str">
        <f aca="false">"https://"&amp;B530&amp;F530&amp;"?utm_source="&amp;D530&amp;"&amp;utm_medium="&amp;E530&amp;"&amp;utm_campaign="&amp;G530&amp;"&amp;utm_content="&amp;H530</f>
        <v>https://ecbtax.com/?utm_source=email_outreach&amp;utm_medium=email&amp;utm_campaign=2610_ff_lansare&amp;utm_content=general</v>
      </c>
    </row>
    <row r="531" customFormat="false" ht="15" hidden="false" customHeight="false" outlineLevel="0" collapsed="false">
      <c r="A531" s="10" t="s">
        <v>96</v>
      </c>
      <c r="B531" s="10" t="str">
        <f aca="false">INDEX('Site-uri'!$B$2:$B$20,MATCH(A531,'Site-uri'!$A$2:$A$20,0))</f>
        <v>ecbtax.com</v>
      </c>
      <c r="C531" s="10" t="s">
        <v>130</v>
      </c>
      <c r="D531" s="10" t="str">
        <f aca="false">INDEX(Canale!$C$2:$C$30,MATCH(C531,Canale!$A$2:$A$30,0))</f>
        <v>newsletter</v>
      </c>
      <c r="E531" s="10" t="str">
        <f aca="false">INDEX(Canale!$D$2:$D$30,MATCH(C531,Canale!$A$2:$A$30,0))</f>
        <v>email</v>
      </c>
      <c r="F531" s="10" t="str">
        <f aca="false">INDEX('Site-uri'!$C$2:$C$20,MATCH(A531,'Site-uri'!$A$2:$A$20,0))</f>
        <v>/</v>
      </c>
      <c r="G531" s="10" t="str">
        <f aca="false">Config!$B$3</f>
        <v>2610_ff_lansare</v>
      </c>
      <c r="H531" s="10" t="str">
        <f aca="false">Config!$B$4</f>
        <v>general</v>
      </c>
      <c r="I531" s="10" t="str">
        <f aca="false">"https://"&amp;B531&amp;F531&amp;"?utm_source="&amp;D531&amp;"&amp;utm_medium="&amp;E531&amp;"&amp;utm_campaign="&amp;G531&amp;"&amp;utm_content="&amp;H531</f>
        <v>https://ecbtax.com/?utm_source=newsletter&amp;utm_medium=email&amp;utm_campaign=2610_ff_lansare&amp;utm_content=general</v>
      </c>
    </row>
    <row r="532" customFormat="false" ht="15" hidden="false" customHeight="false" outlineLevel="0" collapsed="false">
      <c r="A532" s="10" t="s">
        <v>96</v>
      </c>
      <c r="B532" s="10" t="str">
        <f aca="false">INDEX('Site-uri'!$B$2:$B$20,MATCH(A532,'Site-uri'!$A$2:$A$20,0))</f>
        <v>ecbtax.com</v>
      </c>
      <c r="C532" s="10" t="s">
        <v>133</v>
      </c>
      <c r="D532" s="10" t="str">
        <f aca="false">INDEX(Canale!$C$2:$C$30,MATCH(C532,Canale!$A$2:$A$30,0))</f>
        <v>email_signature</v>
      </c>
      <c r="E532" s="10" t="str">
        <f aca="false">INDEX(Canale!$D$2:$D$30,MATCH(C532,Canale!$A$2:$A$30,0))</f>
        <v>email</v>
      </c>
      <c r="F532" s="10" t="str">
        <f aca="false">INDEX('Site-uri'!$C$2:$C$20,MATCH(A532,'Site-uri'!$A$2:$A$20,0))</f>
        <v>/</v>
      </c>
      <c r="G532" s="10" t="str">
        <f aca="false">Config!$B$3</f>
        <v>2610_ff_lansare</v>
      </c>
      <c r="H532" s="10" t="str">
        <f aca="false">Config!$B$4</f>
        <v>general</v>
      </c>
      <c r="I532" s="10" t="str">
        <f aca="false">"https://"&amp;B532&amp;F532&amp;"?utm_source="&amp;D532&amp;"&amp;utm_medium="&amp;E532&amp;"&amp;utm_campaign="&amp;G532&amp;"&amp;utm_content="&amp;H532</f>
        <v>https://ecbtax.com/?utm_source=email_signature&amp;utm_medium=email&amp;utm_campaign=2610_ff_lansare&amp;utm_content=general</v>
      </c>
    </row>
    <row r="533" customFormat="false" ht="15" hidden="false" customHeight="false" outlineLevel="0" collapsed="false">
      <c r="A533" s="10" t="s">
        <v>96</v>
      </c>
      <c r="B533" s="10" t="str">
        <f aca="false">INDEX('Site-uri'!$B$2:$B$20,MATCH(A533,'Site-uri'!$A$2:$A$20,0))</f>
        <v>ecbtax.com</v>
      </c>
      <c r="C533" s="10" t="s">
        <v>136</v>
      </c>
      <c r="D533" s="10" t="str">
        <f aca="false">INDEX(Canale!$C$2:$C$30,MATCH(C533,Canale!$A$2:$A$30,0))</f>
        <v>whatsapp</v>
      </c>
      <c r="E533" s="10" t="str">
        <f aca="false">INDEX(Canale!$D$2:$D$30,MATCH(C533,Canale!$A$2:$A$30,0))</f>
        <v>dm</v>
      </c>
      <c r="F533" s="10" t="str">
        <f aca="false">INDEX('Site-uri'!$C$2:$C$20,MATCH(A533,'Site-uri'!$A$2:$A$20,0))</f>
        <v>/</v>
      </c>
      <c r="G533" s="10" t="str">
        <f aca="false">Config!$B$3</f>
        <v>2610_ff_lansare</v>
      </c>
      <c r="H533" s="10" t="str">
        <f aca="false">Config!$B$4</f>
        <v>general</v>
      </c>
      <c r="I533" s="10" t="str">
        <f aca="false">"https://"&amp;B533&amp;F533&amp;"?utm_source="&amp;D533&amp;"&amp;utm_medium="&amp;E533&amp;"&amp;utm_campaign="&amp;G533&amp;"&amp;utm_content="&amp;H533</f>
        <v>https://ecbtax.com/?utm_source=whatsapp&amp;utm_medium=dm&amp;utm_campaign=2610_ff_lansare&amp;utm_content=general</v>
      </c>
    </row>
    <row r="534" customFormat="false" ht="15" hidden="false" customHeight="false" outlineLevel="0" collapsed="false">
      <c r="A534" s="10" t="s">
        <v>96</v>
      </c>
      <c r="B534" s="10" t="str">
        <f aca="false">INDEX('Site-uri'!$B$2:$B$20,MATCH(A534,'Site-uri'!$A$2:$A$20,0))</f>
        <v>ecbtax.com</v>
      </c>
      <c r="C534" s="10" t="s">
        <v>140</v>
      </c>
      <c r="D534" s="10" t="str">
        <f aca="false">INDEX(Canale!$C$2:$C$30,MATCH(C534,Canale!$A$2:$A$30,0))</f>
        <v>google</v>
      </c>
      <c r="E534" s="10" t="str">
        <f aca="false">INDEX(Canale!$D$2:$D$30,MATCH(C534,Canale!$A$2:$A$30,0))</f>
        <v>cpc</v>
      </c>
      <c r="F534" s="10" t="str">
        <f aca="false">INDEX('Site-uri'!$C$2:$C$20,MATCH(A534,'Site-uri'!$A$2:$A$20,0))</f>
        <v>/</v>
      </c>
      <c r="G534" s="10" t="str">
        <f aca="false">Config!$B$3</f>
        <v>2610_ff_lansare</v>
      </c>
      <c r="H534" s="10" t="str">
        <f aca="false">Config!$B$4</f>
        <v>general</v>
      </c>
      <c r="I534" s="10" t="str">
        <f aca="false">"https://"&amp;B534&amp;F534&amp;"?utm_source="&amp;D534&amp;"&amp;utm_medium="&amp;E534&amp;"&amp;utm_campaign="&amp;G534&amp;"&amp;utm_content="&amp;H534</f>
        <v>https://ecbtax.com/?utm_source=google&amp;utm_medium=cpc&amp;utm_campaign=2610_ff_lansare&amp;utm_content=general</v>
      </c>
    </row>
    <row r="535" customFormat="false" ht="15" hidden="false" customHeight="false" outlineLevel="0" collapsed="false">
      <c r="A535" s="10" t="s">
        <v>96</v>
      </c>
      <c r="B535" s="10" t="str">
        <f aca="false">INDEX('Site-uri'!$B$2:$B$20,MATCH(A535,'Site-uri'!$A$2:$A$20,0))</f>
        <v>ecbtax.com</v>
      </c>
      <c r="C535" s="10" t="s">
        <v>145</v>
      </c>
      <c r="D535" s="10" t="str">
        <f aca="false">INDEX(Canale!$C$2:$C$30,MATCH(C535,Canale!$A$2:$A$30,0))</f>
        <v>bing</v>
      </c>
      <c r="E535" s="10" t="str">
        <f aca="false">INDEX(Canale!$D$2:$D$30,MATCH(C535,Canale!$A$2:$A$30,0))</f>
        <v>cpc</v>
      </c>
      <c r="F535" s="10" t="str">
        <f aca="false">INDEX('Site-uri'!$C$2:$C$20,MATCH(A535,'Site-uri'!$A$2:$A$20,0))</f>
        <v>/</v>
      </c>
      <c r="G535" s="10" t="str">
        <f aca="false">Config!$B$3</f>
        <v>2610_ff_lansare</v>
      </c>
      <c r="H535" s="10" t="str">
        <f aca="false">Config!$B$4</f>
        <v>general</v>
      </c>
      <c r="I535" s="10" t="str">
        <f aca="false">"https://"&amp;B535&amp;F535&amp;"?utm_source="&amp;D535&amp;"&amp;utm_medium="&amp;E535&amp;"&amp;utm_campaign="&amp;G535&amp;"&amp;utm_content="&amp;H535</f>
        <v>https://ecbtax.com/?utm_source=bing&amp;utm_medium=cpc&amp;utm_campaign=2610_ff_lansare&amp;utm_content=general</v>
      </c>
    </row>
    <row r="536" customFormat="false" ht="15" hidden="false" customHeight="false" outlineLevel="0" collapsed="false">
      <c r="A536" s="10" t="s">
        <v>96</v>
      </c>
      <c r="B536" s="10" t="str">
        <f aca="false">INDEX('Site-uri'!$B$2:$B$20,MATCH(A536,'Site-uri'!$A$2:$A$20,0))</f>
        <v>ecbtax.com</v>
      </c>
      <c r="C536" s="10" t="s">
        <v>148</v>
      </c>
      <c r="D536" s="10" t="str">
        <f aca="false">INDEX(Canale!$C$2:$C$30,MATCH(C536,Canale!$A$2:$A$30,0))</f>
        <v>facebook</v>
      </c>
      <c r="E536" s="10" t="str">
        <f aca="false">INDEX(Canale!$D$2:$D$30,MATCH(C536,Canale!$A$2:$A$30,0))</f>
        <v>social</v>
      </c>
      <c r="F536" s="10" t="str">
        <f aca="false">INDEX('Site-uri'!$C$2:$C$20,MATCH(A536,'Site-uri'!$A$2:$A$20,0))</f>
        <v>/</v>
      </c>
      <c r="G536" s="10" t="str">
        <f aca="false">Config!$B$3</f>
        <v>2610_ff_lansare</v>
      </c>
      <c r="H536" s="10" t="str">
        <f aca="false">Config!$B$4</f>
        <v>general</v>
      </c>
      <c r="I536" s="10" t="str">
        <f aca="false">"https://"&amp;B536&amp;F536&amp;"?utm_source="&amp;D536&amp;"&amp;utm_medium="&amp;E536&amp;"&amp;utm_campaign="&amp;G536&amp;"&amp;utm_content="&amp;H536</f>
        <v>https://ecbtax.com/?utm_source=facebook&amp;utm_medium=social&amp;utm_campaign=2610_ff_lansare&amp;utm_content=general</v>
      </c>
    </row>
    <row r="537" customFormat="false" ht="15" hidden="false" customHeight="false" outlineLevel="0" collapsed="false">
      <c r="A537" s="10" t="s">
        <v>96</v>
      </c>
      <c r="B537" s="10" t="str">
        <f aca="false">INDEX('Site-uri'!$B$2:$B$20,MATCH(A537,'Site-uri'!$A$2:$A$20,0))</f>
        <v>ecbtax.com</v>
      </c>
      <c r="C537" s="10" t="s">
        <v>152</v>
      </c>
      <c r="D537" s="10" t="str">
        <f aca="false">INDEX(Canale!$C$2:$C$30,MATCH(C537,Canale!$A$2:$A$30,0))</f>
        <v>x</v>
      </c>
      <c r="E537" s="10" t="str">
        <f aca="false">INDEX(Canale!$D$2:$D$30,MATCH(C537,Canale!$A$2:$A$30,0))</f>
        <v>social</v>
      </c>
      <c r="F537" s="10" t="str">
        <f aca="false">INDEX('Site-uri'!$C$2:$C$20,MATCH(A537,'Site-uri'!$A$2:$A$20,0))</f>
        <v>/</v>
      </c>
      <c r="G537" s="10" t="str">
        <f aca="false">Config!$B$3</f>
        <v>2610_ff_lansare</v>
      </c>
      <c r="H537" s="10" t="str">
        <f aca="false">Config!$B$4</f>
        <v>general</v>
      </c>
      <c r="I537" s="10" t="str">
        <f aca="false">"https://"&amp;B537&amp;F537&amp;"?utm_source="&amp;D537&amp;"&amp;utm_medium="&amp;E537&amp;"&amp;utm_campaign="&amp;G537&amp;"&amp;utm_content="&amp;H537</f>
        <v>https://ecbtax.com/?utm_source=x&amp;utm_medium=social&amp;utm_campaign=2610_ff_lansare&amp;utm_content=general</v>
      </c>
    </row>
    <row r="538" customFormat="false" ht="15" hidden="false" customHeight="false" outlineLevel="0" collapsed="false">
      <c r="A538" s="10" t="s">
        <v>96</v>
      </c>
      <c r="B538" s="10" t="str">
        <f aca="false">INDEX('Site-uri'!$B$2:$B$20,MATCH(A538,'Site-uri'!$A$2:$A$20,0))</f>
        <v>ecbtax.com</v>
      </c>
      <c r="C538" s="10" t="s">
        <v>154</v>
      </c>
      <c r="D538" s="10" t="str">
        <f aca="false">INDEX(Canale!$C$2:$C$30,MATCH(C538,Canale!$A$2:$A$30,0))</f>
        <v>youtube</v>
      </c>
      <c r="E538" s="10" t="str">
        <f aca="false">INDEX(Canale!$D$2:$D$30,MATCH(C538,Canale!$A$2:$A$30,0))</f>
        <v>video</v>
      </c>
      <c r="F538" s="10" t="str">
        <f aca="false">INDEX('Site-uri'!$C$2:$C$20,MATCH(A538,'Site-uri'!$A$2:$A$20,0))</f>
        <v>/</v>
      </c>
      <c r="G538" s="10" t="str">
        <f aca="false">Config!$B$3</f>
        <v>2610_ff_lansare</v>
      </c>
      <c r="H538" s="10" t="str">
        <f aca="false">Config!$B$4</f>
        <v>general</v>
      </c>
      <c r="I538" s="10" t="str">
        <f aca="false">"https://"&amp;B538&amp;F538&amp;"?utm_source="&amp;D538&amp;"&amp;utm_medium="&amp;E538&amp;"&amp;utm_campaign="&amp;G538&amp;"&amp;utm_content="&amp;H538</f>
        <v>https://ecbtax.com/?utm_source=youtube&amp;utm_medium=video&amp;utm_campaign=2610_ff_lansare&amp;utm_content=general</v>
      </c>
    </row>
    <row r="539" customFormat="false" ht="15" hidden="false" customHeight="false" outlineLevel="0" collapsed="false">
      <c r="A539" s="10" t="s">
        <v>96</v>
      </c>
      <c r="B539" s="10" t="str">
        <f aca="false">INDEX('Site-uri'!$B$2:$B$20,MATCH(A539,'Site-uri'!$A$2:$A$20,0))</f>
        <v>ecbtax.com</v>
      </c>
      <c r="C539" s="10" t="s">
        <v>159</v>
      </c>
      <c r="D539" s="10" t="str">
        <f aca="false">INDEX(Canale!$C$2:$C$30,MATCH(C539,Canale!$A$2:$A$30,0))</f>
        <v>medium</v>
      </c>
      <c r="E539" s="10" t="str">
        <f aca="false">INDEX(Canale!$D$2:$D$30,MATCH(C539,Canale!$A$2:$A$30,0))</f>
        <v>content</v>
      </c>
      <c r="F539" s="10" t="str">
        <f aca="false">INDEX('Site-uri'!$C$2:$C$20,MATCH(A539,'Site-uri'!$A$2:$A$20,0))</f>
        <v>/</v>
      </c>
      <c r="G539" s="10" t="str">
        <f aca="false">Config!$B$3</f>
        <v>2610_ff_lansare</v>
      </c>
      <c r="H539" s="10" t="str">
        <f aca="false">Config!$B$4</f>
        <v>general</v>
      </c>
      <c r="I539" s="10" t="str">
        <f aca="false">"https://"&amp;B539&amp;F539&amp;"?utm_source="&amp;D539&amp;"&amp;utm_medium="&amp;E539&amp;"&amp;utm_campaign="&amp;G539&amp;"&amp;utm_content="&amp;H539</f>
        <v>https://ecbtax.com/?utm_source=medium&amp;utm_medium=content&amp;utm_campaign=2610_ff_lansare&amp;utm_content=general</v>
      </c>
    </row>
    <row r="540" customFormat="false" ht="15" hidden="false" customHeight="false" outlineLevel="0" collapsed="false">
      <c r="A540" s="10" t="s">
        <v>96</v>
      </c>
      <c r="B540" s="10" t="str">
        <f aca="false">INDEX('Site-uri'!$B$2:$B$20,MATCH(A540,'Site-uri'!$A$2:$A$20,0))</f>
        <v>ecbtax.com</v>
      </c>
      <c r="C540" s="10" t="s">
        <v>164</v>
      </c>
      <c r="D540" s="10" t="str">
        <f aca="false">INDEX(Canale!$C$2:$C$30,MATCH(C540,Canale!$A$2:$A$30,0))</f>
        <v>crunchbase</v>
      </c>
      <c r="E540" s="10" t="str">
        <f aca="false">INDEX(Canale!$D$2:$D$30,MATCH(C540,Canale!$A$2:$A$30,0))</f>
        <v>referral</v>
      </c>
      <c r="F540" s="10" t="str">
        <f aca="false">INDEX('Site-uri'!$C$2:$C$20,MATCH(A540,'Site-uri'!$A$2:$A$20,0))</f>
        <v>/</v>
      </c>
      <c r="G540" s="10" t="str">
        <f aca="false">Config!$B$3</f>
        <v>2610_ff_lansare</v>
      </c>
      <c r="H540" s="10" t="str">
        <f aca="false">Config!$B$4</f>
        <v>general</v>
      </c>
      <c r="I540" s="10" t="str">
        <f aca="false">"https://"&amp;B540&amp;F540&amp;"?utm_source="&amp;D540&amp;"&amp;utm_medium="&amp;E540&amp;"&amp;utm_campaign="&amp;G540&amp;"&amp;utm_content="&amp;H540</f>
        <v>https://ecbtax.com/?utm_source=crunchbase&amp;utm_medium=referral&amp;utm_campaign=2610_ff_lansare&amp;utm_content=general</v>
      </c>
    </row>
    <row r="541" customFormat="false" ht="15" hidden="false" customHeight="false" outlineLevel="0" collapsed="false">
      <c r="A541" s="10" t="s">
        <v>96</v>
      </c>
      <c r="B541" s="10" t="str">
        <f aca="false">INDEX('Site-uri'!$B$2:$B$20,MATCH(A541,'Site-uri'!$A$2:$A$20,0))</f>
        <v>ecbtax.com</v>
      </c>
      <c r="C541" s="10" t="s">
        <v>169</v>
      </c>
      <c r="D541" s="10" t="str">
        <f aca="false">INDEX(Canale!$C$2:$C$30,MATCH(C541,Canale!$A$2:$A$30,0))</f>
        <v>zenodo</v>
      </c>
      <c r="E541" s="10" t="str">
        <f aca="false">INDEX(Canale!$D$2:$D$30,MATCH(C541,Canale!$A$2:$A$30,0))</f>
        <v>referral</v>
      </c>
      <c r="F541" s="10" t="str">
        <f aca="false">INDEX('Site-uri'!$C$2:$C$20,MATCH(A541,'Site-uri'!$A$2:$A$20,0))</f>
        <v>/</v>
      </c>
      <c r="G541" s="10" t="str">
        <f aca="false">Config!$B$3</f>
        <v>2610_ff_lansare</v>
      </c>
      <c r="H541" s="10" t="str">
        <f aca="false">Config!$B$4</f>
        <v>general</v>
      </c>
      <c r="I541" s="10" t="str">
        <f aca="false">"https://"&amp;B541&amp;F541&amp;"?utm_source="&amp;D541&amp;"&amp;utm_medium="&amp;E541&amp;"&amp;utm_campaign="&amp;G541&amp;"&amp;utm_content="&amp;H541</f>
        <v>https://ecbtax.com/?utm_source=zenodo&amp;utm_medium=referral&amp;utm_campaign=2610_ff_lansare&amp;utm_content=general</v>
      </c>
    </row>
    <row r="542" customFormat="false" ht="15" hidden="false" customHeight="false" outlineLevel="0" collapsed="false">
      <c r="A542" s="10" t="s">
        <v>96</v>
      </c>
      <c r="B542" s="10" t="str">
        <f aca="false">INDEX('Site-uri'!$B$2:$B$20,MATCH(A542,'Site-uri'!$A$2:$A$20,0))</f>
        <v>ecbtax.com</v>
      </c>
      <c r="C542" s="10" t="s">
        <v>172</v>
      </c>
      <c r="D542" s="10" t="str">
        <f aca="false">INDEX(Canale!$C$2:$C$30,MATCH(C542,Canale!$A$2:$A$30,0))</f>
        <v>orcid</v>
      </c>
      <c r="E542" s="10" t="str">
        <f aca="false">INDEX(Canale!$D$2:$D$30,MATCH(C542,Canale!$A$2:$A$30,0))</f>
        <v>referral</v>
      </c>
      <c r="F542" s="10" t="str">
        <f aca="false">INDEX('Site-uri'!$C$2:$C$20,MATCH(A542,'Site-uri'!$A$2:$A$20,0))</f>
        <v>/</v>
      </c>
      <c r="G542" s="10" t="str">
        <f aca="false">Config!$B$3</f>
        <v>2610_ff_lansare</v>
      </c>
      <c r="H542" s="10" t="str">
        <f aca="false">Config!$B$4</f>
        <v>general</v>
      </c>
      <c r="I542" s="10" t="str">
        <f aca="false">"https://"&amp;B542&amp;F542&amp;"?utm_source="&amp;D542&amp;"&amp;utm_medium="&amp;E542&amp;"&amp;utm_campaign="&amp;G542&amp;"&amp;utm_content="&amp;H542</f>
        <v>https://ecbtax.com/?utm_source=orcid&amp;utm_medium=referral&amp;utm_campaign=2610_ff_lansare&amp;utm_content=general</v>
      </c>
    </row>
    <row r="543" customFormat="false" ht="15" hidden="false" customHeight="false" outlineLevel="0" collapsed="false">
      <c r="A543" s="10" t="s">
        <v>96</v>
      </c>
      <c r="B543" s="10" t="str">
        <f aca="false">INDEX('Site-uri'!$B$2:$B$20,MATCH(A543,'Site-uri'!$A$2:$A$20,0))</f>
        <v>ecbtax.com</v>
      </c>
      <c r="C543" s="10" t="s">
        <v>175</v>
      </c>
      <c r="D543" s="10" t="str">
        <f aca="false">INDEX(Canale!$C$2:$C$30,MATCH(C543,Canale!$A$2:$A$30,0))</f>
        <v>github</v>
      </c>
      <c r="E543" s="10" t="str">
        <f aca="false">INDEX(Canale!$D$2:$D$30,MATCH(C543,Canale!$A$2:$A$30,0))</f>
        <v>referral</v>
      </c>
      <c r="F543" s="10" t="str">
        <f aca="false">INDEX('Site-uri'!$C$2:$C$20,MATCH(A543,'Site-uri'!$A$2:$A$20,0))</f>
        <v>/</v>
      </c>
      <c r="G543" s="10" t="str">
        <f aca="false">Config!$B$3</f>
        <v>2610_ff_lansare</v>
      </c>
      <c r="H543" s="10" t="str">
        <f aca="false">Config!$B$4</f>
        <v>general</v>
      </c>
      <c r="I543" s="10" t="str">
        <f aca="false">"https://"&amp;B543&amp;F543&amp;"?utm_source="&amp;D543&amp;"&amp;utm_medium="&amp;E543&amp;"&amp;utm_campaign="&amp;G543&amp;"&amp;utm_content="&amp;H543</f>
        <v>https://ecbtax.com/?utm_source=github&amp;utm_medium=referral&amp;utm_campaign=2610_ff_lansare&amp;utm_content=general</v>
      </c>
    </row>
    <row r="544" customFormat="false" ht="15" hidden="false" customHeight="false" outlineLevel="0" collapsed="false">
      <c r="A544" s="10" t="s">
        <v>96</v>
      </c>
      <c r="B544" s="10" t="str">
        <f aca="false">INDEX('Site-uri'!$B$2:$B$20,MATCH(A544,'Site-uri'!$A$2:$A$20,0))</f>
        <v>ecbtax.com</v>
      </c>
      <c r="C544" s="10" t="s">
        <v>178</v>
      </c>
      <c r="D544" s="10" t="str">
        <f aca="false">INDEX(Canale!$C$2:$C$30,MATCH(C544,Canale!$A$2:$A$30,0))</f>
        <v>kdp_book</v>
      </c>
      <c r="E544" s="10" t="str">
        <f aca="false">INDEX(Canale!$D$2:$D$30,MATCH(C544,Canale!$A$2:$A$30,0))</f>
        <v>book</v>
      </c>
      <c r="F544" s="10" t="str">
        <f aca="false">INDEX('Site-uri'!$C$2:$C$20,MATCH(A544,'Site-uri'!$A$2:$A$20,0))</f>
        <v>/</v>
      </c>
      <c r="G544" s="10" t="str">
        <f aca="false">Config!$B$3</f>
        <v>2610_ff_lansare</v>
      </c>
      <c r="H544" s="10" t="str">
        <f aca="false">Config!$B$4</f>
        <v>general</v>
      </c>
      <c r="I544" s="10" t="str">
        <f aca="false">"https://"&amp;B544&amp;F544&amp;"?utm_source="&amp;D544&amp;"&amp;utm_medium="&amp;E544&amp;"&amp;utm_campaign="&amp;G544&amp;"&amp;utm_content="&amp;H544</f>
        <v>https://ecbtax.com/?utm_source=kdp_book&amp;utm_medium=book&amp;utm_campaign=2610_ff_lansare&amp;utm_content=general</v>
      </c>
    </row>
    <row r="545" customFormat="false" ht="15" hidden="false" customHeight="false" outlineLevel="0" collapsed="false">
      <c r="A545" s="10" t="s">
        <v>96</v>
      </c>
      <c r="B545" s="10" t="str">
        <f aca="false">INDEX('Site-uri'!$B$2:$B$20,MATCH(A545,'Site-uri'!$A$2:$A$20,0))</f>
        <v>ecbtax.com</v>
      </c>
      <c r="C545" s="10" t="s">
        <v>183</v>
      </c>
      <c r="D545" s="10" t="str">
        <f aca="false">INDEX(Canale!$C$2:$C$30,MATCH(C545,Canale!$A$2:$A$30,0))</f>
        <v>udemy</v>
      </c>
      <c r="E545" s="10" t="str">
        <f aca="false">INDEX(Canale!$D$2:$D$30,MATCH(C545,Canale!$A$2:$A$30,0))</f>
        <v>course</v>
      </c>
      <c r="F545" s="10" t="str">
        <f aca="false">INDEX('Site-uri'!$C$2:$C$20,MATCH(A545,'Site-uri'!$A$2:$A$20,0))</f>
        <v>/</v>
      </c>
      <c r="G545" s="10" t="str">
        <f aca="false">Config!$B$3</f>
        <v>2610_ff_lansare</v>
      </c>
      <c r="H545" s="10" t="str">
        <f aca="false">Config!$B$4</f>
        <v>general</v>
      </c>
      <c r="I545" s="10" t="str">
        <f aca="false">"https://"&amp;B545&amp;F545&amp;"?utm_source="&amp;D545&amp;"&amp;utm_medium="&amp;E545&amp;"&amp;utm_campaign="&amp;G545&amp;"&amp;utm_content="&amp;H545</f>
        <v>https://ecbtax.com/?utm_source=udemy&amp;utm_medium=course&amp;utm_campaign=2610_ff_lansare&amp;utm_content=general</v>
      </c>
    </row>
    <row r="546" customFormat="false" ht="15" hidden="false" customHeight="false" outlineLevel="0" collapsed="false">
      <c r="A546" s="10" t="s">
        <v>96</v>
      </c>
      <c r="B546" s="10" t="str">
        <f aca="false">INDEX('Site-uri'!$B$2:$B$20,MATCH(A546,'Site-uri'!$A$2:$A$20,0))</f>
        <v>ecbtax.com</v>
      </c>
      <c r="C546" s="10" t="s">
        <v>186</v>
      </c>
      <c r="D546" s="10" t="str">
        <f aca="false">INDEX(Canale!$C$2:$C$30,MATCH(C546,Canale!$A$2:$A$30,0))</f>
        <v>directory</v>
      </c>
      <c r="E546" s="10" t="str">
        <f aca="false">INDEX(Canale!$D$2:$D$30,MATCH(C546,Canale!$A$2:$A$30,0))</f>
        <v>referral</v>
      </c>
      <c r="F546" s="10" t="str">
        <f aca="false">INDEX('Site-uri'!$C$2:$C$20,MATCH(A546,'Site-uri'!$A$2:$A$20,0))</f>
        <v>/</v>
      </c>
      <c r="G546" s="10" t="str">
        <f aca="false">Config!$B$3</f>
        <v>2610_ff_lansare</v>
      </c>
      <c r="H546" s="10" t="str">
        <f aca="false">Config!$B$4</f>
        <v>general</v>
      </c>
      <c r="I546" s="10" t="str">
        <f aca="false">"https://"&amp;B546&amp;F546&amp;"?utm_source="&amp;D546&amp;"&amp;utm_medium="&amp;E546&amp;"&amp;utm_campaign="&amp;G546&amp;"&amp;utm_content="&amp;H546</f>
        <v>https://ecbtax.com/?utm_source=directory&amp;utm_medium=referral&amp;utm_campaign=2610_ff_lansare&amp;utm_content=general</v>
      </c>
    </row>
    <row r="547" customFormat="false" ht="15" hidden="false" customHeight="false" outlineLevel="0" collapsed="false">
      <c r="A547" s="10" t="s">
        <v>96</v>
      </c>
      <c r="B547" s="10" t="str">
        <f aca="false">INDEX('Site-uri'!$B$2:$B$20,MATCH(A547,'Site-uri'!$A$2:$A$20,0))</f>
        <v>ecbtax.com</v>
      </c>
      <c r="C547" s="10" t="s">
        <v>190</v>
      </c>
      <c r="D547" s="10" t="str">
        <f aca="false">INDEX(Canale!$C$2:$C$30,MATCH(C547,Canale!$A$2:$A$30,0))</f>
        <v>partner</v>
      </c>
      <c r="E547" s="10" t="str">
        <f aca="false">INDEX(Canale!$D$2:$D$30,MATCH(C547,Canale!$A$2:$A$30,0))</f>
        <v>partner</v>
      </c>
      <c r="F547" s="10" t="str">
        <f aca="false">INDEX('Site-uri'!$C$2:$C$20,MATCH(A547,'Site-uri'!$A$2:$A$20,0))</f>
        <v>/</v>
      </c>
      <c r="G547" s="10" t="str">
        <f aca="false">Config!$B$3</f>
        <v>2610_ff_lansare</v>
      </c>
      <c r="H547" s="10" t="str">
        <f aca="false">Config!$B$4</f>
        <v>general</v>
      </c>
      <c r="I547" s="10" t="str">
        <f aca="false">"https://"&amp;B547&amp;F547&amp;"?utm_source="&amp;D547&amp;"&amp;utm_medium="&amp;E547&amp;"&amp;utm_campaign="&amp;G547&amp;"&amp;utm_content="&amp;H547</f>
        <v>https://ecbtax.com/?utm_source=partner&amp;utm_medium=partner&amp;utm_campaign=2610_ff_lansare&amp;utm_content=general</v>
      </c>
    </row>
    <row r="548" customFormat="false" ht="15" hidden="false" customHeight="false" outlineLevel="0" collapsed="false">
      <c r="A548" s="10" t="s">
        <v>96</v>
      </c>
      <c r="B548" s="10" t="str">
        <f aca="false">INDEX('Site-uri'!$B$2:$B$20,MATCH(A548,'Site-uri'!$A$2:$A$20,0))</f>
        <v>ecbtax.com</v>
      </c>
      <c r="C548" s="10" t="s">
        <v>192</v>
      </c>
      <c r="D548" s="10" t="str">
        <f aca="false">INDEX(Canale!$C$2:$C$30,MATCH(C548,Canale!$A$2:$A$30,0))</f>
        <v>pdf_proposal</v>
      </c>
      <c r="E548" s="10" t="str">
        <f aca="false">INDEX(Canale!$D$2:$D$30,MATCH(C548,Canale!$A$2:$A$30,0))</f>
        <v>document</v>
      </c>
      <c r="F548" s="10" t="str">
        <f aca="false">INDEX('Site-uri'!$C$2:$C$20,MATCH(A548,'Site-uri'!$A$2:$A$20,0))</f>
        <v>/</v>
      </c>
      <c r="G548" s="10" t="str">
        <f aca="false">Config!$B$3</f>
        <v>2610_ff_lansare</v>
      </c>
      <c r="H548" s="10" t="str">
        <f aca="false">Config!$B$4</f>
        <v>general</v>
      </c>
      <c r="I548" s="10" t="str">
        <f aca="false">"https://"&amp;B548&amp;F548&amp;"?utm_source="&amp;D548&amp;"&amp;utm_medium="&amp;E548&amp;"&amp;utm_campaign="&amp;G548&amp;"&amp;utm_content="&amp;H548</f>
        <v>https://ecbtax.com/?utm_source=pdf_proposal&amp;utm_medium=document&amp;utm_campaign=2610_ff_lansare&amp;utm_content=general</v>
      </c>
    </row>
    <row r="549" customFormat="false" ht="15" hidden="false" customHeight="false" outlineLevel="0" collapsed="false">
      <c r="A549" s="10" t="s">
        <v>96</v>
      </c>
      <c r="B549" s="10" t="str">
        <f aca="false">INDEX('Site-uri'!$B$2:$B$20,MATCH(A549,'Site-uri'!$A$2:$A$20,0))</f>
        <v>ecbtax.com</v>
      </c>
      <c r="C549" s="10" t="s">
        <v>197</v>
      </c>
      <c r="D549" s="10" t="str">
        <f aca="false">INDEX(Canale!$C$2:$C$30,MATCH(C549,Canale!$A$2:$A$30,0))</f>
        <v>qr_print</v>
      </c>
      <c r="E549" s="10" t="str">
        <f aca="false">INDEX(Canale!$D$2:$D$30,MATCH(C549,Canale!$A$2:$A$30,0))</f>
        <v>qr</v>
      </c>
      <c r="F549" s="10" t="str">
        <f aca="false">INDEX('Site-uri'!$C$2:$C$20,MATCH(A549,'Site-uri'!$A$2:$A$20,0))</f>
        <v>/</v>
      </c>
      <c r="G549" s="10" t="str">
        <f aca="false">Config!$B$3</f>
        <v>2610_ff_lansare</v>
      </c>
      <c r="H549" s="10" t="str">
        <f aca="false">Config!$B$4</f>
        <v>general</v>
      </c>
      <c r="I549" s="10" t="str">
        <f aca="false">"https://"&amp;B549&amp;F549&amp;"?utm_source="&amp;D549&amp;"&amp;utm_medium="&amp;E549&amp;"&amp;utm_campaign="&amp;G549&amp;"&amp;utm_content="&amp;H549</f>
        <v>https://ecbtax.com/?utm_source=qr_print&amp;utm_medium=qr&amp;utm_campaign=2610_ff_lansare&amp;utm_content=general</v>
      </c>
    </row>
    <row r="550" customFormat="false" ht="15" hidden="false" customHeight="false" outlineLevel="0" collapsed="false">
      <c r="A550" s="10" t="s">
        <v>96</v>
      </c>
      <c r="B550" s="10" t="str">
        <f aca="false">INDEX('Site-uri'!$B$2:$B$20,MATCH(A550,'Site-uri'!$A$2:$A$20,0))</f>
        <v>ecbtax.com</v>
      </c>
      <c r="C550" s="10" t="s">
        <v>201</v>
      </c>
      <c r="D550" s="10" t="str">
        <f aca="false">INDEX(Canale!$C$2:$C$30,MATCH(C550,Canale!$A$2:$A$30,0))</f>
        <v>event</v>
      </c>
      <c r="E550" s="10" t="str">
        <f aca="false">INDEX(Canale!$D$2:$D$30,MATCH(C550,Canale!$A$2:$A$30,0))</f>
        <v>event</v>
      </c>
      <c r="F550" s="10" t="str">
        <f aca="false">INDEX('Site-uri'!$C$2:$C$20,MATCH(A550,'Site-uri'!$A$2:$A$20,0))</f>
        <v>/</v>
      </c>
      <c r="G550" s="10" t="str">
        <f aca="false">Config!$B$3</f>
        <v>2610_ff_lansare</v>
      </c>
      <c r="H550" s="10" t="str">
        <f aca="false">Config!$B$4</f>
        <v>general</v>
      </c>
      <c r="I550" s="10" t="str">
        <f aca="false">"https://"&amp;B550&amp;F550&amp;"?utm_source="&amp;D550&amp;"&amp;utm_medium="&amp;E550&amp;"&amp;utm_campaign="&amp;G550&amp;"&amp;utm_content="&amp;H550</f>
        <v>https://ecbtax.com/?utm_source=event&amp;utm_medium=event&amp;utm_campaign=2610_ff_lansare&amp;utm_content=general</v>
      </c>
    </row>
    <row r="551" customFormat="false" ht="15" hidden="false" customHeight="false" outlineLevel="0" collapsed="false">
      <c r="A551" s="10" t="s">
        <v>96</v>
      </c>
      <c r="B551" s="10" t="str">
        <f aca="false">INDEX('Site-uri'!$B$2:$B$20,MATCH(A551,'Site-uri'!$A$2:$A$20,0))</f>
        <v>ecbtax.com</v>
      </c>
      <c r="C551" s="10" t="s">
        <v>203</v>
      </c>
      <c r="D551" s="10" t="str">
        <f aca="false">INDEX(Canale!$C$2:$C$30,MATCH(C551,Canale!$A$2:$A$30,0))</f>
        <v>a2a_agent_card</v>
      </c>
      <c r="E551" s="10" t="str">
        <f aca="false">INDEX(Canale!$D$2:$D$30,MATCH(C551,Canale!$A$2:$A$30,0))</f>
        <v>agent</v>
      </c>
      <c r="F551" s="10" t="str">
        <f aca="false">INDEX('Site-uri'!$C$2:$C$20,MATCH(A551,'Site-uri'!$A$2:$A$20,0))</f>
        <v>/</v>
      </c>
      <c r="G551" s="10" t="str">
        <f aca="false">Config!$B$3</f>
        <v>2610_ff_lansare</v>
      </c>
      <c r="H551" s="10" t="str">
        <f aca="false">Config!$B$4</f>
        <v>general</v>
      </c>
      <c r="I551" s="10" t="str">
        <f aca="false">"https://"&amp;B551&amp;F551&amp;"?utm_source="&amp;D551&amp;"&amp;utm_medium="&amp;E551&amp;"&amp;utm_campaign="&amp;G551&amp;"&amp;utm_content="&amp;H551</f>
        <v>https://ecbtax.com/?utm_source=a2a_agent_card&amp;utm_medium=agent&amp;utm_campaign=2610_ff_lansare&amp;utm_content=general</v>
      </c>
    </row>
    <row r="552" customFormat="false" ht="15" hidden="false" customHeight="false" outlineLevel="0" collapsed="false">
      <c r="A552" s="10" t="s">
        <v>96</v>
      </c>
      <c r="B552" s="10" t="str">
        <f aca="false">INDEX('Site-uri'!$B$2:$B$20,MATCH(A552,'Site-uri'!$A$2:$A$20,0))</f>
        <v>ecbtax.com</v>
      </c>
      <c r="C552" s="10" t="s">
        <v>208</v>
      </c>
      <c r="D552" s="10" t="str">
        <f aca="false">INDEX(Canale!$C$2:$C$30,MATCH(C552,Canale!$A$2:$A$30,0))</f>
        <v>llms_txt</v>
      </c>
      <c r="E552" s="10" t="str">
        <f aca="false">INDEX(Canale!$D$2:$D$30,MATCH(C552,Canale!$A$2:$A$30,0))</f>
        <v>ai_web</v>
      </c>
      <c r="F552" s="10" t="str">
        <f aca="false">INDEX('Site-uri'!$C$2:$C$20,MATCH(A552,'Site-uri'!$A$2:$A$20,0))</f>
        <v>/</v>
      </c>
      <c r="G552" s="10" t="str">
        <f aca="false">Config!$B$3</f>
        <v>2610_ff_lansare</v>
      </c>
      <c r="H552" s="10" t="str">
        <f aca="false">Config!$B$4</f>
        <v>general</v>
      </c>
      <c r="I552" s="10" t="str">
        <f aca="false">"https://"&amp;B552&amp;F552&amp;"?utm_source="&amp;D552&amp;"&amp;utm_medium="&amp;E552&amp;"&amp;utm_campaign="&amp;G552&amp;"&amp;utm_content="&amp;H552</f>
        <v>https://ecbtax.com/?utm_source=llms_txt&amp;utm_medium=ai_web&amp;utm_campaign=2610_ff_lansare&amp;utm_content=general</v>
      </c>
    </row>
  </sheetData>
  <autoFilter ref="A1:I5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10"/>
  </cols>
  <sheetData>
    <row r="1" customFormat="false" ht="35.05" hidden="false" customHeight="false" outlineLevel="0" collapsed="false">
      <c r="A1" s="8" t="s">
        <v>218</v>
      </c>
      <c r="B1" s="8" t="s">
        <v>219</v>
      </c>
      <c r="C1" s="8" t="s">
        <v>220</v>
      </c>
      <c r="D1" s="8" t="s">
        <v>221</v>
      </c>
      <c r="E1" s="8" t="s">
        <v>214</v>
      </c>
      <c r="F1" s="8" t="s">
        <v>100</v>
      </c>
      <c r="G1" s="8" t="s">
        <v>101</v>
      </c>
      <c r="H1" s="8" t="s">
        <v>215</v>
      </c>
      <c r="I1" s="8" t="s">
        <v>216</v>
      </c>
      <c r="J1" s="8" t="s">
        <v>217</v>
      </c>
    </row>
    <row r="2" customFormat="false" ht="15" hidden="false" customHeight="false" outlineLevel="0" collapsed="false">
      <c r="A2" s="10" t="s">
        <v>45</v>
      </c>
      <c r="B2" s="10" t="str">
        <f aca="false">INDEX('Site-uri'!$B$2:$B$20,MATCH(A2,'Site-uri'!$A$2:$A$20,0))</f>
        <v>5thelement.ai</v>
      </c>
      <c r="C2" s="10" t="s">
        <v>49</v>
      </c>
      <c r="D2" s="10" t="str">
        <f aca="false">INDEX('Site-uri'!$B$2:$B$20,MATCH(C2,'Site-uri'!$A$2:$A$20,0))</f>
        <v>aiventure.ro</v>
      </c>
      <c r="E2" s="10" t="str">
        <f aca="false">INDEX('Site-uri'!$C$2:$C$20,MATCH(C2,'Site-uri'!$A$2:$A$20,0))</f>
        <v>/</v>
      </c>
      <c r="F2" s="10" t="str">
        <f aca="false">B2</f>
        <v>5thelement.ai</v>
      </c>
      <c r="G2" s="10" t="str">
        <f aca="false">Config!$B$5</f>
        <v>network</v>
      </c>
      <c r="H2" s="10" t="str">
        <f aca="false">Config!$B$3</f>
        <v>2610_ff_lansare</v>
      </c>
      <c r="I2" s="10" t="str">
        <f aca="false">Config!$B$4</f>
        <v>general</v>
      </c>
      <c r="J2" s="10" t="str">
        <f aca="false">"https://"&amp;D2&amp;E2&amp;"?utm_source="&amp;F2&amp;"&amp;utm_medium="&amp;G2&amp;"&amp;utm_campaign="&amp;H2&amp;"&amp;utm_content="&amp;I2</f>
        <v>https://aiventure.ro/?utm_source=5thelement.ai&amp;utm_medium=network&amp;utm_campaign=2610_ff_lansare&amp;utm_content=general</v>
      </c>
    </row>
    <row r="3" customFormat="false" ht="15" hidden="false" customHeight="false" outlineLevel="0" collapsed="false">
      <c r="A3" s="10" t="s">
        <v>45</v>
      </c>
      <c r="B3" s="10" t="str">
        <f aca="false">INDEX('Site-uri'!$B$2:$B$20,MATCH(A3,'Site-uri'!$A$2:$A$20,0))</f>
        <v>5thelement.ai</v>
      </c>
      <c r="C3" s="10" t="s">
        <v>52</v>
      </c>
      <c r="D3" s="10" t="str">
        <f aca="false">INDEX('Site-uri'!$B$2:$B$20,MATCH(C3,'Site-uri'!$A$2:$A$20,0))</f>
        <v>aiventure.uk</v>
      </c>
      <c r="E3" s="10" t="str">
        <f aca="false">INDEX('Site-uri'!$C$2:$C$20,MATCH(C3,'Site-uri'!$A$2:$A$20,0))</f>
        <v>/</v>
      </c>
      <c r="F3" s="10" t="str">
        <f aca="false">B3</f>
        <v>5thelement.ai</v>
      </c>
      <c r="G3" s="10" t="str">
        <f aca="false">Config!$B$5</f>
        <v>network</v>
      </c>
      <c r="H3" s="10" t="str">
        <f aca="false">Config!$B$3</f>
        <v>2610_ff_lansare</v>
      </c>
      <c r="I3" s="10" t="str">
        <f aca="false">Config!$B$4</f>
        <v>general</v>
      </c>
      <c r="J3" s="10" t="str">
        <f aca="false">"https://"&amp;D3&amp;E3&amp;"?utm_source="&amp;F3&amp;"&amp;utm_medium="&amp;G3&amp;"&amp;utm_campaign="&amp;H3&amp;"&amp;utm_content="&amp;I3</f>
        <v>https://aiventure.uk/?utm_source=5thelement.ai&amp;utm_medium=network&amp;utm_campaign=2610_ff_lansare&amp;utm_content=general</v>
      </c>
    </row>
    <row r="4" customFormat="false" ht="15" hidden="false" customHeight="false" outlineLevel="0" collapsed="false">
      <c r="A4" s="10" t="s">
        <v>45</v>
      </c>
      <c r="B4" s="10" t="str">
        <f aca="false">INDEX('Site-uri'!$B$2:$B$20,MATCH(A4,'Site-uri'!$A$2:$A$20,0))</f>
        <v>5thelement.ai</v>
      </c>
      <c r="C4" s="10" t="s">
        <v>55</v>
      </c>
      <c r="D4" s="10" t="str">
        <f aca="false">INDEX('Site-uri'!$B$2:$B$20,MATCH(C4,'Site-uri'!$A$2:$A$20,0))</f>
        <v>3webobs.com</v>
      </c>
      <c r="E4" s="10" t="str">
        <f aca="false">INDEX('Site-uri'!$C$2:$C$20,MATCH(C4,'Site-uri'!$A$2:$A$20,0))</f>
        <v>/</v>
      </c>
      <c r="F4" s="10" t="str">
        <f aca="false">B4</f>
        <v>5thelement.ai</v>
      </c>
      <c r="G4" s="10" t="str">
        <f aca="false">Config!$B$5</f>
        <v>network</v>
      </c>
      <c r="H4" s="10" t="str">
        <f aca="false">Config!$B$3</f>
        <v>2610_ff_lansare</v>
      </c>
      <c r="I4" s="10" t="str">
        <f aca="false">Config!$B$4</f>
        <v>general</v>
      </c>
      <c r="J4" s="10" t="str">
        <f aca="false">"https://"&amp;D4&amp;E4&amp;"?utm_source="&amp;F4&amp;"&amp;utm_medium="&amp;G4&amp;"&amp;utm_campaign="&amp;H4&amp;"&amp;utm_content="&amp;I4</f>
        <v>https://3webobs.com/?utm_source=5thelement.ai&amp;utm_medium=network&amp;utm_campaign=2610_ff_lansare&amp;utm_content=general</v>
      </c>
    </row>
    <row r="5" customFormat="false" ht="15" hidden="false" customHeight="false" outlineLevel="0" collapsed="false">
      <c r="A5" s="10" t="s">
        <v>45</v>
      </c>
      <c r="B5" s="10" t="str">
        <f aca="false">INDEX('Site-uri'!$B$2:$B$20,MATCH(A5,'Site-uri'!$A$2:$A$20,0))</f>
        <v>5thelement.ai</v>
      </c>
      <c r="C5" s="10" t="s">
        <v>58</v>
      </c>
      <c r="D5" s="10" t="str">
        <f aca="false">INDEX('Site-uri'!$B$2:$B$20,MATCH(C5,'Site-uri'!$A$2:$A$20,0))</f>
        <v>ai-lens.eu</v>
      </c>
      <c r="E5" s="10" t="str">
        <f aca="false">INDEX('Site-uri'!$C$2:$C$20,MATCH(C5,'Site-uri'!$A$2:$A$20,0))</f>
        <v>/</v>
      </c>
      <c r="F5" s="10" t="str">
        <f aca="false">B5</f>
        <v>5thelement.ai</v>
      </c>
      <c r="G5" s="10" t="str">
        <f aca="false">Config!$B$5</f>
        <v>network</v>
      </c>
      <c r="H5" s="10" t="str">
        <f aca="false">Config!$B$3</f>
        <v>2610_ff_lansare</v>
      </c>
      <c r="I5" s="10" t="str">
        <f aca="false">Config!$B$4</f>
        <v>general</v>
      </c>
      <c r="J5" s="10" t="str">
        <f aca="false">"https://"&amp;D5&amp;E5&amp;"?utm_source="&amp;F5&amp;"&amp;utm_medium="&amp;G5&amp;"&amp;utm_campaign="&amp;H5&amp;"&amp;utm_content="&amp;I5</f>
        <v>https://ai-lens.eu/?utm_source=5thelement.ai&amp;utm_medium=network&amp;utm_campaign=2610_ff_lansare&amp;utm_content=general</v>
      </c>
    </row>
    <row r="6" customFormat="false" ht="15" hidden="false" customHeight="false" outlineLevel="0" collapsed="false">
      <c r="A6" s="10" t="s">
        <v>45</v>
      </c>
      <c r="B6" s="10" t="str">
        <f aca="false">INDEX('Site-uri'!$B$2:$B$20,MATCH(A6,'Site-uri'!$A$2:$A$20,0))</f>
        <v>5thelement.ai</v>
      </c>
      <c r="C6" s="10" t="s">
        <v>61</v>
      </c>
      <c r="D6" s="10" t="str">
        <f aca="false">INDEX('Site-uri'!$B$2:$B$20,MATCH(C6,'Site-uri'!$A$2:$A$20,0))</f>
        <v>aireadyinjector.com</v>
      </c>
      <c r="E6" s="10" t="str">
        <f aca="false">INDEX('Site-uri'!$C$2:$C$20,MATCH(C6,'Site-uri'!$A$2:$A$20,0))</f>
        <v>/</v>
      </c>
      <c r="F6" s="10" t="str">
        <f aca="false">B6</f>
        <v>5thelement.ai</v>
      </c>
      <c r="G6" s="10" t="str">
        <f aca="false">Config!$B$5</f>
        <v>network</v>
      </c>
      <c r="H6" s="10" t="str">
        <f aca="false">Config!$B$3</f>
        <v>2610_ff_lansare</v>
      </c>
      <c r="I6" s="10" t="str">
        <f aca="false">Config!$B$4</f>
        <v>general</v>
      </c>
      <c r="J6" s="10" t="str">
        <f aca="false">"https://"&amp;D6&amp;E6&amp;"?utm_source="&amp;F6&amp;"&amp;utm_medium="&amp;G6&amp;"&amp;utm_campaign="&amp;H6&amp;"&amp;utm_content="&amp;I6</f>
        <v>https://aireadyinjector.com/?utm_source=5thelement.ai&amp;utm_medium=network&amp;utm_campaign=2610_ff_lansare&amp;utm_content=general</v>
      </c>
    </row>
    <row r="7" customFormat="false" ht="15" hidden="false" customHeight="false" outlineLevel="0" collapsed="false">
      <c r="A7" s="10" t="s">
        <v>45</v>
      </c>
      <c r="B7" s="10" t="str">
        <f aca="false">INDEX('Site-uri'!$B$2:$B$20,MATCH(A7,'Site-uri'!$A$2:$A$20,0))</f>
        <v>5thelement.ai</v>
      </c>
      <c r="C7" s="10" t="s">
        <v>64</v>
      </c>
      <c r="D7" s="10" t="str">
        <f aca="false">INDEX('Site-uri'!$B$2:$B$20,MATCH(C7,'Site-uri'!$A$2:$A$20,0))</f>
        <v>eu-ai-audit.eu</v>
      </c>
      <c r="E7" s="10" t="str">
        <f aca="false">INDEX('Site-uri'!$C$2:$C$20,MATCH(C7,'Site-uri'!$A$2:$A$20,0))</f>
        <v>/</v>
      </c>
      <c r="F7" s="10" t="str">
        <f aca="false">B7</f>
        <v>5thelement.ai</v>
      </c>
      <c r="G7" s="10" t="str">
        <f aca="false">Config!$B$5</f>
        <v>network</v>
      </c>
      <c r="H7" s="10" t="str">
        <f aca="false">Config!$B$3</f>
        <v>2610_ff_lansare</v>
      </c>
      <c r="I7" s="10" t="str">
        <f aca="false">Config!$B$4</f>
        <v>general</v>
      </c>
      <c r="J7" s="10" t="str">
        <f aca="false">"https://"&amp;D7&amp;E7&amp;"?utm_source="&amp;F7&amp;"&amp;utm_medium="&amp;G7&amp;"&amp;utm_campaign="&amp;H7&amp;"&amp;utm_content="&amp;I7</f>
        <v>https://eu-ai-audit.eu/?utm_source=5thelement.ai&amp;utm_medium=network&amp;utm_campaign=2610_ff_lansare&amp;utm_content=general</v>
      </c>
    </row>
    <row r="8" customFormat="false" ht="15" hidden="false" customHeight="false" outlineLevel="0" collapsed="false">
      <c r="A8" s="10" t="s">
        <v>45</v>
      </c>
      <c r="B8" s="10" t="str">
        <f aca="false">INDEX('Site-uri'!$B$2:$B$20,MATCH(A8,'Site-uri'!$A$2:$A$20,0))</f>
        <v>5thelement.ai</v>
      </c>
      <c r="C8" s="10" t="s">
        <v>67</v>
      </c>
      <c r="D8" s="10" t="str">
        <f aca="false">INDEX('Site-uri'!$B$2:$B$20,MATCH(C8,'Site-uri'!$A$2:$A$20,0))</f>
        <v>eu-ai-ready.eu</v>
      </c>
      <c r="E8" s="10" t="str">
        <f aca="false">INDEX('Site-uri'!$C$2:$C$20,MATCH(C8,'Site-uri'!$A$2:$A$20,0))</f>
        <v>/</v>
      </c>
      <c r="F8" s="10" t="str">
        <f aca="false">B8</f>
        <v>5thelement.ai</v>
      </c>
      <c r="G8" s="10" t="str">
        <f aca="false">Config!$B$5</f>
        <v>network</v>
      </c>
      <c r="H8" s="10" t="str">
        <f aca="false">Config!$B$3</f>
        <v>2610_ff_lansare</v>
      </c>
      <c r="I8" s="10" t="str">
        <f aca="false">Config!$B$4</f>
        <v>general</v>
      </c>
      <c r="J8" s="10" t="str">
        <f aca="false">"https://"&amp;D8&amp;E8&amp;"?utm_source="&amp;F8&amp;"&amp;utm_medium="&amp;G8&amp;"&amp;utm_campaign="&amp;H8&amp;"&amp;utm_content="&amp;I8</f>
        <v>https://eu-ai-ready.eu/?utm_source=5thelement.ai&amp;utm_medium=network&amp;utm_campaign=2610_ff_lansare&amp;utm_content=general</v>
      </c>
    </row>
    <row r="9" customFormat="false" ht="15" hidden="false" customHeight="false" outlineLevel="0" collapsed="false">
      <c r="A9" s="10" t="s">
        <v>45</v>
      </c>
      <c r="B9" s="10" t="str">
        <f aca="false">INDEX('Site-uri'!$B$2:$B$20,MATCH(A9,'Site-uri'!$A$2:$A$20,0))</f>
        <v>5thelement.ai</v>
      </c>
      <c r="C9" s="10" t="s">
        <v>69</v>
      </c>
      <c r="D9" s="10" t="str">
        <f aca="false">INDEX('Site-uri'!$B$2:$B$20,MATCH(C9,'Site-uri'!$A$2:$A$20,0))</f>
        <v>eu-ai-act.ro</v>
      </c>
      <c r="E9" s="10" t="str">
        <f aca="false">INDEX('Site-uri'!$C$2:$C$20,MATCH(C9,'Site-uri'!$A$2:$A$20,0))</f>
        <v>/</v>
      </c>
      <c r="F9" s="10" t="str">
        <f aca="false">B9</f>
        <v>5thelement.ai</v>
      </c>
      <c r="G9" s="10" t="str">
        <f aca="false">Config!$B$5</f>
        <v>network</v>
      </c>
      <c r="H9" s="10" t="str">
        <f aca="false">Config!$B$3</f>
        <v>2610_ff_lansare</v>
      </c>
      <c r="I9" s="10" t="str">
        <f aca="false">Config!$B$4</f>
        <v>general</v>
      </c>
      <c r="J9" s="10" t="str">
        <f aca="false">"https://"&amp;D9&amp;E9&amp;"?utm_source="&amp;F9&amp;"&amp;utm_medium="&amp;G9&amp;"&amp;utm_campaign="&amp;H9&amp;"&amp;utm_content="&amp;I9</f>
        <v>https://eu-ai-act.ro/?utm_source=5thelement.ai&amp;utm_medium=network&amp;utm_campaign=2610_ff_lansare&amp;utm_content=general</v>
      </c>
    </row>
    <row r="10" customFormat="false" ht="15" hidden="false" customHeight="false" outlineLevel="0" collapsed="false">
      <c r="A10" s="10" t="s">
        <v>45</v>
      </c>
      <c r="B10" s="10" t="str">
        <f aca="false">INDEX('Site-uri'!$B$2:$B$20,MATCH(A10,'Site-uri'!$A$2:$A$20,0))</f>
        <v>5thelement.ai</v>
      </c>
      <c r="C10" s="10" t="s">
        <v>72</v>
      </c>
      <c r="D10" s="10" t="str">
        <f aca="false">INDEX('Site-uri'!$B$2:$B$20,MATCH(C10,'Site-uri'!$A$2:$A$20,0))</f>
        <v>eu-ai-act-ready.eu</v>
      </c>
      <c r="E10" s="10" t="str">
        <f aca="false">INDEX('Site-uri'!$C$2:$C$20,MATCH(C10,'Site-uri'!$A$2:$A$20,0))</f>
        <v>/</v>
      </c>
      <c r="F10" s="10" t="str">
        <f aca="false">B10</f>
        <v>5thelement.ai</v>
      </c>
      <c r="G10" s="10" t="str">
        <f aca="false">Config!$B$5</f>
        <v>network</v>
      </c>
      <c r="H10" s="10" t="str">
        <f aca="false">Config!$B$3</f>
        <v>2610_ff_lansare</v>
      </c>
      <c r="I10" s="10" t="str">
        <f aca="false">Config!$B$4</f>
        <v>general</v>
      </c>
      <c r="J10" s="10" t="str">
        <f aca="false">"https://"&amp;D10&amp;E10&amp;"?utm_source="&amp;F10&amp;"&amp;utm_medium="&amp;G10&amp;"&amp;utm_campaign="&amp;H10&amp;"&amp;utm_content="&amp;I10</f>
        <v>https://eu-ai-act-ready.eu/?utm_source=5thelement.ai&amp;utm_medium=network&amp;utm_campaign=2610_ff_lansare&amp;utm_content=general</v>
      </c>
    </row>
    <row r="11" customFormat="false" ht="15" hidden="false" customHeight="false" outlineLevel="0" collapsed="false">
      <c r="A11" s="10" t="s">
        <v>45</v>
      </c>
      <c r="B11" s="10" t="str">
        <f aca="false">INDEX('Site-uri'!$B$2:$B$20,MATCH(A11,'Site-uri'!$A$2:$A$20,0))</f>
        <v>5thelement.ai</v>
      </c>
      <c r="C11" s="10" t="s">
        <v>75</v>
      </c>
      <c r="D11" s="10" t="str">
        <f aca="false">INDEX('Site-uri'!$B$2:$B$20,MATCH(C11,'Site-uri'!$A$2:$A$20,0))</f>
        <v>eu-112.ro</v>
      </c>
      <c r="E11" s="10" t="str">
        <f aca="false">INDEX('Site-uri'!$C$2:$C$20,MATCH(C11,'Site-uri'!$A$2:$A$20,0))</f>
        <v>/</v>
      </c>
      <c r="F11" s="10" t="str">
        <f aca="false">B11</f>
        <v>5thelement.ai</v>
      </c>
      <c r="G11" s="10" t="str">
        <f aca="false">Config!$B$5</f>
        <v>network</v>
      </c>
      <c r="H11" s="10" t="str">
        <f aca="false">Config!$B$3</f>
        <v>2610_ff_lansare</v>
      </c>
      <c r="I11" s="10" t="str">
        <f aca="false">Config!$B$4</f>
        <v>general</v>
      </c>
      <c r="J11" s="10" t="str">
        <f aca="false">"https://"&amp;D11&amp;E11&amp;"?utm_source="&amp;F11&amp;"&amp;utm_medium="&amp;G11&amp;"&amp;utm_campaign="&amp;H11&amp;"&amp;utm_content="&amp;I11</f>
        <v>https://eu-112.ro/?utm_source=5thelement.ai&amp;utm_medium=network&amp;utm_campaign=2610_ff_lansare&amp;utm_content=general</v>
      </c>
    </row>
    <row r="12" customFormat="false" ht="15" hidden="false" customHeight="false" outlineLevel="0" collapsed="false">
      <c r="A12" s="10" t="s">
        <v>45</v>
      </c>
      <c r="B12" s="10" t="str">
        <f aca="false">INDEX('Site-uri'!$B$2:$B$20,MATCH(A12,'Site-uri'!$A$2:$A$20,0))</f>
        <v>5thelement.ai</v>
      </c>
      <c r="C12" s="10" t="s">
        <v>78</v>
      </c>
      <c r="D12" s="10" t="str">
        <f aca="false">INDEX('Site-uri'!$B$2:$B$20,MATCH(C12,'Site-uri'!$A$2:$A$20,0))</f>
        <v>eu-112.eu</v>
      </c>
      <c r="E12" s="10" t="str">
        <f aca="false">INDEX('Site-uri'!$C$2:$C$20,MATCH(C12,'Site-uri'!$A$2:$A$20,0))</f>
        <v>/</v>
      </c>
      <c r="F12" s="10" t="str">
        <f aca="false">B12</f>
        <v>5thelement.ai</v>
      </c>
      <c r="G12" s="10" t="str">
        <f aca="false">Config!$B$5</f>
        <v>network</v>
      </c>
      <c r="H12" s="10" t="str">
        <f aca="false">Config!$B$3</f>
        <v>2610_ff_lansare</v>
      </c>
      <c r="I12" s="10" t="str">
        <f aca="false">Config!$B$4</f>
        <v>general</v>
      </c>
      <c r="J12" s="10" t="str">
        <f aca="false">"https://"&amp;D12&amp;E12&amp;"?utm_source="&amp;F12&amp;"&amp;utm_medium="&amp;G12&amp;"&amp;utm_campaign="&amp;H12&amp;"&amp;utm_content="&amp;I12</f>
        <v>https://eu-112.eu/?utm_source=5thelement.ai&amp;utm_medium=network&amp;utm_campaign=2610_ff_lansare&amp;utm_content=general</v>
      </c>
    </row>
    <row r="13" customFormat="false" ht="15" hidden="false" customHeight="false" outlineLevel="0" collapsed="false">
      <c r="A13" s="10" t="s">
        <v>45</v>
      </c>
      <c r="B13" s="10" t="str">
        <f aca="false">INDEX('Site-uri'!$B$2:$B$20,MATCH(A13,'Site-uri'!$A$2:$A$20,0))</f>
        <v>5thelement.ai</v>
      </c>
      <c r="C13" s="10" t="s">
        <v>81</v>
      </c>
      <c r="D13" s="10" t="str">
        <f aca="false">INDEX('Site-uri'!$B$2:$B$20,MATCH(C13,'Site-uri'!$A$2:$A$20,0))</f>
        <v>1clic-ia.eu</v>
      </c>
      <c r="E13" s="10" t="str">
        <f aca="false">INDEX('Site-uri'!$C$2:$C$20,MATCH(C13,'Site-uri'!$A$2:$A$20,0))</f>
        <v>/</v>
      </c>
      <c r="F13" s="10" t="str">
        <f aca="false">B13</f>
        <v>5thelement.ai</v>
      </c>
      <c r="G13" s="10" t="str">
        <f aca="false">Config!$B$5</f>
        <v>network</v>
      </c>
      <c r="H13" s="10" t="str">
        <f aca="false">Config!$B$3</f>
        <v>2610_ff_lansare</v>
      </c>
      <c r="I13" s="10" t="str">
        <f aca="false">Config!$B$4</f>
        <v>general</v>
      </c>
      <c r="J13" s="10" t="str">
        <f aca="false">"https://"&amp;D13&amp;E13&amp;"?utm_source="&amp;F13&amp;"&amp;utm_medium="&amp;G13&amp;"&amp;utm_campaign="&amp;H13&amp;"&amp;utm_content="&amp;I13</f>
        <v>https://1clic-ia.eu/?utm_source=5thelement.ai&amp;utm_medium=network&amp;utm_campaign=2610_ff_lansare&amp;utm_content=general</v>
      </c>
    </row>
    <row r="14" customFormat="false" ht="15" hidden="false" customHeight="false" outlineLevel="0" collapsed="false">
      <c r="A14" s="10" t="s">
        <v>45</v>
      </c>
      <c r="B14" s="10" t="str">
        <f aca="false">INDEX('Site-uri'!$B$2:$B$20,MATCH(A14,'Site-uri'!$A$2:$A$20,0))</f>
        <v>5thelement.ai</v>
      </c>
      <c r="C14" s="10" t="s">
        <v>84</v>
      </c>
      <c r="D14" s="10" t="str">
        <f aca="false">INDEX('Site-uri'!$B$2:$B$20,MATCH(C14,'Site-uri'!$A$2:$A$20,0))</f>
        <v>1clic-ia.fr</v>
      </c>
      <c r="E14" s="10" t="str">
        <f aca="false">INDEX('Site-uri'!$C$2:$C$20,MATCH(C14,'Site-uri'!$A$2:$A$20,0))</f>
        <v>/</v>
      </c>
      <c r="F14" s="10" t="str">
        <f aca="false">B14</f>
        <v>5thelement.ai</v>
      </c>
      <c r="G14" s="10" t="str">
        <f aca="false">Config!$B$5</f>
        <v>network</v>
      </c>
      <c r="H14" s="10" t="str">
        <f aca="false">Config!$B$3</f>
        <v>2610_ff_lansare</v>
      </c>
      <c r="I14" s="10" t="str">
        <f aca="false">Config!$B$4</f>
        <v>general</v>
      </c>
      <c r="J14" s="10" t="str">
        <f aca="false">"https://"&amp;D14&amp;E14&amp;"?utm_source="&amp;F14&amp;"&amp;utm_medium="&amp;G14&amp;"&amp;utm_campaign="&amp;H14&amp;"&amp;utm_content="&amp;I14</f>
        <v>https://1clic-ia.fr/?utm_source=5thelement.ai&amp;utm_medium=network&amp;utm_campaign=2610_ff_lansare&amp;utm_content=general</v>
      </c>
    </row>
    <row r="15" customFormat="false" ht="15" hidden="false" customHeight="false" outlineLevel="0" collapsed="false">
      <c r="A15" s="10" t="s">
        <v>45</v>
      </c>
      <c r="B15" s="10" t="str">
        <f aca="false">INDEX('Site-uri'!$B$2:$B$20,MATCH(A15,'Site-uri'!$A$2:$A$20,0))</f>
        <v>5thelement.ai</v>
      </c>
      <c r="C15" s="10" t="s">
        <v>86</v>
      </c>
      <c r="D15" s="10" t="str">
        <f aca="false">INDEX('Site-uri'!$B$2:$B$20,MATCH(C15,'Site-uri'!$A$2:$A$20,0))</f>
        <v>firmsfinder.eu</v>
      </c>
      <c r="E15" s="10" t="str">
        <f aca="false">INDEX('Site-uri'!$C$2:$C$20,MATCH(C15,'Site-uri'!$A$2:$A$20,0))</f>
        <v>/</v>
      </c>
      <c r="F15" s="10" t="str">
        <f aca="false">B15</f>
        <v>5thelement.ai</v>
      </c>
      <c r="G15" s="10" t="str">
        <f aca="false">Config!$B$5</f>
        <v>network</v>
      </c>
      <c r="H15" s="10" t="str">
        <f aca="false">Config!$B$3</f>
        <v>2610_ff_lansare</v>
      </c>
      <c r="I15" s="10" t="str">
        <f aca="false">Config!$B$4</f>
        <v>general</v>
      </c>
      <c r="J15" s="10" t="str">
        <f aca="false">"https://"&amp;D15&amp;E15&amp;"?utm_source="&amp;F15&amp;"&amp;utm_medium="&amp;G15&amp;"&amp;utm_campaign="&amp;H15&amp;"&amp;utm_content="&amp;I15</f>
        <v>https://firmsfinder.eu/?utm_source=5thelement.ai&amp;utm_medium=network&amp;utm_campaign=2610_ff_lansare&amp;utm_content=general</v>
      </c>
    </row>
    <row r="16" customFormat="false" ht="15" hidden="false" customHeight="false" outlineLevel="0" collapsed="false">
      <c r="A16" s="10" t="s">
        <v>45</v>
      </c>
      <c r="B16" s="10" t="str">
        <f aca="false">INDEX('Site-uri'!$B$2:$B$20,MATCH(A16,'Site-uri'!$A$2:$A$20,0))</f>
        <v>5thelement.ai</v>
      </c>
      <c r="C16" s="10" t="s">
        <v>89</v>
      </c>
      <c r="D16" s="10" t="str">
        <f aca="false">INDEX('Site-uri'!$B$2:$B$20,MATCH(C16,'Site-uri'!$A$2:$A$20,0))</f>
        <v>b2b-ai-library.org</v>
      </c>
      <c r="E16" s="10" t="str">
        <f aca="false">INDEX('Site-uri'!$C$2:$C$20,MATCH(C16,'Site-uri'!$A$2:$A$20,0))</f>
        <v>/</v>
      </c>
      <c r="F16" s="10" t="str">
        <f aca="false">B16</f>
        <v>5thelement.ai</v>
      </c>
      <c r="G16" s="10" t="str">
        <f aca="false">Config!$B$5</f>
        <v>network</v>
      </c>
      <c r="H16" s="10" t="str">
        <f aca="false">Config!$B$3</f>
        <v>2610_ff_lansare</v>
      </c>
      <c r="I16" s="10" t="str">
        <f aca="false">Config!$B$4</f>
        <v>general</v>
      </c>
      <c r="J16" s="10" t="str">
        <f aca="false">"https://"&amp;D16&amp;E16&amp;"?utm_source="&amp;F16&amp;"&amp;utm_medium="&amp;G16&amp;"&amp;utm_campaign="&amp;H16&amp;"&amp;utm_content="&amp;I16</f>
        <v>https://b2b-ai-library.org/?utm_source=5thelement.ai&amp;utm_medium=network&amp;utm_campaign=2610_ff_lansare&amp;utm_content=general</v>
      </c>
    </row>
    <row r="17" customFormat="false" ht="15" hidden="false" customHeight="false" outlineLevel="0" collapsed="false">
      <c r="A17" s="10" t="s">
        <v>45</v>
      </c>
      <c r="B17" s="10" t="str">
        <f aca="false">INDEX('Site-uri'!$B$2:$B$20,MATCH(A17,'Site-uri'!$A$2:$A$20,0))</f>
        <v>5thelement.ai</v>
      </c>
      <c r="C17" s="10" t="s">
        <v>91</v>
      </c>
      <c r="D17" s="10" t="str">
        <f aca="false">INDEX('Site-uri'!$B$2:$B$20,MATCH(C17,'Site-uri'!$A$2:$A$20,0))</f>
        <v>the3webs.com</v>
      </c>
      <c r="E17" s="10" t="str">
        <f aca="false">INDEX('Site-uri'!$C$2:$C$20,MATCH(C17,'Site-uri'!$A$2:$A$20,0))</f>
        <v>/</v>
      </c>
      <c r="F17" s="10" t="str">
        <f aca="false">B17</f>
        <v>5thelement.ai</v>
      </c>
      <c r="G17" s="10" t="str">
        <f aca="false">Config!$B$5</f>
        <v>network</v>
      </c>
      <c r="H17" s="10" t="str">
        <f aca="false">Config!$B$3</f>
        <v>2610_ff_lansare</v>
      </c>
      <c r="I17" s="10" t="str">
        <f aca="false">Config!$B$4</f>
        <v>general</v>
      </c>
      <c r="J17" s="10" t="str">
        <f aca="false">"https://"&amp;D17&amp;E17&amp;"?utm_source="&amp;F17&amp;"&amp;utm_medium="&amp;G17&amp;"&amp;utm_campaign="&amp;H17&amp;"&amp;utm_content="&amp;I17</f>
        <v>https://the3webs.com/?utm_source=5thelement.ai&amp;utm_medium=network&amp;utm_campaign=2610_ff_lansare&amp;utm_content=general</v>
      </c>
    </row>
    <row r="18" customFormat="false" ht="15" hidden="false" customHeight="false" outlineLevel="0" collapsed="false">
      <c r="A18" s="10" t="s">
        <v>45</v>
      </c>
      <c r="B18" s="10" t="str">
        <f aca="false">INDEX('Site-uri'!$B$2:$B$20,MATCH(A18,'Site-uri'!$A$2:$A$20,0))</f>
        <v>5thelement.ai</v>
      </c>
      <c r="C18" s="10" t="s">
        <v>94</v>
      </c>
      <c r="D18" s="10" t="str">
        <f aca="false">INDEX('Site-uri'!$B$2:$B$20,MATCH(C18,'Site-uri'!$A$2:$A$20,0))</f>
        <v>floride-e2.com</v>
      </c>
      <c r="E18" s="10" t="str">
        <f aca="false">INDEX('Site-uri'!$C$2:$C$20,MATCH(C18,'Site-uri'!$A$2:$A$20,0))</f>
        <v>/</v>
      </c>
      <c r="F18" s="10" t="str">
        <f aca="false">B18</f>
        <v>5thelement.ai</v>
      </c>
      <c r="G18" s="10" t="str">
        <f aca="false">Config!$B$5</f>
        <v>network</v>
      </c>
      <c r="H18" s="10" t="str">
        <f aca="false">Config!$B$3</f>
        <v>2610_ff_lansare</v>
      </c>
      <c r="I18" s="10" t="str">
        <f aca="false">Config!$B$4</f>
        <v>general</v>
      </c>
      <c r="J18" s="10" t="str">
        <f aca="false">"https://"&amp;D18&amp;E18&amp;"?utm_source="&amp;F18&amp;"&amp;utm_medium="&amp;G18&amp;"&amp;utm_campaign="&amp;H18&amp;"&amp;utm_content="&amp;I18</f>
        <v>https://floride-e2.com/?utm_source=5thelement.ai&amp;utm_medium=network&amp;utm_campaign=2610_ff_lansare&amp;utm_content=general</v>
      </c>
    </row>
    <row r="19" customFormat="false" ht="15" hidden="false" customHeight="false" outlineLevel="0" collapsed="false">
      <c r="A19" s="10" t="s">
        <v>45</v>
      </c>
      <c r="B19" s="10" t="str">
        <f aca="false">INDEX('Site-uri'!$B$2:$B$20,MATCH(A19,'Site-uri'!$A$2:$A$20,0))</f>
        <v>5thelement.ai</v>
      </c>
      <c r="C19" s="10" t="s">
        <v>96</v>
      </c>
      <c r="D19" s="10" t="str">
        <f aca="false">INDEX('Site-uri'!$B$2:$B$20,MATCH(C19,'Site-uri'!$A$2:$A$20,0))</f>
        <v>ecbtax.com</v>
      </c>
      <c r="E19" s="10" t="str">
        <f aca="false">INDEX('Site-uri'!$C$2:$C$20,MATCH(C19,'Site-uri'!$A$2:$A$20,0))</f>
        <v>/</v>
      </c>
      <c r="F19" s="10" t="str">
        <f aca="false">B19</f>
        <v>5thelement.ai</v>
      </c>
      <c r="G19" s="10" t="str">
        <f aca="false">Config!$B$5</f>
        <v>network</v>
      </c>
      <c r="H19" s="10" t="str">
        <f aca="false">Config!$B$3</f>
        <v>2610_ff_lansare</v>
      </c>
      <c r="I19" s="10" t="str">
        <f aca="false">Config!$B$4</f>
        <v>general</v>
      </c>
      <c r="J19" s="10" t="str">
        <f aca="false">"https://"&amp;D19&amp;E19&amp;"?utm_source="&amp;F19&amp;"&amp;utm_medium="&amp;G19&amp;"&amp;utm_campaign="&amp;H19&amp;"&amp;utm_content="&amp;I19</f>
        <v>https://ecbtax.com/?utm_source=5thelement.ai&amp;utm_medium=network&amp;utm_campaign=2610_ff_lansare&amp;utm_content=general</v>
      </c>
    </row>
    <row r="20" customFormat="false" ht="15" hidden="false" customHeight="false" outlineLevel="0" collapsed="false">
      <c r="A20" s="10" t="s">
        <v>49</v>
      </c>
      <c r="B20" s="10" t="str">
        <f aca="false">INDEX('Site-uri'!$B$2:$B$20,MATCH(A20,'Site-uri'!$A$2:$A$20,0))</f>
        <v>aiventure.ro</v>
      </c>
      <c r="C20" s="10" t="s">
        <v>45</v>
      </c>
      <c r="D20" s="10" t="str">
        <f aca="false">INDEX('Site-uri'!$B$2:$B$20,MATCH(C20,'Site-uri'!$A$2:$A$20,0))</f>
        <v>5thelement.ai</v>
      </c>
      <c r="E20" s="10" t="str">
        <f aca="false">INDEX('Site-uri'!$C$2:$C$20,MATCH(C20,'Site-uri'!$A$2:$A$20,0))</f>
        <v>/</v>
      </c>
      <c r="F20" s="10" t="str">
        <f aca="false">B20</f>
        <v>aiventure.ro</v>
      </c>
      <c r="G20" s="10" t="str">
        <f aca="false">Config!$B$5</f>
        <v>network</v>
      </c>
      <c r="H20" s="10" t="str">
        <f aca="false">Config!$B$3</f>
        <v>2610_ff_lansare</v>
      </c>
      <c r="I20" s="10" t="str">
        <f aca="false">Config!$B$4</f>
        <v>general</v>
      </c>
      <c r="J20" s="10" t="str">
        <f aca="false">"https://"&amp;D20&amp;E20&amp;"?utm_source="&amp;F20&amp;"&amp;utm_medium="&amp;G20&amp;"&amp;utm_campaign="&amp;H20&amp;"&amp;utm_content="&amp;I20</f>
        <v>https://5thelement.ai/?utm_source=aiventure.ro&amp;utm_medium=network&amp;utm_campaign=2610_ff_lansare&amp;utm_content=general</v>
      </c>
    </row>
    <row r="21" customFormat="false" ht="15" hidden="false" customHeight="false" outlineLevel="0" collapsed="false">
      <c r="A21" s="10" t="s">
        <v>49</v>
      </c>
      <c r="B21" s="10" t="str">
        <f aca="false">INDEX('Site-uri'!$B$2:$B$20,MATCH(A21,'Site-uri'!$A$2:$A$20,0))</f>
        <v>aiventure.ro</v>
      </c>
      <c r="C21" s="10" t="s">
        <v>52</v>
      </c>
      <c r="D21" s="10" t="str">
        <f aca="false">INDEX('Site-uri'!$B$2:$B$20,MATCH(C21,'Site-uri'!$A$2:$A$20,0))</f>
        <v>aiventure.uk</v>
      </c>
      <c r="E21" s="10" t="str">
        <f aca="false">INDEX('Site-uri'!$C$2:$C$20,MATCH(C21,'Site-uri'!$A$2:$A$20,0))</f>
        <v>/</v>
      </c>
      <c r="F21" s="10" t="str">
        <f aca="false">B21</f>
        <v>aiventure.ro</v>
      </c>
      <c r="G21" s="10" t="str">
        <f aca="false">Config!$B$5</f>
        <v>network</v>
      </c>
      <c r="H21" s="10" t="str">
        <f aca="false">Config!$B$3</f>
        <v>2610_ff_lansare</v>
      </c>
      <c r="I21" s="10" t="str">
        <f aca="false">Config!$B$4</f>
        <v>general</v>
      </c>
      <c r="J21" s="10" t="str">
        <f aca="false">"https://"&amp;D21&amp;E21&amp;"?utm_source="&amp;F21&amp;"&amp;utm_medium="&amp;G21&amp;"&amp;utm_campaign="&amp;H21&amp;"&amp;utm_content="&amp;I21</f>
        <v>https://aiventure.uk/?utm_source=aiventure.ro&amp;utm_medium=network&amp;utm_campaign=2610_ff_lansare&amp;utm_content=general</v>
      </c>
    </row>
    <row r="22" customFormat="false" ht="15" hidden="false" customHeight="false" outlineLevel="0" collapsed="false">
      <c r="A22" s="10" t="s">
        <v>49</v>
      </c>
      <c r="B22" s="10" t="str">
        <f aca="false">INDEX('Site-uri'!$B$2:$B$20,MATCH(A22,'Site-uri'!$A$2:$A$20,0))</f>
        <v>aiventure.ro</v>
      </c>
      <c r="C22" s="10" t="s">
        <v>55</v>
      </c>
      <c r="D22" s="10" t="str">
        <f aca="false">INDEX('Site-uri'!$B$2:$B$20,MATCH(C22,'Site-uri'!$A$2:$A$20,0))</f>
        <v>3webobs.com</v>
      </c>
      <c r="E22" s="10" t="str">
        <f aca="false">INDEX('Site-uri'!$C$2:$C$20,MATCH(C22,'Site-uri'!$A$2:$A$20,0))</f>
        <v>/</v>
      </c>
      <c r="F22" s="10" t="str">
        <f aca="false">B22</f>
        <v>aiventure.ro</v>
      </c>
      <c r="G22" s="10" t="str">
        <f aca="false">Config!$B$5</f>
        <v>network</v>
      </c>
      <c r="H22" s="10" t="str">
        <f aca="false">Config!$B$3</f>
        <v>2610_ff_lansare</v>
      </c>
      <c r="I22" s="10" t="str">
        <f aca="false">Config!$B$4</f>
        <v>general</v>
      </c>
      <c r="J22" s="10" t="str">
        <f aca="false">"https://"&amp;D22&amp;E22&amp;"?utm_source="&amp;F22&amp;"&amp;utm_medium="&amp;G22&amp;"&amp;utm_campaign="&amp;H22&amp;"&amp;utm_content="&amp;I22</f>
        <v>https://3webobs.com/?utm_source=aiventure.ro&amp;utm_medium=network&amp;utm_campaign=2610_ff_lansare&amp;utm_content=general</v>
      </c>
    </row>
    <row r="23" customFormat="false" ht="15" hidden="false" customHeight="false" outlineLevel="0" collapsed="false">
      <c r="A23" s="10" t="s">
        <v>49</v>
      </c>
      <c r="B23" s="10" t="str">
        <f aca="false">INDEX('Site-uri'!$B$2:$B$20,MATCH(A23,'Site-uri'!$A$2:$A$20,0))</f>
        <v>aiventure.ro</v>
      </c>
      <c r="C23" s="10" t="s">
        <v>58</v>
      </c>
      <c r="D23" s="10" t="str">
        <f aca="false">INDEX('Site-uri'!$B$2:$B$20,MATCH(C23,'Site-uri'!$A$2:$A$20,0))</f>
        <v>ai-lens.eu</v>
      </c>
      <c r="E23" s="10" t="str">
        <f aca="false">INDEX('Site-uri'!$C$2:$C$20,MATCH(C23,'Site-uri'!$A$2:$A$20,0))</f>
        <v>/</v>
      </c>
      <c r="F23" s="10" t="str">
        <f aca="false">B23</f>
        <v>aiventure.ro</v>
      </c>
      <c r="G23" s="10" t="str">
        <f aca="false">Config!$B$5</f>
        <v>network</v>
      </c>
      <c r="H23" s="10" t="str">
        <f aca="false">Config!$B$3</f>
        <v>2610_ff_lansare</v>
      </c>
      <c r="I23" s="10" t="str">
        <f aca="false">Config!$B$4</f>
        <v>general</v>
      </c>
      <c r="J23" s="10" t="str">
        <f aca="false">"https://"&amp;D23&amp;E23&amp;"?utm_source="&amp;F23&amp;"&amp;utm_medium="&amp;G23&amp;"&amp;utm_campaign="&amp;H23&amp;"&amp;utm_content="&amp;I23</f>
        <v>https://ai-lens.eu/?utm_source=aiventure.ro&amp;utm_medium=network&amp;utm_campaign=2610_ff_lansare&amp;utm_content=general</v>
      </c>
    </row>
    <row r="24" customFormat="false" ht="15" hidden="false" customHeight="false" outlineLevel="0" collapsed="false">
      <c r="A24" s="10" t="s">
        <v>49</v>
      </c>
      <c r="B24" s="10" t="str">
        <f aca="false">INDEX('Site-uri'!$B$2:$B$20,MATCH(A24,'Site-uri'!$A$2:$A$20,0))</f>
        <v>aiventure.ro</v>
      </c>
      <c r="C24" s="10" t="s">
        <v>61</v>
      </c>
      <c r="D24" s="10" t="str">
        <f aca="false">INDEX('Site-uri'!$B$2:$B$20,MATCH(C24,'Site-uri'!$A$2:$A$20,0))</f>
        <v>aireadyinjector.com</v>
      </c>
      <c r="E24" s="10" t="str">
        <f aca="false">INDEX('Site-uri'!$C$2:$C$20,MATCH(C24,'Site-uri'!$A$2:$A$20,0))</f>
        <v>/</v>
      </c>
      <c r="F24" s="10" t="str">
        <f aca="false">B24</f>
        <v>aiventure.ro</v>
      </c>
      <c r="G24" s="10" t="str">
        <f aca="false">Config!$B$5</f>
        <v>network</v>
      </c>
      <c r="H24" s="10" t="str">
        <f aca="false">Config!$B$3</f>
        <v>2610_ff_lansare</v>
      </c>
      <c r="I24" s="10" t="str">
        <f aca="false">Config!$B$4</f>
        <v>general</v>
      </c>
      <c r="J24" s="10" t="str">
        <f aca="false">"https://"&amp;D24&amp;E24&amp;"?utm_source="&amp;F24&amp;"&amp;utm_medium="&amp;G24&amp;"&amp;utm_campaign="&amp;H24&amp;"&amp;utm_content="&amp;I24</f>
        <v>https://aireadyinjector.com/?utm_source=aiventure.ro&amp;utm_medium=network&amp;utm_campaign=2610_ff_lansare&amp;utm_content=general</v>
      </c>
    </row>
    <row r="25" customFormat="false" ht="15" hidden="false" customHeight="false" outlineLevel="0" collapsed="false">
      <c r="A25" s="10" t="s">
        <v>49</v>
      </c>
      <c r="B25" s="10" t="str">
        <f aca="false">INDEX('Site-uri'!$B$2:$B$20,MATCH(A25,'Site-uri'!$A$2:$A$20,0))</f>
        <v>aiventure.ro</v>
      </c>
      <c r="C25" s="10" t="s">
        <v>64</v>
      </c>
      <c r="D25" s="10" t="str">
        <f aca="false">INDEX('Site-uri'!$B$2:$B$20,MATCH(C25,'Site-uri'!$A$2:$A$20,0))</f>
        <v>eu-ai-audit.eu</v>
      </c>
      <c r="E25" s="10" t="str">
        <f aca="false">INDEX('Site-uri'!$C$2:$C$20,MATCH(C25,'Site-uri'!$A$2:$A$20,0))</f>
        <v>/</v>
      </c>
      <c r="F25" s="10" t="str">
        <f aca="false">B25</f>
        <v>aiventure.ro</v>
      </c>
      <c r="G25" s="10" t="str">
        <f aca="false">Config!$B$5</f>
        <v>network</v>
      </c>
      <c r="H25" s="10" t="str">
        <f aca="false">Config!$B$3</f>
        <v>2610_ff_lansare</v>
      </c>
      <c r="I25" s="10" t="str">
        <f aca="false">Config!$B$4</f>
        <v>general</v>
      </c>
      <c r="J25" s="10" t="str">
        <f aca="false">"https://"&amp;D25&amp;E25&amp;"?utm_source="&amp;F25&amp;"&amp;utm_medium="&amp;G25&amp;"&amp;utm_campaign="&amp;H25&amp;"&amp;utm_content="&amp;I25</f>
        <v>https://eu-ai-audit.eu/?utm_source=aiventure.ro&amp;utm_medium=network&amp;utm_campaign=2610_ff_lansare&amp;utm_content=general</v>
      </c>
    </row>
    <row r="26" customFormat="false" ht="15" hidden="false" customHeight="false" outlineLevel="0" collapsed="false">
      <c r="A26" s="10" t="s">
        <v>49</v>
      </c>
      <c r="B26" s="10" t="str">
        <f aca="false">INDEX('Site-uri'!$B$2:$B$20,MATCH(A26,'Site-uri'!$A$2:$A$20,0))</f>
        <v>aiventure.ro</v>
      </c>
      <c r="C26" s="10" t="s">
        <v>67</v>
      </c>
      <c r="D26" s="10" t="str">
        <f aca="false">INDEX('Site-uri'!$B$2:$B$20,MATCH(C26,'Site-uri'!$A$2:$A$20,0))</f>
        <v>eu-ai-ready.eu</v>
      </c>
      <c r="E26" s="10" t="str">
        <f aca="false">INDEX('Site-uri'!$C$2:$C$20,MATCH(C26,'Site-uri'!$A$2:$A$20,0))</f>
        <v>/</v>
      </c>
      <c r="F26" s="10" t="str">
        <f aca="false">B26</f>
        <v>aiventure.ro</v>
      </c>
      <c r="G26" s="10" t="str">
        <f aca="false">Config!$B$5</f>
        <v>network</v>
      </c>
      <c r="H26" s="10" t="str">
        <f aca="false">Config!$B$3</f>
        <v>2610_ff_lansare</v>
      </c>
      <c r="I26" s="10" t="str">
        <f aca="false">Config!$B$4</f>
        <v>general</v>
      </c>
      <c r="J26" s="10" t="str">
        <f aca="false">"https://"&amp;D26&amp;E26&amp;"?utm_source="&amp;F26&amp;"&amp;utm_medium="&amp;G26&amp;"&amp;utm_campaign="&amp;H26&amp;"&amp;utm_content="&amp;I26</f>
        <v>https://eu-ai-ready.eu/?utm_source=aiventure.ro&amp;utm_medium=network&amp;utm_campaign=2610_ff_lansare&amp;utm_content=general</v>
      </c>
    </row>
    <row r="27" customFormat="false" ht="15" hidden="false" customHeight="false" outlineLevel="0" collapsed="false">
      <c r="A27" s="10" t="s">
        <v>49</v>
      </c>
      <c r="B27" s="10" t="str">
        <f aca="false">INDEX('Site-uri'!$B$2:$B$20,MATCH(A27,'Site-uri'!$A$2:$A$20,0))</f>
        <v>aiventure.ro</v>
      </c>
      <c r="C27" s="10" t="s">
        <v>69</v>
      </c>
      <c r="D27" s="10" t="str">
        <f aca="false">INDEX('Site-uri'!$B$2:$B$20,MATCH(C27,'Site-uri'!$A$2:$A$20,0))</f>
        <v>eu-ai-act.ro</v>
      </c>
      <c r="E27" s="10" t="str">
        <f aca="false">INDEX('Site-uri'!$C$2:$C$20,MATCH(C27,'Site-uri'!$A$2:$A$20,0))</f>
        <v>/</v>
      </c>
      <c r="F27" s="10" t="str">
        <f aca="false">B27</f>
        <v>aiventure.ro</v>
      </c>
      <c r="G27" s="10" t="str">
        <f aca="false">Config!$B$5</f>
        <v>network</v>
      </c>
      <c r="H27" s="10" t="str">
        <f aca="false">Config!$B$3</f>
        <v>2610_ff_lansare</v>
      </c>
      <c r="I27" s="10" t="str">
        <f aca="false">Config!$B$4</f>
        <v>general</v>
      </c>
      <c r="J27" s="10" t="str">
        <f aca="false">"https://"&amp;D27&amp;E27&amp;"?utm_source="&amp;F27&amp;"&amp;utm_medium="&amp;G27&amp;"&amp;utm_campaign="&amp;H27&amp;"&amp;utm_content="&amp;I27</f>
        <v>https://eu-ai-act.ro/?utm_source=aiventure.ro&amp;utm_medium=network&amp;utm_campaign=2610_ff_lansare&amp;utm_content=general</v>
      </c>
    </row>
    <row r="28" customFormat="false" ht="15" hidden="false" customHeight="false" outlineLevel="0" collapsed="false">
      <c r="A28" s="10" t="s">
        <v>49</v>
      </c>
      <c r="B28" s="10" t="str">
        <f aca="false">INDEX('Site-uri'!$B$2:$B$20,MATCH(A28,'Site-uri'!$A$2:$A$20,0))</f>
        <v>aiventure.ro</v>
      </c>
      <c r="C28" s="10" t="s">
        <v>72</v>
      </c>
      <c r="D28" s="10" t="str">
        <f aca="false">INDEX('Site-uri'!$B$2:$B$20,MATCH(C28,'Site-uri'!$A$2:$A$20,0))</f>
        <v>eu-ai-act-ready.eu</v>
      </c>
      <c r="E28" s="10" t="str">
        <f aca="false">INDEX('Site-uri'!$C$2:$C$20,MATCH(C28,'Site-uri'!$A$2:$A$20,0))</f>
        <v>/</v>
      </c>
      <c r="F28" s="10" t="str">
        <f aca="false">B28</f>
        <v>aiventure.ro</v>
      </c>
      <c r="G28" s="10" t="str">
        <f aca="false">Config!$B$5</f>
        <v>network</v>
      </c>
      <c r="H28" s="10" t="str">
        <f aca="false">Config!$B$3</f>
        <v>2610_ff_lansare</v>
      </c>
      <c r="I28" s="10" t="str">
        <f aca="false">Config!$B$4</f>
        <v>general</v>
      </c>
      <c r="J28" s="10" t="str">
        <f aca="false">"https://"&amp;D28&amp;E28&amp;"?utm_source="&amp;F28&amp;"&amp;utm_medium="&amp;G28&amp;"&amp;utm_campaign="&amp;H28&amp;"&amp;utm_content="&amp;I28</f>
        <v>https://eu-ai-act-ready.eu/?utm_source=aiventure.ro&amp;utm_medium=network&amp;utm_campaign=2610_ff_lansare&amp;utm_content=general</v>
      </c>
    </row>
    <row r="29" customFormat="false" ht="15" hidden="false" customHeight="false" outlineLevel="0" collapsed="false">
      <c r="A29" s="10" t="s">
        <v>49</v>
      </c>
      <c r="B29" s="10" t="str">
        <f aca="false">INDEX('Site-uri'!$B$2:$B$20,MATCH(A29,'Site-uri'!$A$2:$A$20,0))</f>
        <v>aiventure.ro</v>
      </c>
      <c r="C29" s="10" t="s">
        <v>75</v>
      </c>
      <c r="D29" s="10" t="str">
        <f aca="false">INDEX('Site-uri'!$B$2:$B$20,MATCH(C29,'Site-uri'!$A$2:$A$20,0))</f>
        <v>eu-112.ro</v>
      </c>
      <c r="E29" s="10" t="str">
        <f aca="false">INDEX('Site-uri'!$C$2:$C$20,MATCH(C29,'Site-uri'!$A$2:$A$20,0))</f>
        <v>/</v>
      </c>
      <c r="F29" s="10" t="str">
        <f aca="false">B29</f>
        <v>aiventure.ro</v>
      </c>
      <c r="G29" s="10" t="str">
        <f aca="false">Config!$B$5</f>
        <v>network</v>
      </c>
      <c r="H29" s="10" t="str">
        <f aca="false">Config!$B$3</f>
        <v>2610_ff_lansare</v>
      </c>
      <c r="I29" s="10" t="str">
        <f aca="false">Config!$B$4</f>
        <v>general</v>
      </c>
      <c r="J29" s="10" t="str">
        <f aca="false">"https://"&amp;D29&amp;E29&amp;"?utm_source="&amp;F29&amp;"&amp;utm_medium="&amp;G29&amp;"&amp;utm_campaign="&amp;H29&amp;"&amp;utm_content="&amp;I29</f>
        <v>https://eu-112.ro/?utm_source=aiventure.ro&amp;utm_medium=network&amp;utm_campaign=2610_ff_lansare&amp;utm_content=general</v>
      </c>
    </row>
    <row r="30" customFormat="false" ht="15" hidden="false" customHeight="false" outlineLevel="0" collapsed="false">
      <c r="A30" s="10" t="s">
        <v>49</v>
      </c>
      <c r="B30" s="10" t="str">
        <f aca="false">INDEX('Site-uri'!$B$2:$B$20,MATCH(A30,'Site-uri'!$A$2:$A$20,0))</f>
        <v>aiventure.ro</v>
      </c>
      <c r="C30" s="10" t="s">
        <v>78</v>
      </c>
      <c r="D30" s="10" t="str">
        <f aca="false">INDEX('Site-uri'!$B$2:$B$20,MATCH(C30,'Site-uri'!$A$2:$A$20,0))</f>
        <v>eu-112.eu</v>
      </c>
      <c r="E30" s="10" t="str">
        <f aca="false">INDEX('Site-uri'!$C$2:$C$20,MATCH(C30,'Site-uri'!$A$2:$A$20,0))</f>
        <v>/</v>
      </c>
      <c r="F30" s="10" t="str">
        <f aca="false">B30</f>
        <v>aiventure.ro</v>
      </c>
      <c r="G30" s="10" t="str">
        <f aca="false">Config!$B$5</f>
        <v>network</v>
      </c>
      <c r="H30" s="10" t="str">
        <f aca="false">Config!$B$3</f>
        <v>2610_ff_lansare</v>
      </c>
      <c r="I30" s="10" t="str">
        <f aca="false">Config!$B$4</f>
        <v>general</v>
      </c>
      <c r="J30" s="10" t="str">
        <f aca="false">"https://"&amp;D30&amp;E30&amp;"?utm_source="&amp;F30&amp;"&amp;utm_medium="&amp;G30&amp;"&amp;utm_campaign="&amp;H30&amp;"&amp;utm_content="&amp;I30</f>
        <v>https://eu-112.eu/?utm_source=aiventure.ro&amp;utm_medium=network&amp;utm_campaign=2610_ff_lansare&amp;utm_content=general</v>
      </c>
    </row>
    <row r="31" customFormat="false" ht="15" hidden="false" customHeight="false" outlineLevel="0" collapsed="false">
      <c r="A31" s="10" t="s">
        <v>49</v>
      </c>
      <c r="B31" s="10" t="str">
        <f aca="false">INDEX('Site-uri'!$B$2:$B$20,MATCH(A31,'Site-uri'!$A$2:$A$20,0))</f>
        <v>aiventure.ro</v>
      </c>
      <c r="C31" s="10" t="s">
        <v>81</v>
      </c>
      <c r="D31" s="10" t="str">
        <f aca="false">INDEX('Site-uri'!$B$2:$B$20,MATCH(C31,'Site-uri'!$A$2:$A$20,0))</f>
        <v>1clic-ia.eu</v>
      </c>
      <c r="E31" s="10" t="str">
        <f aca="false">INDEX('Site-uri'!$C$2:$C$20,MATCH(C31,'Site-uri'!$A$2:$A$20,0))</f>
        <v>/</v>
      </c>
      <c r="F31" s="10" t="str">
        <f aca="false">B31</f>
        <v>aiventure.ro</v>
      </c>
      <c r="G31" s="10" t="str">
        <f aca="false">Config!$B$5</f>
        <v>network</v>
      </c>
      <c r="H31" s="10" t="str">
        <f aca="false">Config!$B$3</f>
        <v>2610_ff_lansare</v>
      </c>
      <c r="I31" s="10" t="str">
        <f aca="false">Config!$B$4</f>
        <v>general</v>
      </c>
      <c r="J31" s="10" t="str">
        <f aca="false">"https://"&amp;D31&amp;E31&amp;"?utm_source="&amp;F31&amp;"&amp;utm_medium="&amp;G31&amp;"&amp;utm_campaign="&amp;H31&amp;"&amp;utm_content="&amp;I31</f>
        <v>https://1clic-ia.eu/?utm_source=aiventure.ro&amp;utm_medium=network&amp;utm_campaign=2610_ff_lansare&amp;utm_content=general</v>
      </c>
    </row>
    <row r="32" customFormat="false" ht="15" hidden="false" customHeight="false" outlineLevel="0" collapsed="false">
      <c r="A32" s="10" t="s">
        <v>49</v>
      </c>
      <c r="B32" s="10" t="str">
        <f aca="false">INDEX('Site-uri'!$B$2:$B$20,MATCH(A32,'Site-uri'!$A$2:$A$20,0))</f>
        <v>aiventure.ro</v>
      </c>
      <c r="C32" s="10" t="s">
        <v>84</v>
      </c>
      <c r="D32" s="10" t="str">
        <f aca="false">INDEX('Site-uri'!$B$2:$B$20,MATCH(C32,'Site-uri'!$A$2:$A$20,0))</f>
        <v>1clic-ia.fr</v>
      </c>
      <c r="E32" s="10" t="str">
        <f aca="false">INDEX('Site-uri'!$C$2:$C$20,MATCH(C32,'Site-uri'!$A$2:$A$20,0))</f>
        <v>/</v>
      </c>
      <c r="F32" s="10" t="str">
        <f aca="false">B32</f>
        <v>aiventure.ro</v>
      </c>
      <c r="G32" s="10" t="str">
        <f aca="false">Config!$B$5</f>
        <v>network</v>
      </c>
      <c r="H32" s="10" t="str">
        <f aca="false">Config!$B$3</f>
        <v>2610_ff_lansare</v>
      </c>
      <c r="I32" s="10" t="str">
        <f aca="false">Config!$B$4</f>
        <v>general</v>
      </c>
      <c r="J32" s="10" t="str">
        <f aca="false">"https://"&amp;D32&amp;E32&amp;"?utm_source="&amp;F32&amp;"&amp;utm_medium="&amp;G32&amp;"&amp;utm_campaign="&amp;H32&amp;"&amp;utm_content="&amp;I32</f>
        <v>https://1clic-ia.fr/?utm_source=aiventure.ro&amp;utm_medium=network&amp;utm_campaign=2610_ff_lansare&amp;utm_content=general</v>
      </c>
    </row>
    <row r="33" customFormat="false" ht="15" hidden="false" customHeight="false" outlineLevel="0" collapsed="false">
      <c r="A33" s="10" t="s">
        <v>49</v>
      </c>
      <c r="B33" s="10" t="str">
        <f aca="false">INDEX('Site-uri'!$B$2:$B$20,MATCH(A33,'Site-uri'!$A$2:$A$20,0))</f>
        <v>aiventure.ro</v>
      </c>
      <c r="C33" s="10" t="s">
        <v>86</v>
      </c>
      <c r="D33" s="10" t="str">
        <f aca="false">INDEX('Site-uri'!$B$2:$B$20,MATCH(C33,'Site-uri'!$A$2:$A$20,0))</f>
        <v>firmsfinder.eu</v>
      </c>
      <c r="E33" s="10" t="str">
        <f aca="false">INDEX('Site-uri'!$C$2:$C$20,MATCH(C33,'Site-uri'!$A$2:$A$20,0))</f>
        <v>/</v>
      </c>
      <c r="F33" s="10" t="str">
        <f aca="false">B33</f>
        <v>aiventure.ro</v>
      </c>
      <c r="G33" s="10" t="str">
        <f aca="false">Config!$B$5</f>
        <v>network</v>
      </c>
      <c r="H33" s="10" t="str">
        <f aca="false">Config!$B$3</f>
        <v>2610_ff_lansare</v>
      </c>
      <c r="I33" s="10" t="str">
        <f aca="false">Config!$B$4</f>
        <v>general</v>
      </c>
      <c r="J33" s="10" t="str">
        <f aca="false">"https://"&amp;D33&amp;E33&amp;"?utm_source="&amp;F33&amp;"&amp;utm_medium="&amp;G33&amp;"&amp;utm_campaign="&amp;H33&amp;"&amp;utm_content="&amp;I33</f>
        <v>https://firmsfinder.eu/?utm_source=aiventure.ro&amp;utm_medium=network&amp;utm_campaign=2610_ff_lansare&amp;utm_content=general</v>
      </c>
    </row>
    <row r="34" customFormat="false" ht="15" hidden="false" customHeight="false" outlineLevel="0" collapsed="false">
      <c r="A34" s="10" t="s">
        <v>49</v>
      </c>
      <c r="B34" s="10" t="str">
        <f aca="false">INDEX('Site-uri'!$B$2:$B$20,MATCH(A34,'Site-uri'!$A$2:$A$20,0))</f>
        <v>aiventure.ro</v>
      </c>
      <c r="C34" s="10" t="s">
        <v>89</v>
      </c>
      <c r="D34" s="10" t="str">
        <f aca="false">INDEX('Site-uri'!$B$2:$B$20,MATCH(C34,'Site-uri'!$A$2:$A$20,0))</f>
        <v>b2b-ai-library.org</v>
      </c>
      <c r="E34" s="10" t="str">
        <f aca="false">INDEX('Site-uri'!$C$2:$C$20,MATCH(C34,'Site-uri'!$A$2:$A$20,0))</f>
        <v>/</v>
      </c>
      <c r="F34" s="10" t="str">
        <f aca="false">B34</f>
        <v>aiventure.ro</v>
      </c>
      <c r="G34" s="10" t="str">
        <f aca="false">Config!$B$5</f>
        <v>network</v>
      </c>
      <c r="H34" s="10" t="str">
        <f aca="false">Config!$B$3</f>
        <v>2610_ff_lansare</v>
      </c>
      <c r="I34" s="10" t="str">
        <f aca="false">Config!$B$4</f>
        <v>general</v>
      </c>
      <c r="J34" s="10" t="str">
        <f aca="false">"https://"&amp;D34&amp;E34&amp;"?utm_source="&amp;F34&amp;"&amp;utm_medium="&amp;G34&amp;"&amp;utm_campaign="&amp;H34&amp;"&amp;utm_content="&amp;I34</f>
        <v>https://b2b-ai-library.org/?utm_source=aiventure.ro&amp;utm_medium=network&amp;utm_campaign=2610_ff_lansare&amp;utm_content=general</v>
      </c>
    </row>
    <row r="35" customFormat="false" ht="15" hidden="false" customHeight="false" outlineLevel="0" collapsed="false">
      <c r="A35" s="10" t="s">
        <v>49</v>
      </c>
      <c r="B35" s="10" t="str">
        <f aca="false">INDEX('Site-uri'!$B$2:$B$20,MATCH(A35,'Site-uri'!$A$2:$A$20,0))</f>
        <v>aiventure.ro</v>
      </c>
      <c r="C35" s="10" t="s">
        <v>91</v>
      </c>
      <c r="D35" s="10" t="str">
        <f aca="false">INDEX('Site-uri'!$B$2:$B$20,MATCH(C35,'Site-uri'!$A$2:$A$20,0))</f>
        <v>the3webs.com</v>
      </c>
      <c r="E35" s="10" t="str">
        <f aca="false">INDEX('Site-uri'!$C$2:$C$20,MATCH(C35,'Site-uri'!$A$2:$A$20,0))</f>
        <v>/</v>
      </c>
      <c r="F35" s="10" t="str">
        <f aca="false">B35</f>
        <v>aiventure.ro</v>
      </c>
      <c r="G35" s="10" t="str">
        <f aca="false">Config!$B$5</f>
        <v>network</v>
      </c>
      <c r="H35" s="10" t="str">
        <f aca="false">Config!$B$3</f>
        <v>2610_ff_lansare</v>
      </c>
      <c r="I35" s="10" t="str">
        <f aca="false">Config!$B$4</f>
        <v>general</v>
      </c>
      <c r="J35" s="10" t="str">
        <f aca="false">"https://"&amp;D35&amp;E35&amp;"?utm_source="&amp;F35&amp;"&amp;utm_medium="&amp;G35&amp;"&amp;utm_campaign="&amp;H35&amp;"&amp;utm_content="&amp;I35</f>
        <v>https://the3webs.com/?utm_source=aiventure.ro&amp;utm_medium=network&amp;utm_campaign=2610_ff_lansare&amp;utm_content=general</v>
      </c>
    </row>
    <row r="36" customFormat="false" ht="15" hidden="false" customHeight="false" outlineLevel="0" collapsed="false">
      <c r="A36" s="10" t="s">
        <v>49</v>
      </c>
      <c r="B36" s="10" t="str">
        <f aca="false">INDEX('Site-uri'!$B$2:$B$20,MATCH(A36,'Site-uri'!$A$2:$A$20,0))</f>
        <v>aiventure.ro</v>
      </c>
      <c r="C36" s="10" t="s">
        <v>94</v>
      </c>
      <c r="D36" s="10" t="str">
        <f aca="false">INDEX('Site-uri'!$B$2:$B$20,MATCH(C36,'Site-uri'!$A$2:$A$20,0))</f>
        <v>floride-e2.com</v>
      </c>
      <c r="E36" s="10" t="str">
        <f aca="false">INDEX('Site-uri'!$C$2:$C$20,MATCH(C36,'Site-uri'!$A$2:$A$20,0))</f>
        <v>/</v>
      </c>
      <c r="F36" s="10" t="str">
        <f aca="false">B36</f>
        <v>aiventure.ro</v>
      </c>
      <c r="G36" s="10" t="str">
        <f aca="false">Config!$B$5</f>
        <v>network</v>
      </c>
      <c r="H36" s="10" t="str">
        <f aca="false">Config!$B$3</f>
        <v>2610_ff_lansare</v>
      </c>
      <c r="I36" s="10" t="str">
        <f aca="false">Config!$B$4</f>
        <v>general</v>
      </c>
      <c r="J36" s="10" t="str">
        <f aca="false">"https://"&amp;D36&amp;E36&amp;"?utm_source="&amp;F36&amp;"&amp;utm_medium="&amp;G36&amp;"&amp;utm_campaign="&amp;H36&amp;"&amp;utm_content="&amp;I36</f>
        <v>https://floride-e2.com/?utm_source=aiventure.ro&amp;utm_medium=network&amp;utm_campaign=2610_ff_lansare&amp;utm_content=general</v>
      </c>
    </row>
    <row r="37" customFormat="false" ht="15" hidden="false" customHeight="false" outlineLevel="0" collapsed="false">
      <c r="A37" s="10" t="s">
        <v>49</v>
      </c>
      <c r="B37" s="10" t="str">
        <f aca="false">INDEX('Site-uri'!$B$2:$B$20,MATCH(A37,'Site-uri'!$A$2:$A$20,0))</f>
        <v>aiventure.ro</v>
      </c>
      <c r="C37" s="10" t="s">
        <v>96</v>
      </c>
      <c r="D37" s="10" t="str">
        <f aca="false">INDEX('Site-uri'!$B$2:$B$20,MATCH(C37,'Site-uri'!$A$2:$A$20,0))</f>
        <v>ecbtax.com</v>
      </c>
      <c r="E37" s="10" t="str">
        <f aca="false">INDEX('Site-uri'!$C$2:$C$20,MATCH(C37,'Site-uri'!$A$2:$A$20,0))</f>
        <v>/</v>
      </c>
      <c r="F37" s="10" t="str">
        <f aca="false">B37</f>
        <v>aiventure.ro</v>
      </c>
      <c r="G37" s="10" t="str">
        <f aca="false">Config!$B$5</f>
        <v>network</v>
      </c>
      <c r="H37" s="10" t="str">
        <f aca="false">Config!$B$3</f>
        <v>2610_ff_lansare</v>
      </c>
      <c r="I37" s="10" t="str">
        <f aca="false">Config!$B$4</f>
        <v>general</v>
      </c>
      <c r="J37" s="10" t="str">
        <f aca="false">"https://"&amp;D37&amp;E37&amp;"?utm_source="&amp;F37&amp;"&amp;utm_medium="&amp;G37&amp;"&amp;utm_campaign="&amp;H37&amp;"&amp;utm_content="&amp;I37</f>
        <v>https://ecbtax.com/?utm_source=aiventure.ro&amp;utm_medium=network&amp;utm_campaign=2610_ff_lansare&amp;utm_content=general</v>
      </c>
    </row>
    <row r="38" customFormat="false" ht="15" hidden="false" customHeight="false" outlineLevel="0" collapsed="false">
      <c r="A38" s="10" t="s">
        <v>52</v>
      </c>
      <c r="B38" s="10" t="str">
        <f aca="false">INDEX('Site-uri'!$B$2:$B$20,MATCH(A38,'Site-uri'!$A$2:$A$20,0))</f>
        <v>aiventure.uk</v>
      </c>
      <c r="C38" s="10" t="s">
        <v>45</v>
      </c>
      <c r="D38" s="10" t="str">
        <f aca="false">INDEX('Site-uri'!$B$2:$B$20,MATCH(C38,'Site-uri'!$A$2:$A$20,0))</f>
        <v>5thelement.ai</v>
      </c>
      <c r="E38" s="10" t="str">
        <f aca="false">INDEX('Site-uri'!$C$2:$C$20,MATCH(C38,'Site-uri'!$A$2:$A$20,0))</f>
        <v>/</v>
      </c>
      <c r="F38" s="10" t="str">
        <f aca="false">B38</f>
        <v>aiventure.uk</v>
      </c>
      <c r="G38" s="10" t="str">
        <f aca="false">Config!$B$5</f>
        <v>network</v>
      </c>
      <c r="H38" s="10" t="str">
        <f aca="false">Config!$B$3</f>
        <v>2610_ff_lansare</v>
      </c>
      <c r="I38" s="10" t="str">
        <f aca="false">Config!$B$4</f>
        <v>general</v>
      </c>
      <c r="J38" s="10" t="str">
        <f aca="false">"https://"&amp;D38&amp;E38&amp;"?utm_source="&amp;F38&amp;"&amp;utm_medium="&amp;G38&amp;"&amp;utm_campaign="&amp;H38&amp;"&amp;utm_content="&amp;I38</f>
        <v>https://5thelement.ai/?utm_source=aiventure.uk&amp;utm_medium=network&amp;utm_campaign=2610_ff_lansare&amp;utm_content=general</v>
      </c>
    </row>
    <row r="39" customFormat="false" ht="15" hidden="false" customHeight="false" outlineLevel="0" collapsed="false">
      <c r="A39" s="10" t="s">
        <v>52</v>
      </c>
      <c r="B39" s="10" t="str">
        <f aca="false">INDEX('Site-uri'!$B$2:$B$20,MATCH(A39,'Site-uri'!$A$2:$A$20,0))</f>
        <v>aiventure.uk</v>
      </c>
      <c r="C39" s="10" t="s">
        <v>49</v>
      </c>
      <c r="D39" s="10" t="str">
        <f aca="false">INDEX('Site-uri'!$B$2:$B$20,MATCH(C39,'Site-uri'!$A$2:$A$20,0))</f>
        <v>aiventure.ro</v>
      </c>
      <c r="E39" s="10" t="str">
        <f aca="false">INDEX('Site-uri'!$C$2:$C$20,MATCH(C39,'Site-uri'!$A$2:$A$20,0))</f>
        <v>/</v>
      </c>
      <c r="F39" s="10" t="str">
        <f aca="false">B39</f>
        <v>aiventure.uk</v>
      </c>
      <c r="G39" s="10" t="str">
        <f aca="false">Config!$B$5</f>
        <v>network</v>
      </c>
      <c r="H39" s="10" t="str">
        <f aca="false">Config!$B$3</f>
        <v>2610_ff_lansare</v>
      </c>
      <c r="I39" s="10" t="str">
        <f aca="false">Config!$B$4</f>
        <v>general</v>
      </c>
      <c r="J39" s="10" t="str">
        <f aca="false">"https://"&amp;D39&amp;E39&amp;"?utm_source="&amp;F39&amp;"&amp;utm_medium="&amp;G39&amp;"&amp;utm_campaign="&amp;H39&amp;"&amp;utm_content="&amp;I39</f>
        <v>https://aiventure.ro/?utm_source=aiventure.uk&amp;utm_medium=network&amp;utm_campaign=2610_ff_lansare&amp;utm_content=general</v>
      </c>
    </row>
    <row r="40" customFormat="false" ht="15" hidden="false" customHeight="false" outlineLevel="0" collapsed="false">
      <c r="A40" s="10" t="s">
        <v>52</v>
      </c>
      <c r="B40" s="10" t="str">
        <f aca="false">INDEX('Site-uri'!$B$2:$B$20,MATCH(A40,'Site-uri'!$A$2:$A$20,0))</f>
        <v>aiventure.uk</v>
      </c>
      <c r="C40" s="10" t="s">
        <v>55</v>
      </c>
      <c r="D40" s="10" t="str">
        <f aca="false">INDEX('Site-uri'!$B$2:$B$20,MATCH(C40,'Site-uri'!$A$2:$A$20,0))</f>
        <v>3webobs.com</v>
      </c>
      <c r="E40" s="10" t="str">
        <f aca="false">INDEX('Site-uri'!$C$2:$C$20,MATCH(C40,'Site-uri'!$A$2:$A$20,0))</f>
        <v>/</v>
      </c>
      <c r="F40" s="10" t="str">
        <f aca="false">B40</f>
        <v>aiventure.uk</v>
      </c>
      <c r="G40" s="10" t="str">
        <f aca="false">Config!$B$5</f>
        <v>network</v>
      </c>
      <c r="H40" s="10" t="str">
        <f aca="false">Config!$B$3</f>
        <v>2610_ff_lansare</v>
      </c>
      <c r="I40" s="10" t="str">
        <f aca="false">Config!$B$4</f>
        <v>general</v>
      </c>
      <c r="J40" s="10" t="str">
        <f aca="false">"https://"&amp;D40&amp;E40&amp;"?utm_source="&amp;F40&amp;"&amp;utm_medium="&amp;G40&amp;"&amp;utm_campaign="&amp;H40&amp;"&amp;utm_content="&amp;I40</f>
        <v>https://3webobs.com/?utm_source=aiventure.uk&amp;utm_medium=network&amp;utm_campaign=2610_ff_lansare&amp;utm_content=general</v>
      </c>
    </row>
    <row r="41" customFormat="false" ht="15" hidden="false" customHeight="false" outlineLevel="0" collapsed="false">
      <c r="A41" s="10" t="s">
        <v>52</v>
      </c>
      <c r="B41" s="10" t="str">
        <f aca="false">INDEX('Site-uri'!$B$2:$B$20,MATCH(A41,'Site-uri'!$A$2:$A$20,0))</f>
        <v>aiventure.uk</v>
      </c>
      <c r="C41" s="10" t="s">
        <v>58</v>
      </c>
      <c r="D41" s="10" t="str">
        <f aca="false">INDEX('Site-uri'!$B$2:$B$20,MATCH(C41,'Site-uri'!$A$2:$A$20,0))</f>
        <v>ai-lens.eu</v>
      </c>
      <c r="E41" s="10" t="str">
        <f aca="false">INDEX('Site-uri'!$C$2:$C$20,MATCH(C41,'Site-uri'!$A$2:$A$20,0))</f>
        <v>/</v>
      </c>
      <c r="F41" s="10" t="str">
        <f aca="false">B41</f>
        <v>aiventure.uk</v>
      </c>
      <c r="G41" s="10" t="str">
        <f aca="false">Config!$B$5</f>
        <v>network</v>
      </c>
      <c r="H41" s="10" t="str">
        <f aca="false">Config!$B$3</f>
        <v>2610_ff_lansare</v>
      </c>
      <c r="I41" s="10" t="str">
        <f aca="false">Config!$B$4</f>
        <v>general</v>
      </c>
      <c r="J41" s="10" t="str">
        <f aca="false">"https://"&amp;D41&amp;E41&amp;"?utm_source="&amp;F41&amp;"&amp;utm_medium="&amp;G41&amp;"&amp;utm_campaign="&amp;H41&amp;"&amp;utm_content="&amp;I41</f>
        <v>https://ai-lens.eu/?utm_source=aiventure.uk&amp;utm_medium=network&amp;utm_campaign=2610_ff_lansare&amp;utm_content=general</v>
      </c>
    </row>
    <row r="42" customFormat="false" ht="15" hidden="false" customHeight="false" outlineLevel="0" collapsed="false">
      <c r="A42" s="10" t="s">
        <v>52</v>
      </c>
      <c r="B42" s="10" t="str">
        <f aca="false">INDEX('Site-uri'!$B$2:$B$20,MATCH(A42,'Site-uri'!$A$2:$A$20,0))</f>
        <v>aiventure.uk</v>
      </c>
      <c r="C42" s="10" t="s">
        <v>61</v>
      </c>
      <c r="D42" s="10" t="str">
        <f aca="false">INDEX('Site-uri'!$B$2:$B$20,MATCH(C42,'Site-uri'!$A$2:$A$20,0))</f>
        <v>aireadyinjector.com</v>
      </c>
      <c r="E42" s="10" t="str">
        <f aca="false">INDEX('Site-uri'!$C$2:$C$20,MATCH(C42,'Site-uri'!$A$2:$A$20,0))</f>
        <v>/</v>
      </c>
      <c r="F42" s="10" t="str">
        <f aca="false">B42</f>
        <v>aiventure.uk</v>
      </c>
      <c r="G42" s="10" t="str">
        <f aca="false">Config!$B$5</f>
        <v>network</v>
      </c>
      <c r="H42" s="10" t="str">
        <f aca="false">Config!$B$3</f>
        <v>2610_ff_lansare</v>
      </c>
      <c r="I42" s="10" t="str">
        <f aca="false">Config!$B$4</f>
        <v>general</v>
      </c>
      <c r="J42" s="10" t="str">
        <f aca="false">"https://"&amp;D42&amp;E42&amp;"?utm_source="&amp;F42&amp;"&amp;utm_medium="&amp;G42&amp;"&amp;utm_campaign="&amp;H42&amp;"&amp;utm_content="&amp;I42</f>
        <v>https://aireadyinjector.com/?utm_source=aiventure.uk&amp;utm_medium=network&amp;utm_campaign=2610_ff_lansare&amp;utm_content=general</v>
      </c>
    </row>
    <row r="43" customFormat="false" ht="15" hidden="false" customHeight="false" outlineLevel="0" collapsed="false">
      <c r="A43" s="10" t="s">
        <v>52</v>
      </c>
      <c r="B43" s="10" t="str">
        <f aca="false">INDEX('Site-uri'!$B$2:$B$20,MATCH(A43,'Site-uri'!$A$2:$A$20,0))</f>
        <v>aiventure.uk</v>
      </c>
      <c r="C43" s="10" t="s">
        <v>64</v>
      </c>
      <c r="D43" s="10" t="str">
        <f aca="false">INDEX('Site-uri'!$B$2:$B$20,MATCH(C43,'Site-uri'!$A$2:$A$20,0))</f>
        <v>eu-ai-audit.eu</v>
      </c>
      <c r="E43" s="10" t="str">
        <f aca="false">INDEX('Site-uri'!$C$2:$C$20,MATCH(C43,'Site-uri'!$A$2:$A$20,0))</f>
        <v>/</v>
      </c>
      <c r="F43" s="10" t="str">
        <f aca="false">B43</f>
        <v>aiventure.uk</v>
      </c>
      <c r="G43" s="10" t="str">
        <f aca="false">Config!$B$5</f>
        <v>network</v>
      </c>
      <c r="H43" s="10" t="str">
        <f aca="false">Config!$B$3</f>
        <v>2610_ff_lansare</v>
      </c>
      <c r="I43" s="10" t="str">
        <f aca="false">Config!$B$4</f>
        <v>general</v>
      </c>
      <c r="J43" s="10" t="str">
        <f aca="false">"https://"&amp;D43&amp;E43&amp;"?utm_source="&amp;F43&amp;"&amp;utm_medium="&amp;G43&amp;"&amp;utm_campaign="&amp;H43&amp;"&amp;utm_content="&amp;I43</f>
        <v>https://eu-ai-audit.eu/?utm_source=aiventure.uk&amp;utm_medium=network&amp;utm_campaign=2610_ff_lansare&amp;utm_content=general</v>
      </c>
    </row>
    <row r="44" customFormat="false" ht="15" hidden="false" customHeight="false" outlineLevel="0" collapsed="false">
      <c r="A44" s="10" t="s">
        <v>52</v>
      </c>
      <c r="B44" s="10" t="str">
        <f aca="false">INDEX('Site-uri'!$B$2:$B$20,MATCH(A44,'Site-uri'!$A$2:$A$20,0))</f>
        <v>aiventure.uk</v>
      </c>
      <c r="C44" s="10" t="s">
        <v>67</v>
      </c>
      <c r="D44" s="10" t="str">
        <f aca="false">INDEX('Site-uri'!$B$2:$B$20,MATCH(C44,'Site-uri'!$A$2:$A$20,0))</f>
        <v>eu-ai-ready.eu</v>
      </c>
      <c r="E44" s="10" t="str">
        <f aca="false">INDEX('Site-uri'!$C$2:$C$20,MATCH(C44,'Site-uri'!$A$2:$A$20,0))</f>
        <v>/</v>
      </c>
      <c r="F44" s="10" t="str">
        <f aca="false">B44</f>
        <v>aiventure.uk</v>
      </c>
      <c r="G44" s="10" t="str">
        <f aca="false">Config!$B$5</f>
        <v>network</v>
      </c>
      <c r="H44" s="10" t="str">
        <f aca="false">Config!$B$3</f>
        <v>2610_ff_lansare</v>
      </c>
      <c r="I44" s="10" t="str">
        <f aca="false">Config!$B$4</f>
        <v>general</v>
      </c>
      <c r="J44" s="10" t="str">
        <f aca="false">"https://"&amp;D44&amp;E44&amp;"?utm_source="&amp;F44&amp;"&amp;utm_medium="&amp;G44&amp;"&amp;utm_campaign="&amp;H44&amp;"&amp;utm_content="&amp;I44</f>
        <v>https://eu-ai-ready.eu/?utm_source=aiventure.uk&amp;utm_medium=network&amp;utm_campaign=2610_ff_lansare&amp;utm_content=general</v>
      </c>
    </row>
    <row r="45" customFormat="false" ht="15" hidden="false" customHeight="false" outlineLevel="0" collapsed="false">
      <c r="A45" s="10" t="s">
        <v>52</v>
      </c>
      <c r="B45" s="10" t="str">
        <f aca="false">INDEX('Site-uri'!$B$2:$B$20,MATCH(A45,'Site-uri'!$A$2:$A$20,0))</f>
        <v>aiventure.uk</v>
      </c>
      <c r="C45" s="10" t="s">
        <v>69</v>
      </c>
      <c r="D45" s="10" t="str">
        <f aca="false">INDEX('Site-uri'!$B$2:$B$20,MATCH(C45,'Site-uri'!$A$2:$A$20,0))</f>
        <v>eu-ai-act.ro</v>
      </c>
      <c r="E45" s="10" t="str">
        <f aca="false">INDEX('Site-uri'!$C$2:$C$20,MATCH(C45,'Site-uri'!$A$2:$A$20,0))</f>
        <v>/</v>
      </c>
      <c r="F45" s="10" t="str">
        <f aca="false">B45</f>
        <v>aiventure.uk</v>
      </c>
      <c r="G45" s="10" t="str">
        <f aca="false">Config!$B$5</f>
        <v>network</v>
      </c>
      <c r="H45" s="10" t="str">
        <f aca="false">Config!$B$3</f>
        <v>2610_ff_lansare</v>
      </c>
      <c r="I45" s="10" t="str">
        <f aca="false">Config!$B$4</f>
        <v>general</v>
      </c>
      <c r="J45" s="10" t="str">
        <f aca="false">"https://"&amp;D45&amp;E45&amp;"?utm_source="&amp;F45&amp;"&amp;utm_medium="&amp;G45&amp;"&amp;utm_campaign="&amp;H45&amp;"&amp;utm_content="&amp;I45</f>
        <v>https://eu-ai-act.ro/?utm_source=aiventure.uk&amp;utm_medium=network&amp;utm_campaign=2610_ff_lansare&amp;utm_content=general</v>
      </c>
    </row>
    <row r="46" customFormat="false" ht="15" hidden="false" customHeight="false" outlineLevel="0" collapsed="false">
      <c r="A46" s="10" t="s">
        <v>52</v>
      </c>
      <c r="B46" s="10" t="str">
        <f aca="false">INDEX('Site-uri'!$B$2:$B$20,MATCH(A46,'Site-uri'!$A$2:$A$20,0))</f>
        <v>aiventure.uk</v>
      </c>
      <c r="C46" s="10" t="s">
        <v>72</v>
      </c>
      <c r="D46" s="10" t="str">
        <f aca="false">INDEX('Site-uri'!$B$2:$B$20,MATCH(C46,'Site-uri'!$A$2:$A$20,0))</f>
        <v>eu-ai-act-ready.eu</v>
      </c>
      <c r="E46" s="10" t="str">
        <f aca="false">INDEX('Site-uri'!$C$2:$C$20,MATCH(C46,'Site-uri'!$A$2:$A$20,0))</f>
        <v>/</v>
      </c>
      <c r="F46" s="10" t="str">
        <f aca="false">B46</f>
        <v>aiventure.uk</v>
      </c>
      <c r="G46" s="10" t="str">
        <f aca="false">Config!$B$5</f>
        <v>network</v>
      </c>
      <c r="H46" s="10" t="str">
        <f aca="false">Config!$B$3</f>
        <v>2610_ff_lansare</v>
      </c>
      <c r="I46" s="10" t="str">
        <f aca="false">Config!$B$4</f>
        <v>general</v>
      </c>
      <c r="J46" s="10" t="str">
        <f aca="false">"https://"&amp;D46&amp;E46&amp;"?utm_source="&amp;F46&amp;"&amp;utm_medium="&amp;G46&amp;"&amp;utm_campaign="&amp;H46&amp;"&amp;utm_content="&amp;I46</f>
        <v>https://eu-ai-act-ready.eu/?utm_source=aiventure.uk&amp;utm_medium=network&amp;utm_campaign=2610_ff_lansare&amp;utm_content=general</v>
      </c>
    </row>
    <row r="47" customFormat="false" ht="15" hidden="false" customHeight="false" outlineLevel="0" collapsed="false">
      <c r="A47" s="10" t="s">
        <v>52</v>
      </c>
      <c r="B47" s="10" t="str">
        <f aca="false">INDEX('Site-uri'!$B$2:$B$20,MATCH(A47,'Site-uri'!$A$2:$A$20,0))</f>
        <v>aiventure.uk</v>
      </c>
      <c r="C47" s="10" t="s">
        <v>75</v>
      </c>
      <c r="D47" s="10" t="str">
        <f aca="false">INDEX('Site-uri'!$B$2:$B$20,MATCH(C47,'Site-uri'!$A$2:$A$20,0))</f>
        <v>eu-112.ro</v>
      </c>
      <c r="E47" s="10" t="str">
        <f aca="false">INDEX('Site-uri'!$C$2:$C$20,MATCH(C47,'Site-uri'!$A$2:$A$20,0))</f>
        <v>/</v>
      </c>
      <c r="F47" s="10" t="str">
        <f aca="false">B47</f>
        <v>aiventure.uk</v>
      </c>
      <c r="G47" s="10" t="str">
        <f aca="false">Config!$B$5</f>
        <v>network</v>
      </c>
      <c r="H47" s="10" t="str">
        <f aca="false">Config!$B$3</f>
        <v>2610_ff_lansare</v>
      </c>
      <c r="I47" s="10" t="str">
        <f aca="false">Config!$B$4</f>
        <v>general</v>
      </c>
      <c r="J47" s="10" t="str">
        <f aca="false">"https://"&amp;D47&amp;E47&amp;"?utm_source="&amp;F47&amp;"&amp;utm_medium="&amp;G47&amp;"&amp;utm_campaign="&amp;H47&amp;"&amp;utm_content="&amp;I47</f>
        <v>https://eu-112.ro/?utm_source=aiventure.uk&amp;utm_medium=network&amp;utm_campaign=2610_ff_lansare&amp;utm_content=general</v>
      </c>
    </row>
    <row r="48" customFormat="false" ht="15" hidden="false" customHeight="false" outlineLevel="0" collapsed="false">
      <c r="A48" s="10" t="s">
        <v>52</v>
      </c>
      <c r="B48" s="10" t="str">
        <f aca="false">INDEX('Site-uri'!$B$2:$B$20,MATCH(A48,'Site-uri'!$A$2:$A$20,0))</f>
        <v>aiventure.uk</v>
      </c>
      <c r="C48" s="10" t="s">
        <v>78</v>
      </c>
      <c r="D48" s="10" t="str">
        <f aca="false">INDEX('Site-uri'!$B$2:$B$20,MATCH(C48,'Site-uri'!$A$2:$A$20,0))</f>
        <v>eu-112.eu</v>
      </c>
      <c r="E48" s="10" t="str">
        <f aca="false">INDEX('Site-uri'!$C$2:$C$20,MATCH(C48,'Site-uri'!$A$2:$A$20,0))</f>
        <v>/</v>
      </c>
      <c r="F48" s="10" t="str">
        <f aca="false">B48</f>
        <v>aiventure.uk</v>
      </c>
      <c r="G48" s="10" t="str">
        <f aca="false">Config!$B$5</f>
        <v>network</v>
      </c>
      <c r="H48" s="10" t="str">
        <f aca="false">Config!$B$3</f>
        <v>2610_ff_lansare</v>
      </c>
      <c r="I48" s="10" t="str">
        <f aca="false">Config!$B$4</f>
        <v>general</v>
      </c>
      <c r="J48" s="10" t="str">
        <f aca="false">"https://"&amp;D48&amp;E48&amp;"?utm_source="&amp;F48&amp;"&amp;utm_medium="&amp;G48&amp;"&amp;utm_campaign="&amp;H48&amp;"&amp;utm_content="&amp;I48</f>
        <v>https://eu-112.eu/?utm_source=aiventure.uk&amp;utm_medium=network&amp;utm_campaign=2610_ff_lansare&amp;utm_content=general</v>
      </c>
    </row>
    <row r="49" customFormat="false" ht="15" hidden="false" customHeight="false" outlineLevel="0" collapsed="false">
      <c r="A49" s="10" t="s">
        <v>52</v>
      </c>
      <c r="B49" s="10" t="str">
        <f aca="false">INDEX('Site-uri'!$B$2:$B$20,MATCH(A49,'Site-uri'!$A$2:$A$20,0))</f>
        <v>aiventure.uk</v>
      </c>
      <c r="C49" s="10" t="s">
        <v>81</v>
      </c>
      <c r="D49" s="10" t="str">
        <f aca="false">INDEX('Site-uri'!$B$2:$B$20,MATCH(C49,'Site-uri'!$A$2:$A$20,0))</f>
        <v>1clic-ia.eu</v>
      </c>
      <c r="E49" s="10" t="str">
        <f aca="false">INDEX('Site-uri'!$C$2:$C$20,MATCH(C49,'Site-uri'!$A$2:$A$20,0))</f>
        <v>/</v>
      </c>
      <c r="F49" s="10" t="str">
        <f aca="false">B49</f>
        <v>aiventure.uk</v>
      </c>
      <c r="G49" s="10" t="str">
        <f aca="false">Config!$B$5</f>
        <v>network</v>
      </c>
      <c r="H49" s="10" t="str">
        <f aca="false">Config!$B$3</f>
        <v>2610_ff_lansare</v>
      </c>
      <c r="I49" s="10" t="str">
        <f aca="false">Config!$B$4</f>
        <v>general</v>
      </c>
      <c r="J49" s="10" t="str">
        <f aca="false">"https://"&amp;D49&amp;E49&amp;"?utm_source="&amp;F49&amp;"&amp;utm_medium="&amp;G49&amp;"&amp;utm_campaign="&amp;H49&amp;"&amp;utm_content="&amp;I49</f>
        <v>https://1clic-ia.eu/?utm_source=aiventure.uk&amp;utm_medium=network&amp;utm_campaign=2610_ff_lansare&amp;utm_content=general</v>
      </c>
    </row>
    <row r="50" customFormat="false" ht="15" hidden="false" customHeight="false" outlineLevel="0" collapsed="false">
      <c r="A50" s="10" t="s">
        <v>52</v>
      </c>
      <c r="B50" s="10" t="str">
        <f aca="false">INDEX('Site-uri'!$B$2:$B$20,MATCH(A50,'Site-uri'!$A$2:$A$20,0))</f>
        <v>aiventure.uk</v>
      </c>
      <c r="C50" s="10" t="s">
        <v>84</v>
      </c>
      <c r="D50" s="10" t="str">
        <f aca="false">INDEX('Site-uri'!$B$2:$B$20,MATCH(C50,'Site-uri'!$A$2:$A$20,0))</f>
        <v>1clic-ia.fr</v>
      </c>
      <c r="E50" s="10" t="str">
        <f aca="false">INDEX('Site-uri'!$C$2:$C$20,MATCH(C50,'Site-uri'!$A$2:$A$20,0))</f>
        <v>/</v>
      </c>
      <c r="F50" s="10" t="str">
        <f aca="false">B50</f>
        <v>aiventure.uk</v>
      </c>
      <c r="G50" s="10" t="str">
        <f aca="false">Config!$B$5</f>
        <v>network</v>
      </c>
      <c r="H50" s="10" t="str">
        <f aca="false">Config!$B$3</f>
        <v>2610_ff_lansare</v>
      </c>
      <c r="I50" s="10" t="str">
        <f aca="false">Config!$B$4</f>
        <v>general</v>
      </c>
      <c r="J50" s="10" t="str">
        <f aca="false">"https://"&amp;D50&amp;E50&amp;"?utm_source="&amp;F50&amp;"&amp;utm_medium="&amp;G50&amp;"&amp;utm_campaign="&amp;H50&amp;"&amp;utm_content="&amp;I50</f>
        <v>https://1clic-ia.fr/?utm_source=aiventure.uk&amp;utm_medium=network&amp;utm_campaign=2610_ff_lansare&amp;utm_content=general</v>
      </c>
    </row>
    <row r="51" customFormat="false" ht="15" hidden="false" customHeight="false" outlineLevel="0" collapsed="false">
      <c r="A51" s="10" t="s">
        <v>52</v>
      </c>
      <c r="B51" s="10" t="str">
        <f aca="false">INDEX('Site-uri'!$B$2:$B$20,MATCH(A51,'Site-uri'!$A$2:$A$20,0))</f>
        <v>aiventure.uk</v>
      </c>
      <c r="C51" s="10" t="s">
        <v>86</v>
      </c>
      <c r="D51" s="10" t="str">
        <f aca="false">INDEX('Site-uri'!$B$2:$B$20,MATCH(C51,'Site-uri'!$A$2:$A$20,0))</f>
        <v>firmsfinder.eu</v>
      </c>
      <c r="E51" s="10" t="str">
        <f aca="false">INDEX('Site-uri'!$C$2:$C$20,MATCH(C51,'Site-uri'!$A$2:$A$20,0))</f>
        <v>/</v>
      </c>
      <c r="F51" s="10" t="str">
        <f aca="false">B51</f>
        <v>aiventure.uk</v>
      </c>
      <c r="G51" s="10" t="str">
        <f aca="false">Config!$B$5</f>
        <v>network</v>
      </c>
      <c r="H51" s="10" t="str">
        <f aca="false">Config!$B$3</f>
        <v>2610_ff_lansare</v>
      </c>
      <c r="I51" s="10" t="str">
        <f aca="false">Config!$B$4</f>
        <v>general</v>
      </c>
      <c r="J51" s="10" t="str">
        <f aca="false">"https://"&amp;D51&amp;E51&amp;"?utm_source="&amp;F51&amp;"&amp;utm_medium="&amp;G51&amp;"&amp;utm_campaign="&amp;H51&amp;"&amp;utm_content="&amp;I51</f>
        <v>https://firmsfinder.eu/?utm_source=aiventure.uk&amp;utm_medium=network&amp;utm_campaign=2610_ff_lansare&amp;utm_content=general</v>
      </c>
    </row>
    <row r="52" customFormat="false" ht="15" hidden="false" customHeight="false" outlineLevel="0" collapsed="false">
      <c r="A52" s="10" t="s">
        <v>52</v>
      </c>
      <c r="B52" s="10" t="str">
        <f aca="false">INDEX('Site-uri'!$B$2:$B$20,MATCH(A52,'Site-uri'!$A$2:$A$20,0))</f>
        <v>aiventure.uk</v>
      </c>
      <c r="C52" s="10" t="s">
        <v>89</v>
      </c>
      <c r="D52" s="10" t="str">
        <f aca="false">INDEX('Site-uri'!$B$2:$B$20,MATCH(C52,'Site-uri'!$A$2:$A$20,0))</f>
        <v>b2b-ai-library.org</v>
      </c>
      <c r="E52" s="10" t="str">
        <f aca="false">INDEX('Site-uri'!$C$2:$C$20,MATCH(C52,'Site-uri'!$A$2:$A$20,0))</f>
        <v>/</v>
      </c>
      <c r="F52" s="10" t="str">
        <f aca="false">B52</f>
        <v>aiventure.uk</v>
      </c>
      <c r="G52" s="10" t="str">
        <f aca="false">Config!$B$5</f>
        <v>network</v>
      </c>
      <c r="H52" s="10" t="str">
        <f aca="false">Config!$B$3</f>
        <v>2610_ff_lansare</v>
      </c>
      <c r="I52" s="10" t="str">
        <f aca="false">Config!$B$4</f>
        <v>general</v>
      </c>
      <c r="J52" s="10" t="str">
        <f aca="false">"https://"&amp;D52&amp;E52&amp;"?utm_source="&amp;F52&amp;"&amp;utm_medium="&amp;G52&amp;"&amp;utm_campaign="&amp;H52&amp;"&amp;utm_content="&amp;I52</f>
        <v>https://b2b-ai-library.org/?utm_source=aiventure.uk&amp;utm_medium=network&amp;utm_campaign=2610_ff_lansare&amp;utm_content=general</v>
      </c>
    </row>
    <row r="53" customFormat="false" ht="15" hidden="false" customHeight="false" outlineLevel="0" collapsed="false">
      <c r="A53" s="10" t="s">
        <v>52</v>
      </c>
      <c r="B53" s="10" t="str">
        <f aca="false">INDEX('Site-uri'!$B$2:$B$20,MATCH(A53,'Site-uri'!$A$2:$A$20,0))</f>
        <v>aiventure.uk</v>
      </c>
      <c r="C53" s="10" t="s">
        <v>91</v>
      </c>
      <c r="D53" s="10" t="str">
        <f aca="false">INDEX('Site-uri'!$B$2:$B$20,MATCH(C53,'Site-uri'!$A$2:$A$20,0))</f>
        <v>the3webs.com</v>
      </c>
      <c r="E53" s="10" t="str">
        <f aca="false">INDEX('Site-uri'!$C$2:$C$20,MATCH(C53,'Site-uri'!$A$2:$A$20,0))</f>
        <v>/</v>
      </c>
      <c r="F53" s="10" t="str">
        <f aca="false">B53</f>
        <v>aiventure.uk</v>
      </c>
      <c r="G53" s="10" t="str">
        <f aca="false">Config!$B$5</f>
        <v>network</v>
      </c>
      <c r="H53" s="10" t="str">
        <f aca="false">Config!$B$3</f>
        <v>2610_ff_lansare</v>
      </c>
      <c r="I53" s="10" t="str">
        <f aca="false">Config!$B$4</f>
        <v>general</v>
      </c>
      <c r="J53" s="10" t="str">
        <f aca="false">"https://"&amp;D53&amp;E53&amp;"?utm_source="&amp;F53&amp;"&amp;utm_medium="&amp;G53&amp;"&amp;utm_campaign="&amp;H53&amp;"&amp;utm_content="&amp;I53</f>
        <v>https://the3webs.com/?utm_source=aiventure.uk&amp;utm_medium=network&amp;utm_campaign=2610_ff_lansare&amp;utm_content=general</v>
      </c>
    </row>
    <row r="54" customFormat="false" ht="15" hidden="false" customHeight="false" outlineLevel="0" collapsed="false">
      <c r="A54" s="10" t="s">
        <v>52</v>
      </c>
      <c r="B54" s="10" t="str">
        <f aca="false">INDEX('Site-uri'!$B$2:$B$20,MATCH(A54,'Site-uri'!$A$2:$A$20,0))</f>
        <v>aiventure.uk</v>
      </c>
      <c r="C54" s="10" t="s">
        <v>94</v>
      </c>
      <c r="D54" s="10" t="str">
        <f aca="false">INDEX('Site-uri'!$B$2:$B$20,MATCH(C54,'Site-uri'!$A$2:$A$20,0))</f>
        <v>floride-e2.com</v>
      </c>
      <c r="E54" s="10" t="str">
        <f aca="false">INDEX('Site-uri'!$C$2:$C$20,MATCH(C54,'Site-uri'!$A$2:$A$20,0))</f>
        <v>/</v>
      </c>
      <c r="F54" s="10" t="str">
        <f aca="false">B54</f>
        <v>aiventure.uk</v>
      </c>
      <c r="G54" s="10" t="str">
        <f aca="false">Config!$B$5</f>
        <v>network</v>
      </c>
      <c r="H54" s="10" t="str">
        <f aca="false">Config!$B$3</f>
        <v>2610_ff_lansare</v>
      </c>
      <c r="I54" s="10" t="str">
        <f aca="false">Config!$B$4</f>
        <v>general</v>
      </c>
      <c r="J54" s="10" t="str">
        <f aca="false">"https://"&amp;D54&amp;E54&amp;"?utm_source="&amp;F54&amp;"&amp;utm_medium="&amp;G54&amp;"&amp;utm_campaign="&amp;H54&amp;"&amp;utm_content="&amp;I54</f>
        <v>https://floride-e2.com/?utm_source=aiventure.uk&amp;utm_medium=network&amp;utm_campaign=2610_ff_lansare&amp;utm_content=general</v>
      </c>
    </row>
    <row r="55" customFormat="false" ht="15" hidden="false" customHeight="false" outlineLevel="0" collapsed="false">
      <c r="A55" s="10" t="s">
        <v>52</v>
      </c>
      <c r="B55" s="10" t="str">
        <f aca="false">INDEX('Site-uri'!$B$2:$B$20,MATCH(A55,'Site-uri'!$A$2:$A$20,0))</f>
        <v>aiventure.uk</v>
      </c>
      <c r="C55" s="10" t="s">
        <v>96</v>
      </c>
      <c r="D55" s="10" t="str">
        <f aca="false">INDEX('Site-uri'!$B$2:$B$20,MATCH(C55,'Site-uri'!$A$2:$A$20,0))</f>
        <v>ecbtax.com</v>
      </c>
      <c r="E55" s="10" t="str">
        <f aca="false">INDEX('Site-uri'!$C$2:$C$20,MATCH(C55,'Site-uri'!$A$2:$A$20,0))</f>
        <v>/</v>
      </c>
      <c r="F55" s="10" t="str">
        <f aca="false">B55</f>
        <v>aiventure.uk</v>
      </c>
      <c r="G55" s="10" t="str">
        <f aca="false">Config!$B$5</f>
        <v>network</v>
      </c>
      <c r="H55" s="10" t="str">
        <f aca="false">Config!$B$3</f>
        <v>2610_ff_lansare</v>
      </c>
      <c r="I55" s="10" t="str">
        <f aca="false">Config!$B$4</f>
        <v>general</v>
      </c>
      <c r="J55" s="10" t="str">
        <f aca="false">"https://"&amp;D55&amp;E55&amp;"?utm_source="&amp;F55&amp;"&amp;utm_medium="&amp;G55&amp;"&amp;utm_campaign="&amp;H55&amp;"&amp;utm_content="&amp;I55</f>
        <v>https://ecbtax.com/?utm_source=aiventure.uk&amp;utm_medium=network&amp;utm_campaign=2610_ff_lansare&amp;utm_content=general</v>
      </c>
    </row>
    <row r="56" customFormat="false" ht="15" hidden="false" customHeight="false" outlineLevel="0" collapsed="false">
      <c r="A56" s="10" t="s">
        <v>55</v>
      </c>
      <c r="B56" s="10" t="str">
        <f aca="false">INDEX('Site-uri'!$B$2:$B$20,MATCH(A56,'Site-uri'!$A$2:$A$20,0))</f>
        <v>3webobs.com</v>
      </c>
      <c r="C56" s="10" t="s">
        <v>45</v>
      </c>
      <c r="D56" s="10" t="str">
        <f aca="false">INDEX('Site-uri'!$B$2:$B$20,MATCH(C56,'Site-uri'!$A$2:$A$20,0))</f>
        <v>5thelement.ai</v>
      </c>
      <c r="E56" s="10" t="str">
        <f aca="false">INDEX('Site-uri'!$C$2:$C$20,MATCH(C56,'Site-uri'!$A$2:$A$20,0))</f>
        <v>/</v>
      </c>
      <c r="F56" s="10" t="str">
        <f aca="false">B56</f>
        <v>3webobs.com</v>
      </c>
      <c r="G56" s="10" t="str">
        <f aca="false">Config!$B$5</f>
        <v>network</v>
      </c>
      <c r="H56" s="10" t="str">
        <f aca="false">Config!$B$3</f>
        <v>2610_ff_lansare</v>
      </c>
      <c r="I56" s="10" t="str">
        <f aca="false">Config!$B$4</f>
        <v>general</v>
      </c>
      <c r="J56" s="10" t="str">
        <f aca="false">"https://"&amp;D56&amp;E56&amp;"?utm_source="&amp;F56&amp;"&amp;utm_medium="&amp;G56&amp;"&amp;utm_campaign="&amp;H56&amp;"&amp;utm_content="&amp;I56</f>
        <v>https://5thelement.ai/?utm_source=3webobs.com&amp;utm_medium=network&amp;utm_campaign=2610_ff_lansare&amp;utm_content=general</v>
      </c>
    </row>
    <row r="57" customFormat="false" ht="15" hidden="false" customHeight="false" outlineLevel="0" collapsed="false">
      <c r="A57" s="10" t="s">
        <v>55</v>
      </c>
      <c r="B57" s="10" t="str">
        <f aca="false">INDEX('Site-uri'!$B$2:$B$20,MATCH(A57,'Site-uri'!$A$2:$A$20,0))</f>
        <v>3webobs.com</v>
      </c>
      <c r="C57" s="10" t="s">
        <v>49</v>
      </c>
      <c r="D57" s="10" t="str">
        <f aca="false">INDEX('Site-uri'!$B$2:$B$20,MATCH(C57,'Site-uri'!$A$2:$A$20,0))</f>
        <v>aiventure.ro</v>
      </c>
      <c r="E57" s="10" t="str">
        <f aca="false">INDEX('Site-uri'!$C$2:$C$20,MATCH(C57,'Site-uri'!$A$2:$A$20,0))</f>
        <v>/</v>
      </c>
      <c r="F57" s="10" t="str">
        <f aca="false">B57</f>
        <v>3webobs.com</v>
      </c>
      <c r="G57" s="10" t="str">
        <f aca="false">Config!$B$5</f>
        <v>network</v>
      </c>
      <c r="H57" s="10" t="str">
        <f aca="false">Config!$B$3</f>
        <v>2610_ff_lansare</v>
      </c>
      <c r="I57" s="10" t="str">
        <f aca="false">Config!$B$4</f>
        <v>general</v>
      </c>
      <c r="J57" s="10" t="str">
        <f aca="false">"https://"&amp;D57&amp;E57&amp;"?utm_source="&amp;F57&amp;"&amp;utm_medium="&amp;G57&amp;"&amp;utm_campaign="&amp;H57&amp;"&amp;utm_content="&amp;I57</f>
        <v>https://aiventure.ro/?utm_source=3webobs.com&amp;utm_medium=network&amp;utm_campaign=2610_ff_lansare&amp;utm_content=general</v>
      </c>
    </row>
    <row r="58" customFormat="false" ht="15" hidden="false" customHeight="false" outlineLevel="0" collapsed="false">
      <c r="A58" s="10" t="s">
        <v>55</v>
      </c>
      <c r="B58" s="10" t="str">
        <f aca="false">INDEX('Site-uri'!$B$2:$B$20,MATCH(A58,'Site-uri'!$A$2:$A$20,0))</f>
        <v>3webobs.com</v>
      </c>
      <c r="C58" s="10" t="s">
        <v>52</v>
      </c>
      <c r="D58" s="10" t="str">
        <f aca="false">INDEX('Site-uri'!$B$2:$B$20,MATCH(C58,'Site-uri'!$A$2:$A$20,0))</f>
        <v>aiventure.uk</v>
      </c>
      <c r="E58" s="10" t="str">
        <f aca="false">INDEX('Site-uri'!$C$2:$C$20,MATCH(C58,'Site-uri'!$A$2:$A$20,0))</f>
        <v>/</v>
      </c>
      <c r="F58" s="10" t="str">
        <f aca="false">B58</f>
        <v>3webobs.com</v>
      </c>
      <c r="G58" s="10" t="str">
        <f aca="false">Config!$B$5</f>
        <v>network</v>
      </c>
      <c r="H58" s="10" t="str">
        <f aca="false">Config!$B$3</f>
        <v>2610_ff_lansare</v>
      </c>
      <c r="I58" s="10" t="str">
        <f aca="false">Config!$B$4</f>
        <v>general</v>
      </c>
      <c r="J58" s="10" t="str">
        <f aca="false">"https://"&amp;D58&amp;E58&amp;"?utm_source="&amp;F58&amp;"&amp;utm_medium="&amp;G58&amp;"&amp;utm_campaign="&amp;H58&amp;"&amp;utm_content="&amp;I58</f>
        <v>https://aiventure.uk/?utm_source=3webobs.com&amp;utm_medium=network&amp;utm_campaign=2610_ff_lansare&amp;utm_content=general</v>
      </c>
    </row>
    <row r="59" customFormat="false" ht="15" hidden="false" customHeight="false" outlineLevel="0" collapsed="false">
      <c r="A59" s="10" t="s">
        <v>55</v>
      </c>
      <c r="B59" s="10" t="str">
        <f aca="false">INDEX('Site-uri'!$B$2:$B$20,MATCH(A59,'Site-uri'!$A$2:$A$20,0))</f>
        <v>3webobs.com</v>
      </c>
      <c r="C59" s="10" t="s">
        <v>58</v>
      </c>
      <c r="D59" s="10" t="str">
        <f aca="false">INDEX('Site-uri'!$B$2:$B$20,MATCH(C59,'Site-uri'!$A$2:$A$20,0))</f>
        <v>ai-lens.eu</v>
      </c>
      <c r="E59" s="10" t="str">
        <f aca="false">INDEX('Site-uri'!$C$2:$C$20,MATCH(C59,'Site-uri'!$A$2:$A$20,0))</f>
        <v>/</v>
      </c>
      <c r="F59" s="10" t="str">
        <f aca="false">B59</f>
        <v>3webobs.com</v>
      </c>
      <c r="G59" s="10" t="str">
        <f aca="false">Config!$B$5</f>
        <v>network</v>
      </c>
      <c r="H59" s="10" t="str">
        <f aca="false">Config!$B$3</f>
        <v>2610_ff_lansare</v>
      </c>
      <c r="I59" s="10" t="str">
        <f aca="false">Config!$B$4</f>
        <v>general</v>
      </c>
      <c r="J59" s="10" t="str">
        <f aca="false">"https://"&amp;D59&amp;E59&amp;"?utm_source="&amp;F59&amp;"&amp;utm_medium="&amp;G59&amp;"&amp;utm_campaign="&amp;H59&amp;"&amp;utm_content="&amp;I59</f>
        <v>https://ai-lens.eu/?utm_source=3webobs.com&amp;utm_medium=network&amp;utm_campaign=2610_ff_lansare&amp;utm_content=general</v>
      </c>
    </row>
    <row r="60" customFormat="false" ht="15" hidden="false" customHeight="false" outlineLevel="0" collapsed="false">
      <c r="A60" s="10" t="s">
        <v>55</v>
      </c>
      <c r="B60" s="10" t="str">
        <f aca="false">INDEX('Site-uri'!$B$2:$B$20,MATCH(A60,'Site-uri'!$A$2:$A$20,0))</f>
        <v>3webobs.com</v>
      </c>
      <c r="C60" s="10" t="s">
        <v>61</v>
      </c>
      <c r="D60" s="10" t="str">
        <f aca="false">INDEX('Site-uri'!$B$2:$B$20,MATCH(C60,'Site-uri'!$A$2:$A$20,0))</f>
        <v>aireadyinjector.com</v>
      </c>
      <c r="E60" s="10" t="str">
        <f aca="false">INDEX('Site-uri'!$C$2:$C$20,MATCH(C60,'Site-uri'!$A$2:$A$20,0))</f>
        <v>/</v>
      </c>
      <c r="F60" s="10" t="str">
        <f aca="false">B60</f>
        <v>3webobs.com</v>
      </c>
      <c r="G60" s="10" t="str">
        <f aca="false">Config!$B$5</f>
        <v>network</v>
      </c>
      <c r="H60" s="10" t="str">
        <f aca="false">Config!$B$3</f>
        <v>2610_ff_lansare</v>
      </c>
      <c r="I60" s="10" t="str">
        <f aca="false">Config!$B$4</f>
        <v>general</v>
      </c>
      <c r="J60" s="10" t="str">
        <f aca="false">"https://"&amp;D60&amp;E60&amp;"?utm_source="&amp;F60&amp;"&amp;utm_medium="&amp;G60&amp;"&amp;utm_campaign="&amp;H60&amp;"&amp;utm_content="&amp;I60</f>
        <v>https://aireadyinjector.com/?utm_source=3webobs.com&amp;utm_medium=network&amp;utm_campaign=2610_ff_lansare&amp;utm_content=general</v>
      </c>
    </row>
    <row r="61" customFormat="false" ht="15" hidden="false" customHeight="false" outlineLevel="0" collapsed="false">
      <c r="A61" s="10" t="s">
        <v>55</v>
      </c>
      <c r="B61" s="10" t="str">
        <f aca="false">INDEX('Site-uri'!$B$2:$B$20,MATCH(A61,'Site-uri'!$A$2:$A$20,0))</f>
        <v>3webobs.com</v>
      </c>
      <c r="C61" s="10" t="s">
        <v>64</v>
      </c>
      <c r="D61" s="10" t="str">
        <f aca="false">INDEX('Site-uri'!$B$2:$B$20,MATCH(C61,'Site-uri'!$A$2:$A$20,0))</f>
        <v>eu-ai-audit.eu</v>
      </c>
      <c r="E61" s="10" t="str">
        <f aca="false">INDEX('Site-uri'!$C$2:$C$20,MATCH(C61,'Site-uri'!$A$2:$A$20,0))</f>
        <v>/</v>
      </c>
      <c r="F61" s="10" t="str">
        <f aca="false">B61</f>
        <v>3webobs.com</v>
      </c>
      <c r="G61" s="10" t="str">
        <f aca="false">Config!$B$5</f>
        <v>network</v>
      </c>
      <c r="H61" s="10" t="str">
        <f aca="false">Config!$B$3</f>
        <v>2610_ff_lansare</v>
      </c>
      <c r="I61" s="10" t="str">
        <f aca="false">Config!$B$4</f>
        <v>general</v>
      </c>
      <c r="J61" s="10" t="str">
        <f aca="false">"https://"&amp;D61&amp;E61&amp;"?utm_source="&amp;F61&amp;"&amp;utm_medium="&amp;G61&amp;"&amp;utm_campaign="&amp;H61&amp;"&amp;utm_content="&amp;I61</f>
        <v>https://eu-ai-audit.eu/?utm_source=3webobs.com&amp;utm_medium=network&amp;utm_campaign=2610_ff_lansare&amp;utm_content=general</v>
      </c>
    </row>
    <row r="62" customFormat="false" ht="15" hidden="false" customHeight="false" outlineLevel="0" collapsed="false">
      <c r="A62" s="10" t="s">
        <v>55</v>
      </c>
      <c r="B62" s="10" t="str">
        <f aca="false">INDEX('Site-uri'!$B$2:$B$20,MATCH(A62,'Site-uri'!$A$2:$A$20,0))</f>
        <v>3webobs.com</v>
      </c>
      <c r="C62" s="10" t="s">
        <v>67</v>
      </c>
      <c r="D62" s="10" t="str">
        <f aca="false">INDEX('Site-uri'!$B$2:$B$20,MATCH(C62,'Site-uri'!$A$2:$A$20,0))</f>
        <v>eu-ai-ready.eu</v>
      </c>
      <c r="E62" s="10" t="str">
        <f aca="false">INDEX('Site-uri'!$C$2:$C$20,MATCH(C62,'Site-uri'!$A$2:$A$20,0))</f>
        <v>/</v>
      </c>
      <c r="F62" s="10" t="str">
        <f aca="false">B62</f>
        <v>3webobs.com</v>
      </c>
      <c r="G62" s="10" t="str">
        <f aca="false">Config!$B$5</f>
        <v>network</v>
      </c>
      <c r="H62" s="10" t="str">
        <f aca="false">Config!$B$3</f>
        <v>2610_ff_lansare</v>
      </c>
      <c r="I62" s="10" t="str">
        <f aca="false">Config!$B$4</f>
        <v>general</v>
      </c>
      <c r="J62" s="10" t="str">
        <f aca="false">"https://"&amp;D62&amp;E62&amp;"?utm_source="&amp;F62&amp;"&amp;utm_medium="&amp;G62&amp;"&amp;utm_campaign="&amp;H62&amp;"&amp;utm_content="&amp;I62</f>
        <v>https://eu-ai-ready.eu/?utm_source=3webobs.com&amp;utm_medium=network&amp;utm_campaign=2610_ff_lansare&amp;utm_content=general</v>
      </c>
    </row>
    <row r="63" customFormat="false" ht="15" hidden="false" customHeight="false" outlineLevel="0" collapsed="false">
      <c r="A63" s="10" t="s">
        <v>55</v>
      </c>
      <c r="B63" s="10" t="str">
        <f aca="false">INDEX('Site-uri'!$B$2:$B$20,MATCH(A63,'Site-uri'!$A$2:$A$20,0))</f>
        <v>3webobs.com</v>
      </c>
      <c r="C63" s="10" t="s">
        <v>69</v>
      </c>
      <c r="D63" s="10" t="str">
        <f aca="false">INDEX('Site-uri'!$B$2:$B$20,MATCH(C63,'Site-uri'!$A$2:$A$20,0))</f>
        <v>eu-ai-act.ro</v>
      </c>
      <c r="E63" s="10" t="str">
        <f aca="false">INDEX('Site-uri'!$C$2:$C$20,MATCH(C63,'Site-uri'!$A$2:$A$20,0))</f>
        <v>/</v>
      </c>
      <c r="F63" s="10" t="str">
        <f aca="false">B63</f>
        <v>3webobs.com</v>
      </c>
      <c r="G63" s="10" t="str">
        <f aca="false">Config!$B$5</f>
        <v>network</v>
      </c>
      <c r="H63" s="10" t="str">
        <f aca="false">Config!$B$3</f>
        <v>2610_ff_lansare</v>
      </c>
      <c r="I63" s="10" t="str">
        <f aca="false">Config!$B$4</f>
        <v>general</v>
      </c>
      <c r="J63" s="10" t="str">
        <f aca="false">"https://"&amp;D63&amp;E63&amp;"?utm_source="&amp;F63&amp;"&amp;utm_medium="&amp;G63&amp;"&amp;utm_campaign="&amp;H63&amp;"&amp;utm_content="&amp;I63</f>
        <v>https://eu-ai-act.ro/?utm_source=3webobs.com&amp;utm_medium=network&amp;utm_campaign=2610_ff_lansare&amp;utm_content=general</v>
      </c>
    </row>
    <row r="64" customFormat="false" ht="15" hidden="false" customHeight="false" outlineLevel="0" collapsed="false">
      <c r="A64" s="10" t="s">
        <v>55</v>
      </c>
      <c r="B64" s="10" t="str">
        <f aca="false">INDEX('Site-uri'!$B$2:$B$20,MATCH(A64,'Site-uri'!$A$2:$A$20,0))</f>
        <v>3webobs.com</v>
      </c>
      <c r="C64" s="10" t="s">
        <v>72</v>
      </c>
      <c r="D64" s="10" t="str">
        <f aca="false">INDEX('Site-uri'!$B$2:$B$20,MATCH(C64,'Site-uri'!$A$2:$A$20,0))</f>
        <v>eu-ai-act-ready.eu</v>
      </c>
      <c r="E64" s="10" t="str">
        <f aca="false">INDEX('Site-uri'!$C$2:$C$20,MATCH(C64,'Site-uri'!$A$2:$A$20,0))</f>
        <v>/</v>
      </c>
      <c r="F64" s="10" t="str">
        <f aca="false">B64</f>
        <v>3webobs.com</v>
      </c>
      <c r="G64" s="10" t="str">
        <f aca="false">Config!$B$5</f>
        <v>network</v>
      </c>
      <c r="H64" s="10" t="str">
        <f aca="false">Config!$B$3</f>
        <v>2610_ff_lansare</v>
      </c>
      <c r="I64" s="10" t="str">
        <f aca="false">Config!$B$4</f>
        <v>general</v>
      </c>
      <c r="J64" s="10" t="str">
        <f aca="false">"https://"&amp;D64&amp;E64&amp;"?utm_source="&amp;F64&amp;"&amp;utm_medium="&amp;G64&amp;"&amp;utm_campaign="&amp;H64&amp;"&amp;utm_content="&amp;I64</f>
        <v>https://eu-ai-act-ready.eu/?utm_source=3webobs.com&amp;utm_medium=network&amp;utm_campaign=2610_ff_lansare&amp;utm_content=general</v>
      </c>
    </row>
    <row r="65" customFormat="false" ht="15" hidden="false" customHeight="false" outlineLevel="0" collapsed="false">
      <c r="A65" s="10" t="s">
        <v>55</v>
      </c>
      <c r="B65" s="10" t="str">
        <f aca="false">INDEX('Site-uri'!$B$2:$B$20,MATCH(A65,'Site-uri'!$A$2:$A$20,0))</f>
        <v>3webobs.com</v>
      </c>
      <c r="C65" s="10" t="s">
        <v>75</v>
      </c>
      <c r="D65" s="10" t="str">
        <f aca="false">INDEX('Site-uri'!$B$2:$B$20,MATCH(C65,'Site-uri'!$A$2:$A$20,0))</f>
        <v>eu-112.ro</v>
      </c>
      <c r="E65" s="10" t="str">
        <f aca="false">INDEX('Site-uri'!$C$2:$C$20,MATCH(C65,'Site-uri'!$A$2:$A$20,0))</f>
        <v>/</v>
      </c>
      <c r="F65" s="10" t="str">
        <f aca="false">B65</f>
        <v>3webobs.com</v>
      </c>
      <c r="G65" s="10" t="str">
        <f aca="false">Config!$B$5</f>
        <v>network</v>
      </c>
      <c r="H65" s="10" t="str">
        <f aca="false">Config!$B$3</f>
        <v>2610_ff_lansare</v>
      </c>
      <c r="I65" s="10" t="str">
        <f aca="false">Config!$B$4</f>
        <v>general</v>
      </c>
      <c r="J65" s="10" t="str">
        <f aca="false">"https://"&amp;D65&amp;E65&amp;"?utm_source="&amp;F65&amp;"&amp;utm_medium="&amp;G65&amp;"&amp;utm_campaign="&amp;H65&amp;"&amp;utm_content="&amp;I65</f>
        <v>https://eu-112.ro/?utm_source=3webobs.com&amp;utm_medium=network&amp;utm_campaign=2610_ff_lansare&amp;utm_content=general</v>
      </c>
    </row>
    <row r="66" customFormat="false" ht="15" hidden="false" customHeight="false" outlineLevel="0" collapsed="false">
      <c r="A66" s="10" t="s">
        <v>55</v>
      </c>
      <c r="B66" s="10" t="str">
        <f aca="false">INDEX('Site-uri'!$B$2:$B$20,MATCH(A66,'Site-uri'!$A$2:$A$20,0))</f>
        <v>3webobs.com</v>
      </c>
      <c r="C66" s="10" t="s">
        <v>78</v>
      </c>
      <c r="D66" s="10" t="str">
        <f aca="false">INDEX('Site-uri'!$B$2:$B$20,MATCH(C66,'Site-uri'!$A$2:$A$20,0))</f>
        <v>eu-112.eu</v>
      </c>
      <c r="E66" s="10" t="str">
        <f aca="false">INDEX('Site-uri'!$C$2:$C$20,MATCH(C66,'Site-uri'!$A$2:$A$20,0))</f>
        <v>/</v>
      </c>
      <c r="F66" s="10" t="str">
        <f aca="false">B66</f>
        <v>3webobs.com</v>
      </c>
      <c r="G66" s="10" t="str">
        <f aca="false">Config!$B$5</f>
        <v>network</v>
      </c>
      <c r="H66" s="10" t="str">
        <f aca="false">Config!$B$3</f>
        <v>2610_ff_lansare</v>
      </c>
      <c r="I66" s="10" t="str">
        <f aca="false">Config!$B$4</f>
        <v>general</v>
      </c>
      <c r="J66" s="10" t="str">
        <f aca="false">"https://"&amp;D66&amp;E66&amp;"?utm_source="&amp;F66&amp;"&amp;utm_medium="&amp;G66&amp;"&amp;utm_campaign="&amp;H66&amp;"&amp;utm_content="&amp;I66</f>
        <v>https://eu-112.eu/?utm_source=3webobs.com&amp;utm_medium=network&amp;utm_campaign=2610_ff_lansare&amp;utm_content=general</v>
      </c>
    </row>
    <row r="67" customFormat="false" ht="15" hidden="false" customHeight="false" outlineLevel="0" collapsed="false">
      <c r="A67" s="10" t="s">
        <v>55</v>
      </c>
      <c r="B67" s="10" t="str">
        <f aca="false">INDEX('Site-uri'!$B$2:$B$20,MATCH(A67,'Site-uri'!$A$2:$A$20,0))</f>
        <v>3webobs.com</v>
      </c>
      <c r="C67" s="10" t="s">
        <v>81</v>
      </c>
      <c r="D67" s="10" t="str">
        <f aca="false">INDEX('Site-uri'!$B$2:$B$20,MATCH(C67,'Site-uri'!$A$2:$A$20,0))</f>
        <v>1clic-ia.eu</v>
      </c>
      <c r="E67" s="10" t="str">
        <f aca="false">INDEX('Site-uri'!$C$2:$C$20,MATCH(C67,'Site-uri'!$A$2:$A$20,0))</f>
        <v>/</v>
      </c>
      <c r="F67" s="10" t="str">
        <f aca="false">B67</f>
        <v>3webobs.com</v>
      </c>
      <c r="G67" s="10" t="str">
        <f aca="false">Config!$B$5</f>
        <v>network</v>
      </c>
      <c r="H67" s="10" t="str">
        <f aca="false">Config!$B$3</f>
        <v>2610_ff_lansare</v>
      </c>
      <c r="I67" s="10" t="str">
        <f aca="false">Config!$B$4</f>
        <v>general</v>
      </c>
      <c r="J67" s="10" t="str">
        <f aca="false">"https://"&amp;D67&amp;E67&amp;"?utm_source="&amp;F67&amp;"&amp;utm_medium="&amp;G67&amp;"&amp;utm_campaign="&amp;H67&amp;"&amp;utm_content="&amp;I67</f>
        <v>https://1clic-ia.eu/?utm_source=3webobs.com&amp;utm_medium=network&amp;utm_campaign=2610_ff_lansare&amp;utm_content=general</v>
      </c>
    </row>
    <row r="68" customFormat="false" ht="15" hidden="false" customHeight="false" outlineLevel="0" collapsed="false">
      <c r="A68" s="10" t="s">
        <v>55</v>
      </c>
      <c r="B68" s="10" t="str">
        <f aca="false">INDEX('Site-uri'!$B$2:$B$20,MATCH(A68,'Site-uri'!$A$2:$A$20,0))</f>
        <v>3webobs.com</v>
      </c>
      <c r="C68" s="10" t="s">
        <v>84</v>
      </c>
      <c r="D68" s="10" t="str">
        <f aca="false">INDEX('Site-uri'!$B$2:$B$20,MATCH(C68,'Site-uri'!$A$2:$A$20,0))</f>
        <v>1clic-ia.fr</v>
      </c>
      <c r="E68" s="10" t="str">
        <f aca="false">INDEX('Site-uri'!$C$2:$C$20,MATCH(C68,'Site-uri'!$A$2:$A$20,0))</f>
        <v>/</v>
      </c>
      <c r="F68" s="10" t="str">
        <f aca="false">B68</f>
        <v>3webobs.com</v>
      </c>
      <c r="G68" s="10" t="str">
        <f aca="false">Config!$B$5</f>
        <v>network</v>
      </c>
      <c r="H68" s="10" t="str">
        <f aca="false">Config!$B$3</f>
        <v>2610_ff_lansare</v>
      </c>
      <c r="I68" s="10" t="str">
        <f aca="false">Config!$B$4</f>
        <v>general</v>
      </c>
      <c r="J68" s="10" t="str">
        <f aca="false">"https://"&amp;D68&amp;E68&amp;"?utm_source="&amp;F68&amp;"&amp;utm_medium="&amp;G68&amp;"&amp;utm_campaign="&amp;H68&amp;"&amp;utm_content="&amp;I68</f>
        <v>https://1clic-ia.fr/?utm_source=3webobs.com&amp;utm_medium=network&amp;utm_campaign=2610_ff_lansare&amp;utm_content=general</v>
      </c>
    </row>
    <row r="69" customFormat="false" ht="15" hidden="false" customHeight="false" outlineLevel="0" collapsed="false">
      <c r="A69" s="10" t="s">
        <v>55</v>
      </c>
      <c r="B69" s="10" t="str">
        <f aca="false">INDEX('Site-uri'!$B$2:$B$20,MATCH(A69,'Site-uri'!$A$2:$A$20,0))</f>
        <v>3webobs.com</v>
      </c>
      <c r="C69" s="10" t="s">
        <v>86</v>
      </c>
      <c r="D69" s="10" t="str">
        <f aca="false">INDEX('Site-uri'!$B$2:$B$20,MATCH(C69,'Site-uri'!$A$2:$A$20,0))</f>
        <v>firmsfinder.eu</v>
      </c>
      <c r="E69" s="10" t="str">
        <f aca="false">INDEX('Site-uri'!$C$2:$C$20,MATCH(C69,'Site-uri'!$A$2:$A$20,0))</f>
        <v>/</v>
      </c>
      <c r="F69" s="10" t="str">
        <f aca="false">B69</f>
        <v>3webobs.com</v>
      </c>
      <c r="G69" s="10" t="str">
        <f aca="false">Config!$B$5</f>
        <v>network</v>
      </c>
      <c r="H69" s="10" t="str">
        <f aca="false">Config!$B$3</f>
        <v>2610_ff_lansare</v>
      </c>
      <c r="I69" s="10" t="str">
        <f aca="false">Config!$B$4</f>
        <v>general</v>
      </c>
      <c r="J69" s="10" t="str">
        <f aca="false">"https://"&amp;D69&amp;E69&amp;"?utm_source="&amp;F69&amp;"&amp;utm_medium="&amp;G69&amp;"&amp;utm_campaign="&amp;H69&amp;"&amp;utm_content="&amp;I69</f>
        <v>https://firmsfinder.eu/?utm_source=3webobs.com&amp;utm_medium=network&amp;utm_campaign=2610_ff_lansare&amp;utm_content=general</v>
      </c>
    </row>
    <row r="70" customFormat="false" ht="15" hidden="false" customHeight="false" outlineLevel="0" collapsed="false">
      <c r="A70" s="10" t="s">
        <v>55</v>
      </c>
      <c r="B70" s="10" t="str">
        <f aca="false">INDEX('Site-uri'!$B$2:$B$20,MATCH(A70,'Site-uri'!$A$2:$A$20,0))</f>
        <v>3webobs.com</v>
      </c>
      <c r="C70" s="10" t="s">
        <v>89</v>
      </c>
      <c r="D70" s="10" t="str">
        <f aca="false">INDEX('Site-uri'!$B$2:$B$20,MATCH(C70,'Site-uri'!$A$2:$A$20,0))</f>
        <v>b2b-ai-library.org</v>
      </c>
      <c r="E70" s="10" t="str">
        <f aca="false">INDEX('Site-uri'!$C$2:$C$20,MATCH(C70,'Site-uri'!$A$2:$A$20,0))</f>
        <v>/</v>
      </c>
      <c r="F70" s="10" t="str">
        <f aca="false">B70</f>
        <v>3webobs.com</v>
      </c>
      <c r="G70" s="10" t="str">
        <f aca="false">Config!$B$5</f>
        <v>network</v>
      </c>
      <c r="H70" s="10" t="str">
        <f aca="false">Config!$B$3</f>
        <v>2610_ff_lansare</v>
      </c>
      <c r="I70" s="10" t="str">
        <f aca="false">Config!$B$4</f>
        <v>general</v>
      </c>
      <c r="J70" s="10" t="str">
        <f aca="false">"https://"&amp;D70&amp;E70&amp;"?utm_source="&amp;F70&amp;"&amp;utm_medium="&amp;G70&amp;"&amp;utm_campaign="&amp;H70&amp;"&amp;utm_content="&amp;I70</f>
        <v>https://b2b-ai-library.org/?utm_source=3webobs.com&amp;utm_medium=network&amp;utm_campaign=2610_ff_lansare&amp;utm_content=general</v>
      </c>
    </row>
    <row r="71" customFormat="false" ht="15" hidden="false" customHeight="false" outlineLevel="0" collapsed="false">
      <c r="A71" s="10" t="s">
        <v>55</v>
      </c>
      <c r="B71" s="10" t="str">
        <f aca="false">INDEX('Site-uri'!$B$2:$B$20,MATCH(A71,'Site-uri'!$A$2:$A$20,0))</f>
        <v>3webobs.com</v>
      </c>
      <c r="C71" s="10" t="s">
        <v>91</v>
      </c>
      <c r="D71" s="10" t="str">
        <f aca="false">INDEX('Site-uri'!$B$2:$B$20,MATCH(C71,'Site-uri'!$A$2:$A$20,0))</f>
        <v>the3webs.com</v>
      </c>
      <c r="E71" s="10" t="str">
        <f aca="false">INDEX('Site-uri'!$C$2:$C$20,MATCH(C71,'Site-uri'!$A$2:$A$20,0))</f>
        <v>/</v>
      </c>
      <c r="F71" s="10" t="str">
        <f aca="false">B71</f>
        <v>3webobs.com</v>
      </c>
      <c r="G71" s="10" t="str">
        <f aca="false">Config!$B$5</f>
        <v>network</v>
      </c>
      <c r="H71" s="10" t="str">
        <f aca="false">Config!$B$3</f>
        <v>2610_ff_lansare</v>
      </c>
      <c r="I71" s="10" t="str">
        <f aca="false">Config!$B$4</f>
        <v>general</v>
      </c>
      <c r="J71" s="10" t="str">
        <f aca="false">"https://"&amp;D71&amp;E71&amp;"?utm_source="&amp;F71&amp;"&amp;utm_medium="&amp;G71&amp;"&amp;utm_campaign="&amp;H71&amp;"&amp;utm_content="&amp;I71</f>
        <v>https://the3webs.com/?utm_source=3webobs.com&amp;utm_medium=network&amp;utm_campaign=2610_ff_lansare&amp;utm_content=general</v>
      </c>
    </row>
    <row r="72" customFormat="false" ht="15" hidden="false" customHeight="false" outlineLevel="0" collapsed="false">
      <c r="A72" s="10" t="s">
        <v>55</v>
      </c>
      <c r="B72" s="10" t="str">
        <f aca="false">INDEX('Site-uri'!$B$2:$B$20,MATCH(A72,'Site-uri'!$A$2:$A$20,0))</f>
        <v>3webobs.com</v>
      </c>
      <c r="C72" s="10" t="s">
        <v>94</v>
      </c>
      <c r="D72" s="10" t="str">
        <f aca="false">INDEX('Site-uri'!$B$2:$B$20,MATCH(C72,'Site-uri'!$A$2:$A$20,0))</f>
        <v>floride-e2.com</v>
      </c>
      <c r="E72" s="10" t="str">
        <f aca="false">INDEX('Site-uri'!$C$2:$C$20,MATCH(C72,'Site-uri'!$A$2:$A$20,0))</f>
        <v>/</v>
      </c>
      <c r="F72" s="10" t="str">
        <f aca="false">B72</f>
        <v>3webobs.com</v>
      </c>
      <c r="G72" s="10" t="str">
        <f aca="false">Config!$B$5</f>
        <v>network</v>
      </c>
      <c r="H72" s="10" t="str">
        <f aca="false">Config!$B$3</f>
        <v>2610_ff_lansare</v>
      </c>
      <c r="I72" s="10" t="str">
        <f aca="false">Config!$B$4</f>
        <v>general</v>
      </c>
      <c r="J72" s="10" t="str">
        <f aca="false">"https://"&amp;D72&amp;E72&amp;"?utm_source="&amp;F72&amp;"&amp;utm_medium="&amp;G72&amp;"&amp;utm_campaign="&amp;H72&amp;"&amp;utm_content="&amp;I72</f>
        <v>https://floride-e2.com/?utm_source=3webobs.com&amp;utm_medium=network&amp;utm_campaign=2610_ff_lansare&amp;utm_content=general</v>
      </c>
    </row>
    <row r="73" customFormat="false" ht="15" hidden="false" customHeight="false" outlineLevel="0" collapsed="false">
      <c r="A73" s="10" t="s">
        <v>55</v>
      </c>
      <c r="B73" s="10" t="str">
        <f aca="false">INDEX('Site-uri'!$B$2:$B$20,MATCH(A73,'Site-uri'!$A$2:$A$20,0))</f>
        <v>3webobs.com</v>
      </c>
      <c r="C73" s="10" t="s">
        <v>96</v>
      </c>
      <c r="D73" s="10" t="str">
        <f aca="false">INDEX('Site-uri'!$B$2:$B$20,MATCH(C73,'Site-uri'!$A$2:$A$20,0))</f>
        <v>ecbtax.com</v>
      </c>
      <c r="E73" s="10" t="str">
        <f aca="false">INDEX('Site-uri'!$C$2:$C$20,MATCH(C73,'Site-uri'!$A$2:$A$20,0))</f>
        <v>/</v>
      </c>
      <c r="F73" s="10" t="str">
        <f aca="false">B73</f>
        <v>3webobs.com</v>
      </c>
      <c r="G73" s="10" t="str">
        <f aca="false">Config!$B$5</f>
        <v>network</v>
      </c>
      <c r="H73" s="10" t="str">
        <f aca="false">Config!$B$3</f>
        <v>2610_ff_lansare</v>
      </c>
      <c r="I73" s="10" t="str">
        <f aca="false">Config!$B$4</f>
        <v>general</v>
      </c>
      <c r="J73" s="10" t="str">
        <f aca="false">"https://"&amp;D73&amp;E73&amp;"?utm_source="&amp;F73&amp;"&amp;utm_medium="&amp;G73&amp;"&amp;utm_campaign="&amp;H73&amp;"&amp;utm_content="&amp;I73</f>
        <v>https://ecbtax.com/?utm_source=3webobs.com&amp;utm_medium=network&amp;utm_campaign=2610_ff_lansare&amp;utm_content=general</v>
      </c>
    </row>
    <row r="74" customFormat="false" ht="15" hidden="false" customHeight="false" outlineLevel="0" collapsed="false">
      <c r="A74" s="10" t="s">
        <v>58</v>
      </c>
      <c r="B74" s="10" t="str">
        <f aca="false">INDEX('Site-uri'!$B$2:$B$20,MATCH(A74,'Site-uri'!$A$2:$A$20,0))</f>
        <v>ai-lens.eu</v>
      </c>
      <c r="C74" s="10" t="s">
        <v>45</v>
      </c>
      <c r="D74" s="10" t="str">
        <f aca="false">INDEX('Site-uri'!$B$2:$B$20,MATCH(C74,'Site-uri'!$A$2:$A$20,0))</f>
        <v>5thelement.ai</v>
      </c>
      <c r="E74" s="10" t="str">
        <f aca="false">INDEX('Site-uri'!$C$2:$C$20,MATCH(C74,'Site-uri'!$A$2:$A$20,0))</f>
        <v>/</v>
      </c>
      <c r="F74" s="10" t="str">
        <f aca="false">B74</f>
        <v>ai-lens.eu</v>
      </c>
      <c r="G74" s="10" t="str">
        <f aca="false">Config!$B$5</f>
        <v>network</v>
      </c>
      <c r="H74" s="10" t="str">
        <f aca="false">Config!$B$3</f>
        <v>2610_ff_lansare</v>
      </c>
      <c r="I74" s="10" t="str">
        <f aca="false">Config!$B$4</f>
        <v>general</v>
      </c>
      <c r="J74" s="10" t="str">
        <f aca="false">"https://"&amp;D74&amp;E74&amp;"?utm_source="&amp;F74&amp;"&amp;utm_medium="&amp;G74&amp;"&amp;utm_campaign="&amp;H74&amp;"&amp;utm_content="&amp;I74</f>
        <v>https://5thelement.ai/?utm_source=ai-lens.eu&amp;utm_medium=network&amp;utm_campaign=2610_ff_lansare&amp;utm_content=general</v>
      </c>
    </row>
    <row r="75" customFormat="false" ht="15" hidden="false" customHeight="false" outlineLevel="0" collapsed="false">
      <c r="A75" s="10" t="s">
        <v>58</v>
      </c>
      <c r="B75" s="10" t="str">
        <f aca="false">INDEX('Site-uri'!$B$2:$B$20,MATCH(A75,'Site-uri'!$A$2:$A$20,0))</f>
        <v>ai-lens.eu</v>
      </c>
      <c r="C75" s="10" t="s">
        <v>49</v>
      </c>
      <c r="D75" s="10" t="str">
        <f aca="false">INDEX('Site-uri'!$B$2:$B$20,MATCH(C75,'Site-uri'!$A$2:$A$20,0))</f>
        <v>aiventure.ro</v>
      </c>
      <c r="E75" s="10" t="str">
        <f aca="false">INDEX('Site-uri'!$C$2:$C$20,MATCH(C75,'Site-uri'!$A$2:$A$20,0))</f>
        <v>/</v>
      </c>
      <c r="F75" s="10" t="str">
        <f aca="false">B75</f>
        <v>ai-lens.eu</v>
      </c>
      <c r="G75" s="10" t="str">
        <f aca="false">Config!$B$5</f>
        <v>network</v>
      </c>
      <c r="H75" s="10" t="str">
        <f aca="false">Config!$B$3</f>
        <v>2610_ff_lansare</v>
      </c>
      <c r="I75" s="10" t="str">
        <f aca="false">Config!$B$4</f>
        <v>general</v>
      </c>
      <c r="J75" s="10" t="str">
        <f aca="false">"https://"&amp;D75&amp;E75&amp;"?utm_source="&amp;F75&amp;"&amp;utm_medium="&amp;G75&amp;"&amp;utm_campaign="&amp;H75&amp;"&amp;utm_content="&amp;I75</f>
        <v>https://aiventure.ro/?utm_source=ai-lens.eu&amp;utm_medium=network&amp;utm_campaign=2610_ff_lansare&amp;utm_content=general</v>
      </c>
    </row>
    <row r="76" customFormat="false" ht="15" hidden="false" customHeight="false" outlineLevel="0" collapsed="false">
      <c r="A76" s="10" t="s">
        <v>58</v>
      </c>
      <c r="B76" s="10" t="str">
        <f aca="false">INDEX('Site-uri'!$B$2:$B$20,MATCH(A76,'Site-uri'!$A$2:$A$20,0))</f>
        <v>ai-lens.eu</v>
      </c>
      <c r="C76" s="10" t="s">
        <v>52</v>
      </c>
      <c r="D76" s="10" t="str">
        <f aca="false">INDEX('Site-uri'!$B$2:$B$20,MATCH(C76,'Site-uri'!$A$2:$A$20,0))</f>
        <v>aiventure.uk</v>
      </c>
      <c r="E76" s="10" t="str">
        <f aca="false">INDEX('Site-uri'!$C$2:$C$20,MATCH(C76,'Site-uri'!$A$2:$A$20,0))</f>
        <v>/</v>
      </c>
      <c r="F76" s="10" t="str">
        <f aca="false">B76</f>
        <v>ai-lens.eu</v>
      </c>
      <c r="G76" s="10" t="str">
        <f aca="false">Config!$B$5</f>
        <v>network</v>
      </c>
      <c r="H76" s="10" t="str">
        <f aca="false">Config!$B$3</f>
        <v>2610_ff_lansare</v>
      </c>
      <c r="I76" s="10" t="str">
        <f aca="false">Config!$B$4</f>
        <v>general</v>
      </c>
      <c r="J76" s="10" t="str">
        <f aca="false">"https://"&amp;D76&amp;E76&amp;"?utm_source="&amp;F76&amp;"&amp;utm_medium="&amp;G76&amp;"&amp;utm_campaign="&amp;H76&amp;"&amp;utm_content="&amp;I76</f>
        <v>https://aiventure.uk/?utm_source=ai-lens.eu&amp;utm_medium=network&amp;utm_campaign=2610_ff_lansare&amp;utm_content=general</v>
      </c>
    </row>
    <row r="77" customFormat="false" ht="15" hidden="false" customHeight="false" outlineLevel="0" collapsed="false">
      <c r="A77" s="10" t="s">
        <v>58</v>
      </c>
      <c r="B77" s="10" t="str">
        <f aca="false">INDEX('Site-uri'!$B$2:$B$20,MATCH(A77,'Site-uri'!$A$2:$A$20,0))</f>
        <v>ai-lens.eu</v>
      </c>
      <c r="C77" s="10" t="s">
        <v>55</v>
      </c>
      <c r="D77" s="10" t="str">
        <f aca="false">INDEX('Site-uri'!$B$2:$B$20,MATCH(C77,'Site-uri'!$A$2:$A$20,0))</f>
        <v>3webobs.com</v>
      </c>
      <c r="E77" s="10" t="str">
        <f aca="false">INDEX('Site-uri'!$C$2:$C$20,MATCH(C77,'Site-uri'!$A$2:$A$20,0))</f>
        <v>/</v>
      </c>
      <c r="F77" s="10" t="str">
        <f aca="false">B77</f>
        <v>ai-lens.eu</v>
      </c>
      <c r="G77" s="10" t="str">
        <f aca="false">Config!$B$5</f>
        <v>network</v>
      </c>
      <c r="H77" s="10" t="str">
        <f aca="false">Config!$B$3</f>
        <v>2610_ff_lansare</v>
      </c>
      <c r="I77" s="10" t="str">
        <f aca="false">Config!$B$4</f>
        <v>general</v>
      </c>
      <c r="J77" s="10" t="str">
        <f aca="false">"https://"&amp;D77&amp;E77&amp;"?utm_source="&amp;F77&amp;"&amp;utm_medium="&amp;G77&amp;"&amp;utm_campaign="&amp;H77&amp;"&amp;utm_content="&amp;I77</f>
        <v>https://3webobs.com/?utm_source=ai-lens.eu&amp;utm_medium=network&amp;utm_campaign=2610_ff_lansare&amp;utm_content=general</v>
      </c>
    </row>
    <row r="78" customFormat="false" ht="15" hidden="false" customHeight="false" outlineLevel="0" collapsed="false">
      <c r="A78" s="10" t="s">
        <v>58</v>
      </c>
      <c r="B78" s="10" t="str">
        <f aca="false">INDEX('Site-uri'!$B$2:$B$20,MATCH(A78,'Site-uri'!$A$2:$A$20,0))</f>
        <v>ai-lens.eu</v>
      </c>
      <c r="C78" s="10" t="s">
        <v>61</v>
      </c>
      <c r="D78" s="10" t="str">
        <f aca="false">INDEX('Site-uri'!$B$2:$B$20,MATCH(C78,'Site-uri'!$A$2:$A$20,0))</f>
        <v>aireadyinjector.com</v>
      </c>
      <c r="E78" s="10" t="str">
        <f aca="false">INDEX('Site-uri'!$C$2:$C$20,MATCH(C78,'Site-uri'!$A$2:$A$20,0))</f>
        <v>/</v>
      </c>
      <c r="F78" s="10" t="str">
        <f aca="false">B78</f>
        <v>ai-lens.eu</v>
      </c>
      <c r="G78" s="10" t="str">
        <f aca="false">Config!$B$5</f>
        <v>network</v>
      </c>
      <c r="H78" s="10" t="str">
        <f aca="false">Config!$B$3</f>
        <v>2610_ff_lansare</v>
      </c>
      <c r="I78" s="10" t="str">
        <f aca="false">Config!$B$4</f>
        <v>general</v>
      </c>
      <c r="J78" s="10" t="str">
        <f aca="false">"https://"&amp;D78&amp;E78&amp;"?utm_source="&amp;F78&amp;"&amp;utm_medium="&amp;G78&amp;"&amp;utm_campaign="&amp;H78&amp;"&amp;utm_content="&amp;I78</f>
        <v>https://aireadyinjector.com/?utm_source=ai-lens.eu&amp;utm_medium=network&amp;utm_campaign=2610_ff_lansare&amp;utm_content=general</v>
      </c>
    </row>
    <row r="79" customFormat="false" ht="15" hidden="false" customHeight="false" outlineLevel="0" collapsed="false">
      <c r="A79" s="10" t="s">
        <v>58</v>
      </c>
      <c r="B79" s="10" t="str">
        <f aca="false">INDEX('Site-uri'!$B$2:$B$20,MATCH(A79,'Site-uri'!$A$2:$A$20,0))</f>
        <v>ai-lens.eu</v>
      </c>
      <c r="C79" s="10" t="s">
        <v>64</v>
      </c>
      <c r="D79" s="10" t="str">
        <f aca="false">INDEX('Site-uri'!$B$2:$B$20,MATCH(C79,'Site-uri'!$A$2:$A$20,0))</f>
        <v>eu-ai-audit.eu</v>
      </c>
      <c r="E79" s="10" t="str">
        <f aca="false">INDEX('Site-uri'!$C$2:$C$20,MATCH(C79,'Site-uri'!$A$2:$A$20,0))</f>
        <v>/</v>
      </c>
      <c r="F79" s="10" t="str">
        <f aca="false">B79</f>
        <v>ai-lens.eu</v>
      </c>
      <c r="G79" s="10" t="str">
        <f aca="false">Config!$B$5</f>
        <v>network</v>
      </c>
      <c r="H79" s="10" t="str">
        <f aca="false">Config!$B$3</f>
        <v>2610_ff_lansare</v>
      </c>
      <c r="I79" s="10" t="str">
        <f aca="false">Config!$B$4</f>
        <v>general</v>
      </c>
      <c r="J79" s="10" t="str">
        <f aca="false">"https://"&amp;D79&amp;E79&amp;"?utm_source="&amp;F79&amp;"&amp;utm_medium="&amp;G79&amp;"&amp;utm_campaign="&amp;H79&amp;"&amp;utm_content="&amp;I79</f>
        <v>https://eu-ai-audit.eu/?utm_source=ai-lens.eu&amp;utm_medium=network&amp;utm_campaign=2610_ff_lansare&amp;utm_content=general</v>
      </c>
    </row>
    <row r="80" customFormat="false" ht="15" hidden="false" customHeight="false" outlineLevel="0" collapsed="false">
      <c r="A80" s="10" t="s">
        <v>58</v>
      </c>
      <c r="B80" s="10" t="str">
        <f aca="false">INDEX('Site-uri'!$B$2:$B$20,MATCH(A80,'Site-uri'!$A$2:$A$20,0))</f>
        <v>ai-lens.eu</v>
      </c>
      <c r="C80" s="10" t="s">
        <v>67</v>
      </c>
      <c r="D80" s="10" t="str">
        <f aca="false">INDEX('Site-uri'!$B$2:$B$20,MATCH(C80,'Site-uri'!$A$2:$A$20,0))</f>
        <v>eu-ai-ready.eu</v>
      </c>
      <c r="E80" s="10" t="str">
        <f aca="false">INDEX('Site-uri'!$C$2:$C$20,MATCH(C80,'Site-uri'!$A$2:$A$20,0))</f>
        <v>/</v>
      </c>
      <c r="F80" s="10" t="str">
        <f aca="false">B80</f>
        <v>ai-lens.eu</v>
      </c>
      <c r="G80" s="10" t="str">
        <f aca="false">Config!$B$5</f>
        <v>network</v>
      </c>
      <c r="H80" s="10" t="str">
        <f aca="false">Config!$B$3</f>
        <v>2610_ff_lansare</v>
      </c>
      <c r="I80" s="10" t="str">
        <f aca="false">Config!$B$4</f>
        <v>general</v>
      </c>
      <c r="J80" s="10" t="str">
        <f aca="false">"https://"&amp;D80&amp;E80&amp;"?utm_source="&amp;F80&amp;"&amp;utm_medium="&amp;G80&amp;"&amp;utm_campaign="&amp;H80&amp;"&amp;utm_content="&amp;I80</f>
        <v>https://eu-ai-ready.eu/?utm_source=ai-lens.eu&amp;utm_medium=network&amp;utm_campaign=2610_ff_lansare&amp;utm_content=general</v>
      </c>
    </row>
    <row r="81" customFormat="false" ht="15" hidden="false" customHeight="false" outlineLevel="0" collapsed="false">
      <c r="A81" s="10" t="s">
        <v>58</v>
      </c>
      <c r="B81" s="10" t="str">
        <f aca="false">INDEX('Site-uri'!$B$2:$B$20,MATCH(A81,'Site-uri'!$A$2:$A$20,0))</f>
        <v>ai-lens.eu</v>
      </c>
      <c r="C81" s="10" t="s">
        <v>69</v>
      </c>
      <c r="D81" s="10" t="str">
        <f aca="false">INDEX('Site-uri'!$B$2:$B$20,MATCH(C81,'Site-uri'!$A$2:$A$20,0))</f>
        <v>eu-ai-act.ro</v>
      </c>
      <c r="E81" s="10" t="str">
        <f aca="false">INDEX('Site-uri'!$C$2:$C$20,MATCH(C81,'Site-uri'!$A$2:$A$20,0))</f>
        <v>/</v>
      </c>
      <c r="F81" s="10" t="str">
        <f aca="false">B81</f>
        <v>ai-lens.eu</v>
      </c>
      <c r="G81" s="10" t="str">
        <f aca="false">Config!$B$5</f>
        <v>network</v>
      </c>
      <c r="H81" s="10" t="str">
        <f aca="false">Config!$B$3</f>
        <v>2610_ff_lansare</v>
      </c>
      <c r="I81" s="10" t="str">
        <f aca="false">Config!$B$4</f>
        <v>general</v>
      </c>
      <c r="J81" s="10" t="str">
        <f aca="false">"https://"&amp;D81&amp;E81&amp;"?utm_source="&amp;F81&amp;"&amp;utm_medium="&amp;G81&amp;"&amp;utm_campaign="&amp;H81&amp;"&amp;utm_content="&amp;I81</f>
        <v>https://eu-ai-act.ro/?utm_source=ai-lens.eu&amp;utm_medium=network&amp;utm_campaign=2610_ff_lansare&amp;utm_content=general</v>
      </c>
    </row>
    <row r="82" customFormat="false" ht="15" hidden="false" customHeight="false" outlineLevel="0" collapsed="false">
      <c r="A82" s="10" t="s">
        <v>58</v>
      </c>
      <c r="B82" s="10" t="str">
        <f aca="false">INDEX('Site-uri'!$B$2:$B$20,MATCH(A82,'Site-uri'!$A$2:$A$20,0))</f>
        <v>ai-lens.eu</v>
      </c>
      <c r="C82" s="10" t="s">
        <v>72</v>
      </c>
      <c r="D82" s="10" t="str">
        <f aca="false">INDEX('Site-uri'!$B$2:$B$20,MATCH(C82,'Site-uri'!$A$2:$A$20,0))</f>
        <v>eu-ai-act-ready.eu</v>
      </c>
      <c r="E82" s="10" t="str">
        <f aca="false">INDEX('Site-uri'!$C$2:$C$20,MATCH(C82,'Site-uri'!$A$2:$A$20,0))</f>
        <v>/</v>
      </c>
      <c r="F82" s="10" t="str">
        <f aca="false">B82</f>
        <v>ai-lens.eu</v>
      </c>
      <c r="G82" s="10" t="str">
        <f aca="false">Config!$B$5</f>
        <v>network</v>
      </c>
      <c r="H82" s="10" t="str">
        <f aca="false">Config!$B$3</f>
        <v>2610_ff_lansare</v>
      </c>
      <c r="I82" s="10" t="str">
        <f aca="false">Config!$B$4</f>
        <v>general</v>
      </c>
      <c r="J82" s="10" t="str">
        <f aca="false">"https://"&amp;D82&amp;E82&amp;"?utm_source="&amp;F82&amp;"&amp;utm_medium="&amp;G82&amp;"&amp;utm_campaign="&amp;H82&amp;"&amp;utm_content="&amp;I82</f>
        <v>https://eu-ai-act-ready.eu/?utm_source=ai-lens.eu&amp;utm_medium=network&amp;utm_campaign=2610_ff_lansare&amp;utm_content=general</v>
      </c>
    </row>
    <row r="83" customFormat="false" ht="15" hidden="false" customHeight="false" outlineLevel="0" collapsed="false">
      <c r="A83" s="10" t="s">
        <v>58</v>
      </c>
      <c r="B83" s="10" t="str">
        <f aca="false">INDEX('Site-uri'!$B$2:$B$20,MATCH(A83,'Site-uri'!$A$2:$A$20,0))</f>
        <v>ai-lens.eu</v>
      </c>
      <c r="C83" s="10" t="s">
        <v>75</v>
      </c>
      <c r="D83" s="10" t="str">
        <f aca="false">INDEX('Site-uri'!$B$2:$B$20,MATCH(C83,'Site-uri'!$A$2:$A$20,0))</f>
        <v>eu-112.ro</v>
      </c>
      <c r="E83" s="10" t="str">
        <f aca="false">INDEX('Site-uri'!$C$2:$C$20,MATCH(C83,'Site-uri'!$A$2:$A$20,0))</f>
        <v>/</v>
      </c>
      <c r="F83" s="10" t="str">
        <f aca="false">B83</f>
        <v>ai-lens.eu</v>
      </c>
      <c r="G83" s="10" t="str">
        <f aca="false">Config!$B$5</f>
        <v>network</v>
      </c>
      <c r="H83" s="10" t="str">
        <f aca="false">Config!$B$3</f>
        <v>2610_ff_lansare</v>
      </c>
      <c r="I83" s="10" t="str">
        <f aca="false">Config!$B$4</f>
        <v>general</v>
      </c>
      <c r="J83" s="10" t="str">
        <f aca="false">"https://"&amp;D83&amp;E83&amp;"?utm_source="&amp;F83&amp;"&amp;utm_medium="&amp;G83&amp;"&amp;utm_campaign="&amp;H83&amp;"&amp;utm_content="&amp;I83</f>
        <v>https://eu-112.ro/?utm_source=ai-lens.eu&amp;utm_medium=network&amp;utm_campaign=2610_ff_lansare&amp;utm_content=general</v>
      </c>
    </row>
    <row r="84" customFormat="false" ht="15" hidden="false" customHeight="false" outlineLevel="0" collapsed="false">
      <c r="A84" s="10" t="s">
        <v>58</v>
      </c>
      <c r="B84" s="10" t="str">
        <f aca="false">INDEX('Site-uri'!$B$2:$B$20,MATCH(A84,'Site-uri'!$A$2:$A$20,0))</f>
        <v>ai-lens.eu</v>
      </c>
      <c r="C84" s="10" t="s">
        <v>78</v>
      </c>
      <c r="D84" s="10" t="str">
        <f aca="false">INDEX('Site-uri'!$B$2:$B$20,MATCH(C84,'Site-uri'!$A$2:$A$20,0))</f>
        <v>eu-112.eu</v>
      </c>
      <c r="E84" s="10" t="str">
        <f aca="false">INDEX('Site-uri'!$C$2:$C$20,MATCH(C84,'Site-uri'!$A$2:$A$20,0))</f>
        <v>/</v>
      </c>
      <c r="F84" s="10" t="str">
        <f aca="false">B84</f>
        <v>ai-lens.eu</v>
      </c>
      <c r="G84" s="10" t="str">
        <f aca="false">Config!$B$5</f>
        <v>network</v>
      </c>
      <c r="H84" s="10" t="str">
        <f aca="false">Config!$B$3</f>
        <v>2610_ff_lansare</v>
      </c>
      <c r="I84" s="10" t="str">
        <f aca="false">Config!$B$4</f>
        <v>general</v>
      </c>
      <c r="J84" s="10" t="str">
        <f aca="false">"https://"&amp;D84&amp;E84&amp;"?utm_source="&amp;F84&amp;"&amp;utm_medium="&amp;G84&amp;"&amp;utm_campaign="&amp;H84&amp;"&amp;utm_content="&amp;I84</f>
        <v>https://eu-112.eu/?utm_source=ai-lens.eu&amp;utm_medium=network&amp;utm_campaign=2610_ff_lansare&amp;utm_content=general</v>
      </c>
    </row>
    <row r="85" customFormat="false" ht="15" hidden="false" customHeight="false" outlineLevel="0" collapsed="false">
      <c r="A85" s="10" t="s">
        <v>58</v>
      </c>
      <c r="B85" s="10" t="str">
        <f aca="false">INDEX('Site-uri'!$B$2:$B$20,MATCH(A85,'Site-uri'!$A$2:$A$20,0))</f>
        <v>ai-lens.eu</v>
      </c>
      <c r="C85" s="10" t="s">
        <v>81</v>
      </c>
      <c r="D85" s="10" t="str">
        <f aca="false">INDEX('Site-uri'!$B$2:$B$20,MATCH(C85,'Site-uri'!$A$2:$A$20,0))</f>
        <v>1clic-ia.eu</v>
      </c>
      <c r="E85" s="10" t="str">
        <f aca="false">INDEX('Site-uri'!$C$2:$C$20,MATCH(C85,'Site-uri'!$A$2:$A$20,0))</f>
        <v>/</v>
      </c>
      <c r="F85" s="10" t="str">
        <f aca="false">B85</f>
        <v>ai-lens.eu</v>
      </c>
      <c r="G85" s="10" t="str">
        <f aca="false">Config!$B$5</f>
        <v>network</v>
      </c>
      <c r="H85" s="10" t="str">
        <f aca="false">Config!$B$3</f>
        <v>2610_ff_lansare</v>
      </c>
      <c r="I85" s="10" t="str">
        <f aca="false">Config!$B$4</f>
        <v>general</v>
      </c>
      <c r="J85" s="10" t="str">
        <f aca="false">"https://"&amp;D85&amp;E85&amp;"?utm_source="&amp;F85&amp;"&amp;utm_medium="&amp;G85&amp;"&amp;utm_campaign="&amp;H85&amp;"&amp;utm_content="&amp;I85</f>
        <v>https://1clic-ia.eu/?utm_source=ai-lens.eu&amp;utm_medium=network&amp;utm_campaign=2610_ff_lansare&amp;utm_content=general</v>
      </c>
    </row>
    <row r="86" customFormat="false" ht="15" hidden="false" customHeight="false" outlineLevel="0" collapsed="false">
      <c r="A86" s="10" t="s">
        <v>58</v>
      </c>
      <c r="B86" s="10" t="str">
        <f aca="false">INDEX('Site-uri'!$B$2:$B$20,MATCH(A86,'Site-uri'!$A$2:$A$20,0))</f>
        <v>ai-lens.eu</v>
      </c>
      <c r="C86" s="10" t="s">
        <v>84</v>
      </c>
      <c r="D86" s="10" t="str">
        <f aca="false">INDEX('Site-uri'!$B$2:$B$20,MATCH(C86,'Site-uri'!$A$2:$A$20,0))</f>
        <v>1clic-ia.fr</v>
      </c>
      <c r="E86" s="10" t="str">
        <f aca="false">INDEX('Site-uri'!$C$2:$C$20,MATCH(C86,'Site-uri'!$A$2:$A$20,0))</f>
        <v>/</v>
      </c>
      <c r="F86" s="10" t="str">
        <f aca="false">B86</f>
        <v>ai-lens.eu</v>
      </c>
      <c r="G86" s="10" t="str">
        <f aca="false">Config!$B$5</f>
        <v>network</v>
      </c>
      <c r="H86" s="10" t="str">
        <f aca="false">Config!$B$3</f>
        <v>2610_ff_lansare</v>
      </c>
      <c r="I86" s="10" t="str">
        <f aca="false">Config!$B$4</f>
        <v>general</v>
      </c>
      <c r="J86" s="10" t="str">
        <f aca="false">"https://"&amp;D86&amp;E86&amp;"?utm_source="&amp;F86&amp;"&amp;utm_medium="&amp;G86&amp;"&amp;utm_campaign="&amp;H86&amp;"&amp;utm_content="&amp;I86</f>
        <v>https://1clic-ia.fr/?utm_source=ai-lens.eu&amp;utm_medium=network&amp;utm_campaign=2610_ff_lansare&amp;utm_content=general</v>
      </c>
    </row>
    <row r="87" customFormat="false" ht="15" hidden="false" customHeight="false" outlineLevel="0" collapsed="false">
      <c r="A87" s="10" t="s">
        <v>58</v>
      </c>
      <c r="B87" s="10" t="str">
        <f aca="false">INDEX('Site-uri'!$B$2:$B$20,MATCH(A87,'Site-uri'!$A$2:$A$20,0))</f>
        <v>ai-lens.eu</v>
      </c>
      <c r="C87" s="10" t="s">
        <v>86</v>
      </c>
      <c r="D87" s="10" t="str">
        <f aca="false">INDEX('Site-uri'!$B$2:$B$20,MATCH(C87,'Site-uri'!$A$2:$A$20,0))</f>
        <v>firmsfinder.eu</v>
      </c>
      <c r="E87" s="10" t="str">
        <f aca="false">INDEX('Site-uri'!$C$2:$C$20,MATCH(C87,'Site-uri'!$A$2:$A$20,0))</f>
        <v>/</v>
      </c>
      <c r="F87" s="10" t="str">
        <f aca="false">B87</f>
        <v>ai-lens.eu</v>
      </c>
      <c r="G87" s="10" t="str">
        <f aca="false">Config!$B$5</f>
        <v>network</v>
      </c>
      <c r="H87" s="10" t="str">
        <f aca="false">Config!$B$3</f>
        <v>2610_ff_lansare</v>
      </c>
      <c r="I87" s="10" t="str">
        <f aca="false">Config!$B$4</f>
        <v>general</v>
      </c>
      <c r="J87" s="10" t="str">
        <f aca="false">"https://"&amp;D87&amp;E87&amp;"?utm_source="&amp;F87&amp;"&amp;utm_medium="&amp;G87&amp;"&amp;utm_campaign="&amp;H87&amp;"&amp;utm_content="&amp;I87</f>
        <v>https://firmsfinder.eu/?utm_source=ai-lens.eu&amp;utm_medium=network&amp;utm_campaign=2610_ff_lansare&amp;utm_content=general</v>
      </c>
    </row>
    <row r="88" customFormat="false" ht="15" hidden="false" customHeight="false" outlineLevel="0" collapsed="false">
      <c r="A88" s="10" t="s">
        <v>58</v>
      </c>
      <c r="B88" s="10" t="str">
        <f aca="false">INDEX('Site-uri'!$B$2:$B$20,MATCH(A88,'Site-uri'!$A$2:$A$20,0))</f>
        <v>ai-lens.eu</v>
      </c>
      <c r="C88" s="10" t="s">
        <v>89</v>
      </c>
      <c r="D88" s="10" t="str">
        <f aca="false">INDEX('Site-uri'!$B$2:$B$20,MATCH(C88,'Site-uri'!$A$2:$A$20,0))</f>
        <v>b2b-ai-library.org</v>
      </c>
      <c r="E88" s="10" t="str">
        <f aca="false">INDEX('Site-uri'!$C$2:$C$20,MATCH(C88,'Site-uri'!$A$2:$A$20,0))</f>
        <v>/</v>
      </c>
      <c r="F88" s="10" t="str">
        <f aca="false">B88</f>
        <v>ai-lens.eu</v>
      </c>
      <c r="G88" s="10" t="str">
        <f aca="false">Config!$B$5</f>
        <v>network</v>
      </c>
      <c r="H88" s="10" t="str">
        <f aca="false">Config!$B$3</f>
        <v>2610_ff_lansare</v>
      </c>
      <c r="I88" s="10" t="str">
        <f aca="false">Config!$B$4</f>
        <v>general</v>
      </c>
      <c r="J88" s="10" t="str">
        <f aca="false">"https://"&amp;D88&amp;E88&amp;"?utm_source="&amp;F88&amp;"&amp;utm_medium="&amp;G88&amp;"&amp;utm_campaign="&amp;H88&amp;"&amp;utm_content="&amp;I88</f>
        <v>https://b2b-ai-library.org/?utm_source=ai-lens.eu&amp;utm_medium=network&amp;utm_campaign=2610_ff_lansare&amp;utm_content=general</v>
      </c>
    </row>
    <row r="89" customFormat="false" ht="15" hidden="false" customHeight="false" outlineLevel="0" collapsed="false">
      <c r="A89" s="10" t="s">
        <v>58</v>
      </c>
      <c r="B89" s="10" t="str">
        <f aca="false">INDEX('Site-uri'!$B$2:$B$20,MATCH(A89,'Site-uri'!$A$2:$A$20,0))</f>
        <v>ai-lens.eu</v>
      </c>
      <c r="C89" s="10" t="s">
        <v>91</v>
      </c>
      <c r="D89" s="10" t="str">
        <f aca="false">INDEX('Site-uri'!$B$2:$B$20,MATCH(C89,'Site-uri'!$A$2:$A$20,0))</f>
        <v>the3webs.com</v>
      </c>
      <c r="E89" s="10" t="str">
        <f aca="false">INDEX('Site-uri'!$C$2:$C$20,MATCH(C89,'Site-uri'!$A$2:$A$20,0))</f>
        <v>/</v>
      </c>
      <c r="F89" s="10" t="str">
        <f aca="false">B89</f>
        <v>ai-lens.eu</v>
      </c>
      <c r="G89" s="10" t="str">
        <f aca="false">Config!$B$5</f>
        <v>network</v>
      </c>
      <c r="H89" s="10" t="str">
        <f aca="false">Config!$B$3</f>
        <v>2610_ff_lansare</v>
      </c>
      <c r="I89" s="10" t="str">
        <f aca="false">Config!$B$4</f>
        <v>general</v>
      </c>
      <c r="J89" s="10" t="str">
        <f aca="false">"https://"&amp;D89&amp;E89&amp;"?utm_source="&amp;F89&amp;"&amp;utm_medium="&amp;G89&amp;"&amp;utm_campaign="&amp;H89&amp;"&amp;utm_content="&amp;I89</f>
        <v>https://the3webs.com/?utm_source=ai-lens.eu&amp;utm_medium=network&amp;utm_campaign=2610_ff_lansare&amp;utm_content=general</v>
      </c>
    </row>
    <row r="90" customFormat="false" ht="15" hidden="false" customHeight="false" outlineLevel="0" collapsed="false">
      <c r="A90" s="10" t="s">
        <v>58</v>
      </c>
      <c r="B90" s="10" t="str">
        <f aca="false">INDEX('Site-uri'!$B$2:$B$20,MATCH(A90,'Site-uri'!$A$2:$A$20,0))</f>
        <v>ai-lens.eu</v>
      </c>
      <c r="C90" s="10" t="s">
        <v>94</v>
      </c>
      <c r="D90" s="10" t="str">
        <f aca="false">INDEX('Site-uri'!$B$2:$B$20,MATCH(C90,'Site-uri'!$A$2:$A$20,0))</f>
        <v>floride-e2.com</v>
      </c>
      <c r="E90" s="10" t="str">
        <f aca="false">INDEX('Site-uri'!$C$2:$C$20,MATCH(C90,'Site-uri'!$A$2:$A$20,0))</f>
        <v>/</v>
      </c>
      <c r="F90" s="10" t="str">
        <f aca="false">B90</f>
        <v>ai-lens.eu</v>
      </c>
      <c r="G90" s="10" t="str">
        <f aca="false">Config!$B$5</f>
        <v>network</v>
      </c>
      <c r="H90" s="10" t="str">
        <f aca="false">Config!$B$3</f>
        <v>2610_ff_lansare</v>
      </c>
      <c r="I90" s="10" t="str">
        <f aca="false">Config!$B$4</f>
        <v>general</v>
      </c>
      <c r="J90" s="10" t="str">
        <f aca="false">"https://"&amp;D90&amp;E90&amp;"?utm_source="&amp;F90&amp;"&amp;utm_medium="&amp;G90&amp;"&amp;utm_campaign="&amp;H90&amp;"&amp;utm_content="&amp;I90</f>
        <v>https://floride-e2.com/?utm_source=ai-lens.eu&amp;utm_medium=network&amp;utm_campaign=2610_ff_lansare&amp;utm_content=general</v>
      </c>
    </row>
    <row r="91" customFormat="false" ht="15" hidden="false" customHeight="false" outlineLevel="0" collapsed="false">
      <c r="A91" s="10" t="s">
        <v>58</v>
      </c>
      <c r="B91" s="10" t="str">
        <f aca="false">INDEX('Site-uri'!$B$2:$B$20,MATCH(A91,'Site-uri'!$A$2:$A$20,0))</f>
        <v>ai-lens.eu</v>
      </c>
      <c r="C91" s="10" t="s">
        <v>96</v>
      </c>
      <c r="D91" s="10" t="str">
        <f aca="false">INDEX('Site-uri'!$B$2:$B$20,MATCH(C91,'Site-uri'!$A$2:$A$20,0))</f>
        <v>ecbtax.com</v>
      </c>
      <c r="E91" s="10" t="str">
        <f aca="false">INDEX('Site-uri'!$C$2:$C$20,MATCH(C91,'Site-uri'!$A$2:$A$20,0))</f>
        <v>/</v>
      </c>
      <c r="F91" s="10" t="str">
        <f aca="false">B91</f>
        <v>ai-lens.eu</v>
      </c>
      <c r="G91" s="10" t="str">
        <f aca="false">Config!$B$5</f>
        <v>network</v>
      </c>
      <c r="H91" s="10" t="str">
        <f aca="false">Config!$B$3</f>
        <v>2610_ff_lansare</v>
      </c>
      <c r="I91" s="10" t="str">
        <f aca="false">Config!$B$4</f>
        <v>general</v>
      </c>
      <c r="J91" s="10" t="str">
        <f aca="false">"https://"&amp;D91&amp;E91&amp;"?utm_source="&amp;F91&amp;"&amp;utm_medium="&amp;G91&amp;"&amp;utm_campaign="&amp;H91&amp;"&amp;utm_content="&amp;I91</f>
        <v>https://ecbtax.com/?utm_source=ai-lens.eu&amp;utm_medium=network&amp;utm_campaign=2610_ff_lansare&amp;utm_content=general</v>
      </c>
    </row>
    <row r="92" customFormat="false" ht="15" hidden="false" customHeight="false" outlineLevel="0" collapsed="false">
      <c r="A92" s="10" t="s">
        <v>61</v>
      </c>
      <c r="B92" s="10" t="str">
        <f aca="false">INDEX('Site-uri'!$B$2:$B$20,MATCH(A92,'Site-uri'!$A$2:$A$20,0))</f>
        <v>aireadyinjector.com</v>
      </c>
      <c r="C92" s="10" t="s">
        <v>45</v>
      </c>
      <c r="D92" s="10" t="str">
        <f aca="false">INDEX('Site-uri'!$B$2:$B$20,MATCH(C92,'Site-uri'!$A$2:$A$20,0))</f>
        <v>5thelement.ai</v>
      </c>
      <c r="E92" s="10" t="str">
        <f aca="false">INDEX('Site-uri'!$C$2:$C$20,MATCH(C92,'Site-uri'!$A$2:$A$20,0))</f>
        <v>/</v>
      </c>
      <c r="F92" s="10" t="str">
        <f aca="false">B92</f>
        <v>aireadyinjector.com</v>
      </c>
      <c r="G92" s="10" t="str">
        <f aca="false">Config!$B$5</f>
        <v>network</v>
      </c>
      <c r="H92" s="10" t="str">
        <f aca="false">Config!$B$3</f>
        <v>2610_ff_lansare</v>
      </c>
      <c r="I92" s="10" t="str">
        <f aca="false">Config!$B$4</f>
        <v>general</v>
      </c>
      <c r="J92" s="10" t="str">
        <f aca="false">"https://"&amp;D92&amp;E92&amp;"?utm_source="&amp;F92&amp;"&amp;utm_medium="&amp;G92&amp;"&amp;utm_campaign="&amp;H92&amp;"&amp;utm_content="&amp;I92</f>
        <v>https://5thelement.ai/?utm_source=aireadyinjector.com&amp;utm_medium=network&amp;utm_campaign=2610_ff_lansare&amp;utm_content=general</v>
      </c>
    </row>
    <row r="93" customFormat="false" ht="15" hidden="false" customHeight="false" outlineLevel="0" collapsed="false">
      <c r="A93" s="10" t="s">
        <v>61</v>
      </c>
      <c r="B93" s="10" t="str">
        <f aca="false">INDEX('Site-uri'!$B$2:$B$20,MATCH(A93,'Site-uri'!$A$2:$A$20,0))</f>
        <v>aireadyinjector.com</v>
      </c>
      <c r="C93" s="10" t="s">
        <v>49</v>
      </c>
      <c r="D93" s="10" t="str">
        <f aca="false">INDEX('Site-uri'!$B$2:$B$20,MATCH(C93,'Site-uri'!$A$2:$A$20,0))</f>
        <v>aiventure.ro</v>
      </c>
      <c r="E93" s="10" t="str">
        <f aca="false">INDEX('Site-uri'!$C$2:$C$20,MATCH(C93,'Site-uri'!$A$2:$A$20,0))</f>
        <v>/</v>
      </c>
      <c r="F93" s="10" t="str">
        <f aca="false">B93</f>
        <v>aireadyinjector.com</v>
      </c>
      <c r="G93" s="10" t="str">
        <f aca="false">Config!$B$5</f>
        <v>network</v>
      </c>
      <c r="H93" s="10" t="str">
        <f aca="false">Config!$B$3</f>
        <v>2610_ff_lansare</v>
      </c>
      <c r="I93" s="10" t="str">
        <f aca="false">Config!$B$4</f>
        <v>general</v>
      </c>
      <c r="J93" s="10" t="str">
        <f aca="false">"https://"&amp;D93&amp;E93&amp;"?utm_source="&amp;F93&amp;"&amp;utm_medium="&amp;G93&amp;"&amp;utm_campaign="&amp;H93&amp;"&amp;utm_content="&amp;I93</f>
        <v>https://aiventure.ro/?utm_source=aireadyinjector.com&amp;utm_medium=network&amp;utm_campaign=2610_ff_lansare&amp;utm_content=general</v>
      </c>
    </row>
    <row r="94" customFormat="false" ht="15" hidden="false" customHeight="false" outlineLevel="0" collapsed="false">
      <c r="A94" s="10" t="s">
        <v>61</v>
      </c>
      <c r="B94" s="10" t="str">
        <f aca="false">INDEX('Site-uri'!$B$2:$B$20,MATCH(A94,'Site-uri'!$A$2:$A$20,0))</f>
        <v>aireadyinjector.com</v>
      </c>
      <c r="C94" s="10" t="s">
        <v>52</v>
      </c>
      <c r="D94" s="10" t="str">
        <f aca="false">INDEX('Site-uri'!$B$2:$B$20,MATCH(C94,'Site-uri'!$A$2:$A$20,0))</f>
        <v>aiventure.uk</v>
      </c>
      <c r="E94" s="10" t="str">
        <f aca="false">INDEX('Site-uri'!$C$2:$C$20,MATCH(C94,'Site-uri'!$A$2:$A$20,0))</f>
        <v>/</v>
      </c>
      <c r="F94" s="10" t="str">
        <f aca="false">B94</f>
        <v>aireadyinjector.com</v>
      </c>
      <c r="G94" s="10" t="str">
        <f aca="false">Config!$B$5</f>
        <v>network</v>
      </c>
      <c r="H94" s="10" t="str">
        <f aca="false">Config!$B$3</f>
        <v>2610_ff_lansare</v>
      </c>
      <c r="I94" s="10" t="str">
        <f aca="false">Config!$B$4</f>
        <v>general</v>
      </c>
      <c r="J94" s="10" t="str">
        <f aca="false">"https://"&amp;D94&amp;E94&amp;"?utm_source="&amp;F94&amp;"&amp;utm_medium="&amp;G94&amp;"&amp;utm_campaign="&amp;H94&amp;"&amp;utm_content="&amp;I94</f>
        <v>https://aiventure.uk/?utm_source=aireadyinjector.com&amp;utm_medium=network&amp;utm_campaign=2610_ff_lansare&amp;utm_content=general</v>
      </c>
    </row>
    <row r="95" customFormat="false" ht="15" hidden="false" customHeight="false" outlineLevel="0" collapsed="false">
      <c r="A95" s="10" t="s">
        <v>61</v>
      </c>
      <c r="B95" s="10" t="str">
        <f aca="false">INDEX('Site-uri'!$B$2:$B$20,MATCH(A95,'Site-uri'!$A$2:$A$20,0))</f>
        <v>aireadyinjector.com</v>
      </c>
      <c r="C95" s="10" t="s">
        <v>55</v>
      </c>
      <c r="D95" s="10" t="str">
        <f aca="false">INDEX('Site-uri'!$B$2:$B$20,MATCH(C95,'Site-uri'!$A$2:$A$20,0))</f>
        <v>3webobs.com</v>
      </c>
      <c r="E95" s="10" t="str">
        <f aca="false">INDEX('Site-uri'!$C$2:$C$20,MATCH(C95,'Site-uri'!$A$2:$A$20,0))</f>
        <v>/</v>
      </c>
      <c r="F95" s="10" t="str">
        <f aca="false">B95</f>
        <v>aireadyinjector.com</v>
      </c>
      <c r="G95" s="10" t="str">
        <f aca="false">Config!$B$5</f>
        <v>network</v>
      </c>
      <c r="H95" s="10" t="str">
        <f aca="false">Config!$B$3</f>
        <v>2610_ff_lansare</v>
      </c>
      <c r="I95" s="10" t="str">
        <f aca="false">Config!$B$4</f>
        <v>general</v>
      </c>
      <c r="J95" s="10" t="str">
        <f aca="false">"https://"&amp;D95&amp;E95&amp;"?utm_source="&amp;F95&amp;"&amp;utm_medium="&amp;G95&amp;"&amp;utm_campaign="&amp;H95&amp;"&amp;utm_content="&amp;I95</f>
        <v>https://3webobs.com/?utm_source=aireadyinjector.com&amp;utm_medium=network&amp;utm_campaign=2610_ff_lansare&amp;utm_content=general</v>
      </c>
    </row>
    <row r="96" customFormat="false" ht="15" hidden="false" customHeight="false" outlineLevel="0" collapsed="false">
      <c r="A96" s="10" t="s">
        <v>61</v>
      </c>
      <c r="B96" s="10" t="str">
        <f aca="false">INDEX('Site-uri'!$B$2:$B$20,MATCH(A96,'Site-uri'!$A$2:$A$20,0))</f>
        <v>aireadyinjector.com</v>
      </c>
      <c r="C96" s="10" t="s">
        <v>58</v>
      </c>
      <c r="D96" s="10" t="str">
        <f aca="false">INDEX('Site-uri'!$B$2:$B$20,MATCH(C96,'Site-uri'!$A$2:$A$20,0))</f>
        <v>ai-lens.eu</v>
      </c>
      <c r="E96" s="10" t="str">
        <f aca="false">INDEX('Site-uri'!$C$2:$C$20,MATCH(C96,'Site-uri'!$A$2:$A$20,0))</f>
        <v>/</v>
      </c>
      <c r="F96" s="10" t="str">
        <f aca="false">B96</f>
        <v>aireadyinjector.com</v>
      </c>
      <c r="G96" s="10" t="str">
        <f aca="false">Config!$B$5</f>
        <v>network</v>
      </c>
      <c r="H96" s="10" t="str">
        <f aca="false">Config!$B$3</f>
        <v>2610_ff_lansare</v>
      </c>
      <c r="I96" s="10" t="str">
        <f aca="false">Config!$B$4</f>
        <v>general</v>
      </c>
      <c r="J96" s="10" t="str">
        <f aca="false">"https://"&amp;D96&amp;E96&amp;"?utm_source="&amp;F96&amp;"&amp;utm_medium="&amp;G96&amp;"&amp;utm_campaign="&amp;H96&amp;"&amp;utm_content="&amp;I96</f>
        <v>https://ai-lens.eu/?utm_source=aireadyinjector.com&amp;utm_medium=network&amp;utm_campaign=2610_ff_lansare&amp;utm_content=general</v>
      </c>
    </row>
    <row r="97" customFormat="false" ht="15" hidden="false" customHeight="false" outlineLevel="0" collapsed="false">
      <c r="A97" s="10" t="s">
        <v>61</v>
      </c>
      <c r="B97" s="10" t="str">
        <f aca="false">INDEX('Site-uri'!$B$2:$B$20,MATCH(A97,'Site-uri'!$A$2:$A$20,0))</f>
        <v>aireadyinjector.com</v>
      </c>
      <c r="C97" s="10" t="s">
        <v>64</v>
      </c>
      <c r="D97" s="10" t="str">
        <f aca="false">INDEX('Site-uri'!$B$2:$B$20,MATCH(C97,'Site-uri'!$A$2:$A$20,0))</f>
        <v>eu-ai-audit.eu</v>
      </c>
      <c r="E97" s="10" t="str">
        <f aca="false">INDEX('Site-uri'!$C$2:$C$20,MATCH(C97,'Site-uri'!$A$2:$A$20,0))</f>
        <v>/</v>
      </c>
      <c r="F97" s="10" t="str">
        <f aca="false">B97</f>
        <v>aireadyinjector.com</v>
      </c>
      <c r="G97" s="10" t="str">
        <f aca="false">Config!$B$5</f>
        <v>network</v>
      </c>
      <c r="H97" s="10" t="str">
        <f aca="false">Config!$B$3</f>
        <v>2610_ff_lansare</v>
      </c>
      <c r="I97" s="10" t="str">
        <f aca="false">Config!$B$4</f>
        <v>general</v>
      </c>
      <c r="J97" s="10" t="str">
        <f aca="false">"https://"&amp;D97&amp;E97&amp;"?utm_source="&amp;F97&amp;"&amp;utm_medium="&amp;G97&amp;"&amp;utm_campaign="&amp;H97&amp;"&amp;utm_content="&amp;I97</f>
        <v>https://eu-ai-audit.eu/?utm_source=aireadyinjector.com&amp;utm_medium=network&amp;utm_campaign=2610_ff_lansare&amp;utm_content=general</v>
      </c>
    </row>
    <row r="98" customFormat="false" ht="15" hidden="false" customHeight="false" outlineLevel="0" collapsed="false">
      <c r="A98" s="10" t="s">
        <v>61</v>
      </c>
      <c r="B98" s="10" t="str">
        <f aca="false">INDEX('Site-uri'!$B$2:$B$20,MATCH(A98,'Site-uri'!$A$2:$A$20,0))</f>
        <v>aireadyinjector.com</v>
      </c>
      <c r="C98" s="10" t="s">
        <v>67</v>
      </c>
      <c r="D98" s="10" t="str">
        <f aca="false">INDEX('Site-uri'!$B$2:$B$20,MATCH(C98,'Site-uri'!$A$2:$A$20,0))</f>
        <v>eu-ai-ready.eu</v>
      </c>
      <c r="E98" s="10" t="str">
        <f aca="false">INDEX('Site-uri'!$C$2:$C$20,MATCH(C98,'Site-uri'!$A$2:$A$20,0))</f>
        <v>/</v>
      </c>
      <c r="F98" s="10" t="str">
        <f aca="false">B98</f>
        <v>aireadyinjector.com</v>
      </c>
      <c r="G98" s="10" t="str">
        <f aca="false">Config!$B$5</f>
        <v>network</v>
      </c>
      <c r="H98" s="10" t="str">
        <f aca="false">Config!$B$3</f>
        <v>2610_ff_lansare</v>
      </c>
      <c r="I98" s="10" t="str">
        <f aca="false">Config!$B$4</f>
        <v>general</v>
      </c>
      <c r="J98" s="10" t="str">
        <f aca="false">"https://"&amp;D98&amp;E98&amp;"?utm_source="&amp;F98&amp;"&amp;utm_medium="&amp;G98&amp;"&amp;utm_campaign="&amp;H98&amp;"&amp;utm_content="&amp;I98</f>
        <v>https://eu-ai-ready.eu/?utm_source=aireadyinjector.com&amp;utm_medium=network&amp;utm_campaign=2610_ff_lansare&amp;utm_content=general</v>
      </c>
    </row>
    <row r="99" customFormat="false" ht="15" hidden="false" customHeight="false" outlineLevel="0" collapsed="false">
      <c r="A99" s="10" t="s">
        <v>61</v>
      </c>
      <c r="B99" s="10" t="str">
        <f aca="false">INDEX('Site-uri'!$B$2:$B$20,MATCH(A99,'Site-uri'!$A$2:$A$20,0))</f>
        <v>aireadyinjector.com</v>
      </c>
      <c r="C99" s="10" t="s">
        <v>69</v>
      </c>
      <c r="D99" s="10" t="str">
        <f aca="false">INDEX('Site-uri'!$B$2:$B$20,MATCH(C99,'Site-uri'!$A$2:$A$20,0))</f>
        <v>eu-ai-act.ro</v>
      </c>
      <c r="E99" s="10" t="str">
        <f aca="false">INDEX('Site-uri'!$C$2:$C$20,MATCH(C99,'Site-uri'!$A$2:$A$20,0))</f>
        <v>/</v>
      </c>
      <c r="F99" s="10" t="str">
        <f aca="false">B99</f>
        <v>aireadyinjector.com</v>
      </c>
      <c r="G99" s="10" t="str">
        <f aca="false">Config!$B$5</f>
        <v>network</v>
      </c>
      <c r="H99" s="10" t="str">
        <f aca="false">Config!$B$3</f>
        <v>2610_ff_lansare</v>
      </c>
      <c r="I99" s="10" t="str">
        <f aca="false">Config!$B$4</f>
        <v>general</v>
      </c>
      <c r="J99" s="10" t="str">
        <f aca="false">"https://"&amp;D99&amp;E99&amp;"?utm_source="&amp;F99&amp;"&amp;utm_medium="&amp;G99&amp;"&amp;utm_campaign="&amp;H99&amp;"&amp;utm_content="&amp;I99</f>
        <v>https://eu-ai-act.ro/?utm_source=aireadyinjector.com&amp;utm_medium=network&amp;utm_campaign=2610_ff_lansare&amp;utm_content=general</v>
      </c>
    </row>
    <row r="100" customFormat="false" ht="15" hidden="false" customHeight="false" outlineLevel="0" collapsed="false">
      <c r="A100" s="10" t="s">
        <v>61</v>
      </c>
      <c r="B100" s="10" t="str">
        <f aca="false">INDEX('Site-uri'!$B$2:$B$20,MATCH(A100,'Site-uri'!$A$2:$A$20,0))</f>
        <v>aireadyinjector.com</v>
      </c>
      <c r="C100" s="10" t="s">
        <v>72</v>
      </c>
      <c r="D100" s="10" t="str">
        <f aca="false">INDEX('Site-uri'!$B$2:$B$20,MATCH(C100,'Site-uri'!$A$2:$A$20,0))</f>
        <v>eu-ai-act-ready.eu</v>
      </c>
      <c r="E100" s="10" t="str">
        <f aca="false">INDEX('Site-uri'!$C$2:$C$20,MATCH(C100,'Site-uri'!$A$2:$A$20,0))</f>
        <v>/</v>
      </c>
      <c r="F100" s="10" t="str">
        <f aca="false">B100</f>
        <v>aireadyinjector.com</v>
      </c>
      <c r="G100" s="10" t="str">
        <f aca="false">Config!$B$5</f>
        <v>network</v>
      </c>
      <c r="H100" s="10" t="str">
        <f aca="false">Config!$B$3</f>
        <v>2610_ff_lansare</v>
      </c>
      <c r="I100" s="10" t="str">
        <f aca="false">Config!$B$4</f>
        <v>general</v>
      </c>
      <c r="J100" s="10" t="str">
        <f aca="false">"https://"&amp;D100&amp;E100&amp;"?utm_source="&amp;F100&amp;"&amp;utm_medium="&amp;G100&amp;"&amp;utm_campaign="&amp;H100&amp;"&amp;utm_content="&amp;I100</f>
        <v>https://eu-ai-act-ready.eu/?utm_source=aireadyinjector.com&amp;utm_medium=network&amp;utm_campaign=2610_ff_lansare&amp;utm_content=general</v>
      </c>
    </row>
    <row r="101" customFormat="false" ht="15" hidden="false" customHeight="false" outlineLevel="0" collapsed="false">
      <c r="A101" s="10" t="s">
        <v>61</v>
      </c>
      <c r="B101" s="10" t="str">
        <f aca="false">INDEX('Site-uri'!$B$2:$B$20,MATCH(A101,'Site-uri'!$A$2:$A$20,0))</f>
        <v>aireadyinjector.com</v>
      </c>
      <c r="C101" s="10" t="s">
        <v>75</v>
      </c>
      <c r="D101" s="10" t="str">
        <f aca="false">INDEX('Site-uri'!$B$2:$B$20,MATCH(C101,'Site-uri'!$A$2:$A$20,0))</f>
        <v>eu-112.ro</v>
      </c>
      <c r="E101" s="10" t="str">
        <f aca="false">INDEX('Site-uri'!$C$2:$C$20,MATCH(C101,'Site-uri'!$A$2:$A$20,0))</f>
        <v>/</v>
      </c>
      <c r="F101" s="10" t="str">
        <f aca="false">B101</f>
        <v>aireadyinjector.com</v>
      </c>
      <c r="G101" s="10" t="str">
        <f aca="false">Config!$B$5</f>
        <v>network</v>
      </c>
      <c r="H101" s="10" t="str">
        <f aca="false">Config!$B$3</f>
        <v>2610_ff_lansare</v>
      </c>
      <c r="I101" s="10" t="str">
        <f aca="false">Config!$B$4</f>
        <v>general</v>
      </c>
      <c r="J101" s="10" t="str">
        <f aca="false">"https://"&amp;D101&amp;E101&amp;"?utm_source="&amp;F101&amp;"&amp;utm_medium="&amp;G101&amp;"&amp;utm_campaign="&amp;H101&amp;"&amp;utm_content="&amp;I101</f>
        <v>https://eu-112.ro/?utm_source=aireadyinjector.com&amp;utm_medium=network&amp;utm_campaign=2610_ff_lansare&amp;utm_content=general</v>
      </c>
    </row>
    <row r="102" customFormat="false" ht="15" hidden="false" customHeight="false" outlineLevel="0" collapsed="false">
      <c r="A102" s="10" t="s">
        <v>61</v>
      </c>
      <c r="B102" s="10" t="str">
        <f aca="false">INDEX('Site-uri'!$B$2:$B$20,MATCH(A102,'Site-uri'!$A$2:$A$20,0))</f>
        <v>aireadyinjector.com</v>
      </c>
      <c r="C102" s="10" t="s">
        <v>78</v>
      </c>
      <c r="D102" s="10" t="str">
        <f aca="false">INDEX('Site-uri'!$B$2:$B$20,MATCH(C102,'Site-uri'!$A$2:$A$20,0))</f>
        <v>eu-112.eu</v>
      </c>
      <c r="E102" s="10" t="str">
        <f aca="false">INDEX('Site-uri'!$C$2:$C$20,MATCH(C102,'Site-uri'!$A$2:$A$20,0))</f>
        <v>/</v>
      </c>
      <c r="F102" s="10" t="str">
        <f aca="false">B102</f>
        <v>aireadyinjector.com</v>
      </c>
      <c r="G102" s="10" t="str">
        <f aca="false">Config!$B$5</f>
        <v>network</v>
      </c>
      <c r="H102" s="10" t="str">
        <f aca="false">Config!$B$3</f>
        <v>2610_ff_lansare</v>
      </c>
      <c r="I102" s="10" t="str">
        <f aca="false">Config!$B$4</f>
        <v>general</v>
      </c>
      <c r="J102" s="10" t="str">
        <f aca="false">"https://"&amp;D102&amp;E102&amp;"?utm_source="&amp;F102&amp;"&amp;utm_medium="&amp;G102&amp;"&amp;utm_campaign="&amp;H102&amp;"&amp;utm_content="&amp;I102</f>
        <v>https://eu-112.eu/?utm_source=aireadyinjector.com&amp;utm_medium=network&amp;utm_campaign=2610_ff_lansare&amp;utm_content=general</v>
      </c>
    </row>
    <row r="103" customFormat="false" ht="15" hidden="false" customHeight="false" outlineLevel="0" collapsed="false">
      <c r="A103" s="10" t="s">
        <v>61</v>
      </c>
      <c r="B103" s="10" t="str">
        <f aca="false">INDEX('Site-uri'!$B$2:$B$20,MATCH(A103,'Site-uri'!$A$2:$A$20,0))</f>
        <v>aireadyinjector.com</v>
      </c>
      <c r="C103" s="10" t="s">
        <v>81</v>
      </c>
      <c r="D103" s="10" t="str">
        <f aca="false">INDEX('Site-uri'!$B$2:$B$20,MATCH(C103,'Site-uri'!$A$2:$A$20,0))</f>
        <v>1clic-ia.eu</v>
      </c>
      <c r="E103" s="10" t="str">
        <f aca="false">INDEX('Site-uri'!$C$2:$C$20,MATCH(C103,'Site-uri'!$A$2:$A$20,0))</f>
        <v>/</v>
      </c>
      <c r="F103" s="10" t="str">
        <f aca="false">B103</f>
        <v>aireadyinjector.com</v>
      </c>
      <c r="G103" s="10" t="str">
        <f aca="false">Config!$B$5</f>
        <v>network</v>
      </c>
      <c r="H103" s="10" t="str">
        <f aca="false">Config!$B$3</f>
        <v>2610_ff_lansare</v>
      </c>
      <c r="I103" s="10" t="str">
        <f aca="false">Config!$B$4</f>
        <v>general</v>
      </c>
      <c r="J103" s="10" t="str">
        <f aca="false">"https://"&amp;D103&amp;E103&amp;"?utm_source="&amp;F103&amp;"&amp;utm_medium="&amp;G103&amp;"&amp;utm_campaign="&amp;H103&amp;"&amp;utm_content="&amp;I103</f>
        <v>https://1clic-ia.eu/?utm_source=aireadyinjector.com&amp;utm_medium=network&amp;utm_campaign=2610_ff_lansare&amp;utm_content=general</v>
      </c>
    </row>
    <row r="104" customFormat="false" ht="15" hidden="false" customHeight="false" outlineLevel="0" collapsed="false">
      <c r="A104" s="10" t="s">
        <v>61</v>
      </c>
      <c r="B104" s="10" t="str">
        <f aca="false">INDEX('Site-uri'!$B$2:$B$20,MATCH(A104,'Site-uri'!$A$2:$A$20,0))</f>
        <v>aireadyinjector.com</v>
      </c>
      <c r="C104" s="10" t="s">
        <v>84</v>
      </c>
      <c r="D104" s="10" t="str">
        <f aca="false">INDEX('Site-uri'!$B$2:$B$20,MATCH(C104,'Site-uri'!$A$2:$A$20,0))</f>
        <v>1clic-ia.fr</v>
      </c>
      <c r="E104" s="10" t="str">
        <f aca="false">INDEX('Site-uri'!$C$2:$C$20,MATCH(C104,'Site-uri'!$A$2:$A$20,0))</f>
        <v>/</v>
      </c>
      <c r="F104" s="10" t="str">
        <f aca="false">B104</f>
        <v>aireadyinjector.com</v>
      </c>
      <c r="G104" s="10" t="str">
        <f aca="false">Config!$B$5</f>
        <v>network</v>
      </c>
      <c r="H104" s="10" t="str">
        <f aca="false">Config!$B$3</f>
        <v>2610_ff_lansare</v>
      </c>
      <c r="I104" s="10" t="str">
        <f aca="false">Config!$B$4</f>
        <v>general</v>
      </c>
      <c r="J104" s="10" t="str">
        <f aca="false">"https://"&amp;D104&amp;E104&amp;"?utm_source="&amp;F104&amp;"&amp;utm_medium="&amp;G104&amp;"&amp;utm_campaign="&amp;H104&amp;"&amp;utm_content="&amp;I104</f>
        <v>https://1clic-ia.fr/?utm_source=aireadyinjector.com&amp;utm_medium=network&amp;utm_campaign=2610_ff_lansare&amp;utm_content=general</v>
      </c>
    </row>
    <row r="105" customFormat="false" ht="15" hidden="false" customHeight="false" outlineLevel="0" collapsed="false">
      <c r="A105" s="10" t="s">
        <v>61</v>
      </c>
      <c r="B105" s="10" t="str">
        <f aca="false">INDEX('Site-uri'!$B$2:$B$20,MATCH(A105,'Site-uri'!$A$2:$A$20,0))</f>
        <v>aireadyinjector.com</v>
      </c>
      <c r="C105" s="10" t="s">
        <v>86</v>
      </c>
      <c r="D105" s="10" t="str">
        <f aca="false">INDEX('Site-uri'!$B$2:$B$20,MATCH(C105,'Site-uri'!$A$2:$A$20,0))</f>
        <v>firmsfinder.eu</v>
      </c>
      <c r="E105" s="10" t="str">
        <f aca="false">INDEX('Site-uri'!$C$2:$C$20,MATCH(C105,'Site-uri'!$A$2:$A$20,0))</f>
        <v>/</v>
      </c>
      <c r="F105" s="10" t="str">
        <f aca="false">B105</f>
        <v>aireadyinjector.com</v>
      </c>
      <c r="G105" s="10" t="str">
        <f aca="false">Config!$B$5</f>
        <v>network</v>
      </c>
      <c r="H105" s="10" t="str">
        <f aca="false">Config!$B$3</f>
        <v>2610_ff_lansare</v>
      </c>
      <c r="I105" s="10" t="str">
        <f aca="false">Config!$B$4</f>
        <v>general</v>
      </c>
      <c r="J105" s="10" t="str">
        <f aca="false">"https://"&amp;D105&amp;E105&amp;"?utm_source="&amp;F105&amp;"&amp;utm_medium="&amp;G105&amp;"&amp;utm_campaign="&amp;H105&amp;"&amp;utm_content="&amp;I105</f>
        <v>https://firmsfinder.eu/?utm_source=aireadyinjector.com&amp;utm_medium=network&amp;utm_campaign=2610_ff_lansare&amp;utm_content=general</v>
      </c>
    </row>
    <row r="106" customFormat="false" ht="15" hidden="false" customHeight="false" outlineLevel="0" collapsed="false">
      <c r="A106" s="10" t="s">
        <v>61</v>
      </c>
      <c r="B106" s="10" t="str">
        <f aca="false">INDEX('Site-uri'!$B$2:$B$20,MATCH(A106,'Site-uri'!$A$2:$A$20,0))</f>
        <v>aireadyinjector.com</v>
      </c>
      <c r="C106" s="10" t="s">
        <v>89</v>
      </c>
      <c r="D106" s="10" t="str">
        <f aca="false">INDEX('Site-uri'!$B$2:$B$20,MATCH(C106,'Site-uri'!$A$2:$A$20,0))</f>
        <v>b2b-ai-library.org</v>
      </c>
      <c r="E106" s="10" t="str">
        <f aca="false">INDEX('Site-uri'!$C$2:$C$20,MATCH(C106,'Site-uri'!$A$2:$A$20,0))</f>
        <v>/</v>
      </c>
      <c r="F106" s="10" t="str">
        <f aca="false">B106</f>
        <v>aireadyinjector.com</v>
      </c>
      <c r="G106" s="10" t="str">
        <f aca="false">Config!$B$5</f>
        <v>network</v>
      </c>
      <c r="H106" s="10" t="str">
        <f aca="false">Config!$B$3</f>
        <v>2610_ff_lansare</v>
      </c>
      <c r="I106" s="10" t="str">
        <f aca="false">Config!$B$4</f>
        <v>general</v>
      </c>
      <c r="J106" s="10" t="str">
        <f aca="false">"https://"&amp;D106&amp;E106&amp;"?utm_source="&amp;F106&amp;"&amp;utm_medium="&amp;G106&amp;"&amp;utm_campaign="&amp;H106&amp;"&amp;utm_content="&amp;I106</f>
        <v>https://b2b-ai-library.org/?utm_source=aireadyinjector.com&amp;utm_medium=network&amp;utm_campaign=2610_ff_lansare&amp;utm_content=general</v>
      </c>
    </row>
    <row r="107" customFormat="false" ht="15" hidden="false" customHeight="false" outlineLevel="0" collapsed="false">
      <c r="A107" s="10" t="s">
        <v>61</v>
      </c>
      <c r="B107" s="10" t="str">
        <f aca="false">INDEX('Site-uri'!$B$2:$B$20,MATCH(A107,'Site-uri'!$A$2:$A$20,0))</f>
        <v>aireadyinjector.com</v>
      </c>
      <c r="C107" s="10" t="s">
        <v>91</v>
      </c>
      <c r="D107" s="10" t="str">
        <f aca="false">INDEX('Site-uri'!$B$2:$B$20,MATCH(C107,'Site-uri'!$A$2:$A$20,0))</f>
        <v>the3webs.com</v>
      </c>
      <c r="E107" s="10" t="str">
        <f aca="false">INDEX('Site-uri'!$C$2:$C$20,MATCH(C107,'Site-uri'!$A$2:$A$20,0))</f>
        <v>/</v>
      </c>
      <c r="F107" s="10" t="str">
        <f aca="false">B107</f>
        <v>aireadyinjector.com</v>
      </c>
      <c r="G107" s="10" t="str">
        <f aca="false">Config!$B$5</f>
        <v>network</v>
      </c>
      <c r="H107" s="10" t="str">
        <f aca="false">Config!$B$3</f>
        <v>2610_ff_lansare</v>
      </c>
      <c r="I107" s="10" t="str">
        <f aca="false">Config!$B$4</f>
        <v>general</v>
      </c>
      <c r="J107" s="10" t="str">
        <f aca="false">"https://"&amp;D107&amp;E107&amp;"?utm_source="&amp;F107&amp;"&amp;utm_medium="&amp;G107&amp;"&amp;utm_campaign="&amp;H107&amp;"&amp;utm_content="&amp;I107</f>
        <v>https://the3webs.com/?utm_source=aireadyinjector.com&amp;utm_medium=network&amp;utm_campaign=2610_ff_lansare&amp;utm_content=general</v>
      </c>
    </row>
    <row r="108" customFormat="false" ht="15" hidden="false" customHeight="false" outlineLevel="0" collapsed="false">
      <c r="A108" s="10" t="s">
        <v>61</v>
      </c>
      <c r="B108" s="10" t="str">
        <f aca="false">INDEX('Site-uri'!$B$2:$B$20,MATCH(A108,'Site-uri'!$A$2:$A$20,0))</f>
        <v>aireadyinjector.com</v>
      </c>
      <c r="C108" s="10" t="s">
        <v>94</v>
      </c>
      <c r="D108" s="10" t="str">
        <f aca="false">INDEX('Site-uri'!$B$2:$B$20,MATCH(C108,'Site-uri'!$A$2:$A$20,0))</f>
        <v>floride-e2.com</v>
      </c>
      <c r="E108" s="10" t="str">
        <f aca="false">INDEX('Site-uri'!$C$2:$C$20,MATCH(C108,'Site-uri'!$A$2:$A$20,0))</f>
        <v>/</v>
      </c>
      <c r="F108" s="10" t="str">
        <f aca="false">B108</f>
        <v>aireadyinjector.com</v>
      </c>
      <c r="G108" s="10" t="str">
        <f aca="false">Config!$B$5</f>
        <v>network</v>
      </c>
      <c r="H108" s="10" t="str">
        <f aca="false">Config!$B$3</f>
        <v>2610_ff_lansare</v>
      </c>
      <c r="I108" s="10" t="str">
        <f aca="false">Config!$B$4</f>
        <v>general</v>
      </c>
      <c r="J108" s="10" t="str">
        <f aca="false">"https://"&amp;D108&amp;E108&amp;"?utm_source="&amp;F108&amp;"&amp;utm_medium="&amp;G108&amp;"&amp;utm_campaign="&amp;H108&amp;"&amp;utm_content="&amp;I108</f>
        <v>https://floride-e2.com/?utm_source=aireadyinjector.com&amp;utm_medium=network&amp;utm_campaign=2610_ff_lansare&amp;utm_content=general</v>
      </c>
    </row>
    <row r="109" customFormat="false" ht="15" hidden="false" customHeight="false" outlineLevel="0" collapsed="false">
      <c r="A109" s="10" t="s">
        <v>61</v>
      </c>
      <c r="B109" s="10" t="str">
        <f aca="false">INDEX('Site-uri'!$B$2:$B$20,MATCH(A109,'Site-uri'!$A$2:$A$20,0))</f>
        <v>aireadyinjector.com</v>
      </c>
      <c r="C109" s="10" t="s">
        <v>96</v>
      </c>
      <c r="D109" s="10" t="str">
        <f aca="false">INDEX('Site-uri'!$B$2:$B$20,MATCH(C109,'Site-uri'!$A$2:$A$20,0))</f>
        <v>ecbtax.com</v>
      </c>
      <c r="E109" s="10" t="str">
        <f aca="false">INDEX('Site-uri'!$C$2:$C$20,MATCH(C109,'Site-uri'!$A$2:$A$20,0))</f>
        <v>/</v>
      </c>
      <c r="F109" s="10" t="str">
        <f aca="false">B109</f>
        <v>aireadyinjector.com</v>
      </c>
      <c r="G109" s="10" t="str">
        <f aca="false">Config!$B$5</f>
        <v>network</v>
      </c>
      <c r="H109" s="10" t="str">
        <f aca="false">Config!$B$3</f>
        <v>2610_ff_lansare</v>
      </c>
      <c r="I109" s="10" t="str">
        <f aca="false">Config!$B$4</f>
        <v>general</v>
      </c>
      <c r="J109" s="10" t="str">
        <f aca="false">"https://"&amp;D109&amp;E109&amp;"?utm_source="&amp;F109&amp;"&amp;utm_medium="&amp;G109&amp;"&amp;utm_campaign="&amp;H109&amp;"&amp;utm_content="&amp;I109</f>
        <v>https://ecbtax.com/?utm_source=aireadyinjector.com&amp;utm_medium=network&amp;utm_campaign=2610_ff_lansare&amp;utm_content=general</v>
      </c>
    </row>
    <row r="110" customFormat="false" ht="15" hidden="false" customHeight="false" outlineLevel="0" collapsed="false">
      <c r="A110" s="10" t="s">
        <v>64</v>
      </c>
      <c r="B110" s="10" t="str">
        <f aca="false">INDEX('Site-uri'!$B$2:$B$20,MATCH(A110,'Site-uri'!$A$2:$A$20,0))</f>
        <v>eu-ai-audit.eu</v>
      </c>
      <c r="C110" s="10" t="s">
        <v>45</v>
      </c>
      <c r="D110" s="10" t="str">
        <f aca="false">INDEX('Site-uri'!$B$2:$B$20,MATCH(C110,'Site-uri'!$A$2:$A$20,0))</f>
        <v>5thelement.ai</v>
      </c>
      <c r="E110" s="10" t="str">
        <f aca="false">INDEX('Site-uri'!$C$2:$C$20,MATCH(C110,'Site-uri'!$A$2:$A$20,0))</f>
        <v>/</v>
      </c>
      <c r="F110" s="10" t="str">
        <f aca="false">B110</f>
        <v>eu-ai-audit.eu</v>
      </c>
      <c r="G110" s="10" t="str">
        <f aca="false">Config!$B$5</f>
        <v>network</v>
      </c>
      <c r="H110" s="10" t="str">
        <f aca="false">Config!$B$3</f>
        <v>2610_ff_lansare</v>
      </c>
      <c r="I110" s="10" t="str">
        <f aca="false">Config!$B$4</f>
        <v>general</v>
      </c>
      <c r="J110" s="10" t="str">
        <f aca="false">"https://"&amp;D110&amp;E110&amp;"?utm_source="&amp;F110&amp;"&amp;utm_medium="&amp;G110&amp;"&amp;utm_campaign="&amp;H110&amp;"&amp;utm_content="&amp;I110</f>
        <v>https://5thelement.ai/?utm_source=eu-ai-audit.eu&amp;utm_medium=network&amp;utm_campaign=2610_ff_lansare&amp;utm_content=general</v>
      </c>
    </row>
    <row r="111" customFormat="false" ht="15" hidden="false" customHeight="false" outlineLevel="0" collapsed="false">
      <c r="A111" s="10" t="s">
        <v>64</v>
      </c>
      <c r="B111" s="10" t="str">
        <f aca="false">INDEX('Site-uri'!$B$2:$B$20,MATCH(A111,'Site-uri'!$A$2:$A$20,0))</f>
        <v>eu-ai-audit.eu</v>
      </c>
      <c r="C111" s="10" t="s">
        <v>49</v>
      </c>
      <c r="D111" s="10" t="str">
        <f aca="false">INDEX('Site-uri'!$B$2:$B$20,MATCH(C111,'Site-uri'!$A$2:$A$20,0))</f>
        <v>aiventure.ro</v>
      </c>
      <c r="E111" s="10" t="str">
        <f aca="false">INDEX('Site-uri'!$C$2:$C$20,MATCH(C111,'Site-uri'!$A$2:$A$20,0))</f>
        <v>/</v>
      </c>
      <c r="F111" s="10" t="str">
        <f aca="false">B111</f>
        <v>eu-ai-audit.eu</v>
      </c>
      <c r="G111" s="10" t="str">
        <f aca="false">Config!$B$5</f>
        <v>network</v>
      </c>
      <c r="H111" s="10" t="str">
        <f aca="false">Config!$B$3</f>
        <v>2610_ff_lansare</v>
      </c>
      <c r="I111" s="10" t="str">
        <f aca="false">Config!$B$4</f>
        <v>general</v>
      </c>
      <c r="J111" s="10" t="str">
        <f aca="false">"https://"&amp;D111&amp;E111&amp;"?utm_source="&amp;F111&amp;"&amp;utm_medium="&amp;G111&amp;"&amp;utm_campaign="&amp;H111&amp;"&amp;utm_content="&amp;I111</f>
        <v>https://aiventure.ro/?utm_source=eu-ai-audit.eu&amp;utm_medium=network&amp;utm_campaign=2610_ff_lansare&amp;utm_content=general</v>
      </c>
    </row>
    <row r="112" customFormat="false" ht="15" hidden="false" customHeight="false" outlineLevel="0" collapsed="false">
      <c r="A112" s="10" t="s">
        <v>64</v>
      </c>
      <c r="B112" s="10" t="str">
        <f aca="false">INDEX('Site-uri'!$B$2:$B$20,MATCH(A112,'Site-uri'!$A$2:$A$20,0))</f>
        <v>eu-ai-audit.eu</v>
      </c>
      <c r="C112" s="10" t="s">
        <v>52</v>
      </c>
      <c r="D112" s="10" t="str">
        <f aca="false">INDEX('Site-uri'!$B$2:$B$20,MATCH(C112,'Site-uri'!$A$2:$A$20,0))</f>
        <v>aiventure.uk</v>
      </c>
      <c r="E112" s="10" t="str">
        <f aca="false">INDEX('Site-uri'!$C$2:$C$20,MATCH(C112,'Site-uri'!$A$2:$A$20,0))</f>
        <v>/</v>
      </c>
      <c r="F112" s="10" t="str">
        <f aca="false">B112</f>
        <v>eu-ai-audit.eu</v>
      </c>
      <c r="G112" s="10" t="str">
        <f aca="false">Config!$B$5</f>
        <v>network</v>
      </c>
      <c r="H112" s="10" t="str">
        <f aca="false">Config!$B$3</f>
        <v>2610_ff_lansare</v>
      </c>
      <c r="I112" s="10" t="str">
        <f aca="false">Config!$B$4</f>
        <v>general</v>
      </c>
      <c r="J112" s="10" t="str">
        <f aca="false">"https://"&amp;D112&amp;E112&amp;"?utm_source="&amp;F112&amp;"&amp;utm_medium="&amp;G112&amp;"&amp;utm_campaign="&amp;H112&amp;"&amp;utm_content="&amp;I112</f>
        <v>https://aiventure.uk/?utm_source=eu-ai-audit.eu&amp;utm_medium=network&amp;utm_campaign=2610_ff_lansare&amp;utm_content=general</v>
      </c>
    </row>
    <row r="113" customFormat="false" ht="15" hidden="false" customHeight="false" outlineLevel="0" collapsed="false">
      <c r="A113" s="10" t="s">
        <v>64</v>
      </c>
      <c r="B113" s="10" t="str">
        <f aca="false">INDEX('Site-uri'!$B$2:$B$20,MATCH(A113,'Site-uri'!$A$2:$A$20,0))</f>
        <v>eu-ai-audit.eu</v>
      </c>
      <c r="C113" s="10" t="s">
        <v>55</v>
      </c>
      <c r="D113" s="10" t="str">
        <f aca="false">INDEX('Site-uri'!$B$2:$B$20,MATCH(C113,'Site-uri'!$A$2:$A$20,0))</f>
        <v>3webobs.com</v>
      </c>
      <c r="E113" s="10" t="str">
        <f aca="false">INDEX('Site-uri'!$C$2:$C$20,MATCH(C113,'Site-uri'!$A$2:$A$20,0))</f>
        <v>/</v>
      </c>
      <c r="F113" s="10" t="str">
        <f aca="false">B113</f>
        <v>eu-ai-audit.eu</v>
      </c>
      <c r="G113" s="10" t="str">
        <f aca="false">Config!$B$5</f>
        <v>network</v>
      </c>
      <c r="H113" s="10" t="str">
        <f aca="false">Config!$B$3</f>
        <v>2610_ff_lansare</v>
      </c>
      <c r="I113" s="10" t="str">
        <f aca="false">Config!$B$4</f>
        <v>general</v>
      </c>
      <c r="J113" s="10" t="str">
        <f aca="false">"https://"&amp;D113&amp;E113&amp;"?utm_source="&amp;F113&amp;"&amp;utm_medium="&amp;G113&amp;"&amp;utm_campaign="&amp;H113&amp;"&amp;utm_content="&amp;I113</f>
        <v>https://3webobs.com/?utm_source=eu-ai-audit.eu&amp;utm_medium=network&amp;utm_campaign=2610_ff_lansare&amp;utm_content=general</v>
      </c>
    </row>
    <row r="114" customFormat="false" ht="15" hidden="false" customHeight="false" outlineLevel="0" collapsed="false">
      <c r="A114" s="10" t="s">
        <v>64</v>
      </c>
      <c r="B114" s="10" t="str">
        <f aca="false">INDEX('Site-uri'!$B$2:$B$20,MATCH(A114,'Site-uri'!$A$2:$A$20,0))</f>
        <v>eu-ai-audit.eu</v>
      </c>
      <c r="C114" s="10" t="s">
        <v>58</v>
      </c>
      <c r="D114" s="10" t="str">
        <f aca="false">INDEX('Site-uri'!$B$2:$B$20,MATCH(C114,'Site-uri'!$A$2:$A$20,0))</f>
        <v>ai-lens.eu</v>
      </c>
      <c r="E114" s="10" t="str">
        <f aca="false">INDEX('Site-uri'!$C$2:$C$20,MATCH(C114,'Site-uri'!$A$2:$A$20,0))</f>
        <v>/</v>
      </c>
      <c r="F114" s="10" t="str">
        <f aca="false">B114</f>
        <v>eu-ai-audit.eu</v>
      </c>
      <c r="G114" s="10" t="str">
        <f aca="false">Config!$B$5</f>
        <v>network</v>
      </c>
      <c r="H114" s="10" t="str">
        <f aca="false">Config!$B$3</f>
        <v>2610_ff_lansare</v>
      </c>
      <c r="I114" s="10" t="str">
        <f aca="false">Config!$B$4</f>
        <v>general</v>
      </c>
      <c r="J114" s="10" t="str">
        <f aca="false">"https://"&amp;D114&amp;E114&amp;"?utm_source="&amp;F114&amp;"&amp;utm_medium="&amp;G114&amp;"&amp;utm_campaign="&amp;H114&amp;"&amp;utm_content="&amp;I114</f>
        <v>https://ai-lens.eu/?utm_source=eu-ai-audit.eu&amp;utm_medium=network&amp;utm_campaign=2610_ff_lansare&amp;utm_content=general</v>
      </c>
    </row>
    <row r="115" customFormat="false" ht="15" hidden="false" customHeight="false" outlineLevel="0" collapsed="false">
      <c r="A115" s="10" t="s">
        <v>64</v>
      </c>
      <c r="B115" s="10" t="str">
        <f aca="false">INDEX('Site-uri'!$B$2:$B$20,MATCH(A115,'Site-uri'!$A$2:$A$20,0))</f>
        <v>eu-ai-audit.eu</v>
      </c>
      <c r="C115" s="10" t="s">
        <v>61</v>
      </c>
      <c r="D115" s="10" t="str">
        <f aca="false">INDEX('Site-uri'!$B$2:$B$20,MATCH(C115,'Site-uri'!$A$2:$A$20,0))</f>
        <v>aireadyinjector.com</v>
      </c>
      <c r="E115" s="10" t="str">
        <f aca="false">INDEX('Site-uri'!$C$2:$C$20,MATCH(C115,'Site-uri'!$A$2:$A$20,0))</f>
        <v>/</v>
      </c>
      <c r="F115" s="10" t="str">
        <f aca="false">B115</f>
        <v>eu-ai-audit.eu</v>
      </c>
      <c r="G115" s="10" t="str">
        <f aca="false">Config!$B$5</f>
        <v>network</v>
      </c>
      <c r="H115" s="10" t="str">
        <f aca="false">Config!$B$3</f>
        <v>2610_ff_lansare</v>
      </c>
      <c r="I115" s="10" t="str">
        <f aca="false">Config!$B$4</f>
        <v>general</v>
      </c>
      <c r="J115" s="10" t="str">
        <f aca="false">"https://"&amp;D115&amp;E115&amp;"?utm_source="&amp;F115&amp;"&amp;utm_medium="&amp;G115&amp;"&amp;utm_campaign="&amp;H115&amp;"&amp;utm_content="&amp;I115</f>
        <v>https://aireadyinjector.com/?utm_source=eu-ai-audit.eu&amp;utm_medium=network&amp;utm_campaign=2610_ff_lansare&amp;utm_content=general</v>
      </c>
    </row>
    <row r="116" customFormat="false" ht="15" hidden="false" customHeight="false" outlineLevel="0" collapsed="false">
      <c r="A116" s="10" t="s">
        <v>64</v>
      </c>
      <c r="B116" s="10" t="str">
        <f aca="false">INDEX('Site-uri'!$B$2:$B$20,MATCH(A116,'Site-uri'!$A$2:$A$20,0))</f>
        <v>eu-ai-audit.eu</v>
      </c>
      <c r="C116" s="10" t="s">
        <v>67</v>
      </c>
      <c r="D116" s="10" t="str">
        <f aca="false">INDEX('Site-uri'!$B$2:$B$20,MATCH(C116,'Site-uri'!$A$2:$A$20,0))</f>
        <v>eu-ai-ready.eu</v>
      </c>
      <c r="E116" s="10" t="str">
        <f aca="false">INDEX('Site-uri'!$C$2:$C$20,MATCH(C116,'Site-uri'!$A$2:$A$20,0))</f>
        <v>/</v>
      </c>
      <c r="F116" s="10" t="str">
        <f aca="false">B116</f>
        <v>eu-ai-audit.eu</v>
      </c>
      <c r="G116" s="10" t="str">
        <f aca="false">Config!$B$5</f>
        <v>network</v>
      </c>
      <c r="H116" s="10" t="str">
        <f aca="false">Config!$B$3</f>
        <v>2610_ff_lansare</v>
      </c>
      <c r="I116" s="10" t="str">
        <f aca="false">Config!$B$4</f>
        <v>general</v>
      </c>
      <c r="J116" s="10" t="str">
        <f aca="false">"https://"&amp;D116&amp;E116&amp;"?utm_source="&amp;F116&amp;"&amp;utm_medium="&amp;G116&amp;"&amp;utm_campaign="&amp;H116&amp;"&amp;utm_content="&amp;I116</f>
        <v>https://eu-ai-ready.eu/?utm_source=eu-ai-audit.eu&amp;utm_medium=network&amp;utm_campaign=2610_ff_lansare&amp;utm_content=general</v>
      </c>
    </row>
    <row r="117" customFormat="false" ht="15" hidden="false" customHeight="false" outlineLevel="0" collapsed="false">
      <c r="A117" s="10" t="s">
        <v>64</v>
      </c>
      <c r="B117" s="10" t="str">
        <f aca="false">INDEX('Site-uri'!$B$2:$B$20,MATCH(A117,'Site-uri'!$A$2:$A$20,0))</f>
        <v>eu-ai-audit.eu</v>
      </c>
      <c r="C117" s="10" t="s">
        <v>69</v>
      </c>
      <c r="D117" s="10" t="str">
        <f aca="false">INDEX('Site-uri'!$B$2:$B$20,MATCH(C117,'Site-uri'!$A$2:$A$20,0))</f>
        <v>eu-ai-act.ro</v>
      </c>
      <c r="E117" s="10" t="str">
        <f aca="false">INDEX('Site-uri'!$C$2:$C$20,MATCH(C117,'Site-uri'!$A$2:$A$20,0))</f>
        <v>/</v>
      </c>
      <c r="F117" s="10" t="str">
        <f aca="false">B117</f>
        <v>eu-ai-audit.eu</v>
      </c>
      <c r="G117" s="10" t="str">
        <f aca="false">Config!$B$5</f>
        <v>network</v>
      </c>
      <c r="H117" s="10" t="str">
        <f aca="false">Config!$B$3</f>
        <v>2610_ff_lansare</v>
      </c>
      <c r="I117" s="10" t="str">
        <f aca="false">Config!$B$4</f>
        <v>general</v>
      </c>
      <c r="J117" s="10" t="str">
        <f aca="false">"https://"&amp;D117&amp;E117&amp;"?utm_source="&amp;F117&amp;"&amp;utm_medium="&amp;G117&amp;"&amp;utm_campaign="&amp;H117&amp;"&amp;utm_content="&amp;I117</f>
        <v>https://eu-ai-act.ro/?utm_source=eu-ai-audit.eu&amp;utm_medium=network&amp;utm_campaign=2610_ff_lansare&amp;utm_content=general</v>
      </c>
    </row>
    <row r="118" customFormat="false" ht="15" hidden="false" customHeight="false" outlineLevel="0" collapsed="false">
      <c r="A118" s="10" t="s">
        <v>64</v>
      </c>
      <c r="B118" s="10" t="str">
        <f aca="false">INDEX('Site-uri'!$B$2:$B$20,MATCH(A118,'Site-uri'!$A$2:$A$20,0))</f>
        <v>eu-ai-audit.eu</v>
      </c>
      <c r="C118" s="10" t="s">
        <v>72</v>
      </c>
      <c r="D118" s="10" t="str">
        <f aca="false">INDEX('Site-uri'!$B$2:$B$20,MATCH(C118,'Site-uri'!$A$2:$A$20,0))</f>
        <v>eu-ai-act-ready.eu</v>
      </c>
      <c r="E118" s="10" t="str">
        <f aca="false">INDEX('Site-uri'!$C$2:$C$20,MATCH(C118,'Site-uri'!$A$2:$A$20,0))</f>
        <v>/</v>
      </c>
      <c r="F118" s="10" t="str">
        <f aca="false">B118</f>
        <v>eu-ai-audit.eu</v>
      </c>
      <c r="G118" s="10" t="str">
        <f aca="false">Config!$B$5</f>
        <v>network</v>
      </c>
      <c r="H118" s="10" t="str">
        <f aca="false">Config!$B$3</f>
        <v>2610_ff_lansare</v>
      </c>
      <c r="I118" s="10" t="str">
        <f aca="false">Config!$B$4</f>
        <v>general</v>
      </c>
      <c r="J118" s="10" t="str">
        <f aca="false">"https://"&amp;D118&amp;E118&amp;"?utm_source="&amp;F118&amp;"&amp;utm_medium="&amp;G118&amp;"&amp;utm_campaign="&amp;H118&amp;"&amp;utm_content="&amp;I118</f>
        <v>https://eu-ai-act-ready.eu/?utm_source=eu-ai-audit.eu&amp;utm_medium=network&amp;utm_campaign=2610_ff_lansare&amp;utm_content=general</v>
      </c>
    </row>
    <row r="119" customFormat="false" ht="15" hidden="false" customHeight="false" outlineLevel="0" collapsed="false">
      <c r="A119" s="10" t="s">
        <v>64</v>
      </c>
      <c r="B119" s="10" t="str">
        <f aca="false">INDEX('Site-uri'!$B$2:$B$20,MATCH(A119,'Site-uri'!$A$2:$A$20,0))</f>
        <v>eu-ai-audit.eu</v>
      </c>
      <c r="C119" s="10" t="s">
        <v>75</v>
      </c>
      <c r="D119" s="10" t="str">
        <f aca="false">INDEX('Site-uri'!$B$2:$B$20,MATCH(C119,'Site-uri'!$A$2:$A$20,0))</f>
        <v>eu-112.ro</v>
      </c>
      <c r="E119" s="10" t="str">
        <f aca="false">INDEX('Site-uri'!$C$2:$C$20,MATCH(C119,'Site-uri'!$A$2:$A$20,0))</f>
        <v>/</v>
      </c>
      <c r="F119" s="10" t="str">
        <f aca="false">B119</f>
        <v>eu-ai-audit.eu</v>
      </c>
      <c r="G119" s="10" t="str">
        <f aca="false">Config!$B$5</f>
        <v>network</v>
      </c>
      <c r="H119" s="10" t="str">
        <f aca="false">Config!$B$3</f>
        <v>2610_ff_lansare</v>
      </c>
      <c r="I119" s="10" t="str">
        <f aca="false">Config!$B$4</f>
        <v>general</v>
      </c>
      <c r="J119" s="10" t="str">
        <f aca="false">"https://"&amp;D119&amp;E119&amp;"?utm_source="&amp;F119&amp;"&amp;utm_medium="&amp;G119&amp;"&amp;utm_campaign="&amp;H119&amp;"&amp;utm_content="&amp;I119</f>
        <v>https://eu-112.ro/?utm_source=eu-ai-audit.eu&amp;utm_medium=network&amp;utm_campaign=2610_ff_lansare&amp;utm_content=general</v>
      </c>
    </row>
    <row r="120" customFormat="false" ht="15" hidden="false" customHeight="false" outlineLevel="0" collapsed="false">
      <c r="A120" s="10" t="s">
        <v>64</v>
      </c>
      <c r="B120" s="10" t="str">
        <f aca="false">INDEX('Site-uri'!$B$2:$B$20,MATCH(A120,'Site-uri'!$A$2:$A$20,0))</f>
        <v>eu-ai-audit.eu</v>
      </c>
      <c r="C120" s="10" t="s">
        <v>78</v>
      </c>
      <c r="D120" s="10" t="str">
        <f aca="false">INDEX('Site-uri'!$B$2:$B$20,MATCH(C120,'Site-uri'!$A$2:$A$20,0))</f>
        <v>eu-112.eu</v>
      </c>
      <c r="E120" s="10" t="str">
        <f aca="false">INDEX('Site-uri'!$C$2:$C$20,MATCH(C120,'Site-uri'!$A$2:$A$20,0))</f>
        <v>/</v>
      </c>
      <c r="F120" s="10" t="str">
        <f aca="false">B120</f>
        <v>eu-ai-audit.eu</v>
      </c>
      <c r="G120" s="10" t="str">
        <f aca="false">Config!$B$5</f>
        <v>network</v>
      </c>
      <c r="H120" s="10" t="str">
        <f aca="false">Config!$B$3</f>
        <v>2610_ff_lansare</v>
      </c>
      <c r="I120" s="10" t="str">
        <f aca="false">Config!$B$4</f>
        <v>general</v>
      </c>
      <c r="J120" s="10" t="str">
        <f aca="false">"https://"&amp;D120&amp;E120&amp;"?utm_source="&amp;F120&amp;"&amp;utm_medium="&amp;G120&amp;"&amp;utm_campaign="&amp;H120&amp;"&amp;utm_content="&amp;I120</f>
        <v>https://eu-112.eu/?utm_source=eu-ai-audit.eu&amp;utm_medium=network&amp;utm_campaign=2610_ff_lansare&amp;utm_content=general</v>
      </c>
    </row>
    <row r="121" customFormat="false" ht="15" hidden="false" customHeight="false" outlineLevel="0" collapsed="false">
      <c r="A121" s="10" t="s">
        <v>64</v>
      </c>
      <c r="B121" s="10" t="str">
        <f aca="false">INDEX('Site-uri'!$B$2:$B$20,MATCH(A121,'Site-uri'!$A$2:$A$20,0))</f>
        <v>eu-ai-audit.eu</v>
      </c>
      <c r="C121" s="10" t="s">
        <v>81</v>
      </c>
      <c r="D121" s="10" t="str">
        <f aca="false">INDEX('Site-uri'!$B$2:$B$20,MATCH(C121,'Site-uri'!$A$2:$A$20,0))</f>
        <v>1clic-ia.eu</v>
      </c>
      <c r="E121" s="10" t="str">
        <f aca="false">INDEX('Site-uri'!$C$2:$C$20,MATCH(C121,'Site-uri'!$A$2:$A$20,0))</f>
        <v>/</v>
      </c>
      <c r="F121" s="10" t="str">
        <f aca="false">B121</f>
        <v>eu-ai-audit.eu</v>
      </c>
      <c r="G121" s="10" t="str">
        <f aca="false">Config!$B$5</f>
        <v>network</v>
      </c>
      <c r="H121" s="10" t="str">
        <f aca="false">Config!$B$3</f>
        <v>2610_ff_lansare</v>
      </c>
      <c r="I121" s="10" t="str">
        <f aca="false">Config!$B$4</f>
        <v>general</v>
      </c>
      <c r="J121" s="10" t="str">
        <f aca="false">"https://"&amp;D121&amp;E121&amp;"?utm_source="&amp;F121&amp;"&amp;utm_medium="&amp;G121&amp;"&amp;utm_campaign="&amp;H121&amp;"&amp;utm_content="&amp;I121</f>
        <v>https://1clic-ia.eu/?utm_source=eu-ai-audit.eu&amp;utm_medium=network&amp;utm_campaign=2610_ff_lansare&amp;utm_content=general</v>
      </c>
    </row>
    <row r="122" customFormat="false" ht="15" hidden="false" customHeight="false" outlineLevel="0" collapsed="false">
      <c r="A122" s="10" t="s">
        <v>64</v>
      </c>
      <c r="B122" s="10" t="str">
        <f aca="false">INDEX('Site-uri'!$B$2:$B$20,MATCH(A122,'Site-uri'!$A$2:$A$20,0))</f>
        <v>eu-ai-audit.eu</v>
      </c>
      <c r="C122" s="10" t="s">
        <v>84</v>
      </c>
      <c r="D122" s="10" t="str">
        <f aca="false">INDEX('Site-uri'!$B$2:$B$20,MATCH(C122,'Site-uri'!$A$2:$A$20,0))</f>
        <v>1clic-ia.fr</v>
      </c>
      <c r="E122" s="10" t="str">
        <f aca="false">INDEX('Site-uri'!$C$2:$C$20,MATCH(C122,'Site-uri'!$A$2:$A$20,0))</f>
        <v>/</v>
      </c>
      <c r="F122" s="10" t="str">
        <f aca="false">B122</f>
        <v>eu-ai-audit.eu</v>
      </c>
      <c r="G122" s="10" t="str">
        <f aca="false">Config!$B$5</f>
        <v>network</v>
      </c>
      <c r="H122" s="10" t="str">
        <f aca="false">Config!$B$3</f>
        <v>2610_ff_lansare</v>
      </c>
      <c r="I122" s="10" t="str">
        <f aca="false">Config!$B$4</f>
        <v>general</v>
      </c>
      <c r="J122" s="10" t="str">
        <f aca="false">"https://"&amp;D122&amp;E122&amp;"?utm_source="&amp;F122&amp;"&amp;utm_medium="&amp;G122&amp;"&amp;utm_campaign="&amp;H122&amp;"&amp;utm_content="&amp;I122</f>
        <v>https://1clic-ia.fr/?utm_source=eu-ai-audit.eu&amp;utm_medium=network&amp;utm_campaign=2610_ff_lansare&amp;utm_content=general</v>
      </c>
    </row>
    <row r="123" customFormat="false" ht="15" hidden="false" customHeight="false" outlineLevel="0" collapsed="false">
      <c r="A123" s="10" t="s">
        <v>64</v>
      </c>
      <c r="B123" s="10" t="str">
        <f aca="false">INDEX('Site-uri'!$B$2:$B$20,MATCH(A123,'Site-uri'!$A$2:$A$20,0))</f>
        <v>eu-ai-audit.eu</v>
      </c>
      <c r="C123" s="10" t="s">
        <v>86</v>
      </c>
      <c r="D123" s="10" t="str">
        <f aca="false">INDEX('Site-uri'!$B$2:$B$20,MATCH(C123,'Site-uri'!$A$2:$A$20,0))</f>
        <v>firmsfinder.eu</v>
      </c>
      <c r="E123" s="10" t="str">
        <f aca="false">INDEX('Site-uri'!$C$2:$C$20,MATCH(C123,'Site-uri'!$A$2:$A$20,0))</f>
        <v>/</v>
      </c>
      <c r="F123" s="10" t="str">
        <f aca="false">B123</f>
        <v>eu-ai-audit.eu</v>
      </c>
      <c r="G123" s="10" t="str">
        <f aca="false">Config!$B$5</f>
        <v>network</v>
      </c>
      <c r="H123" s="10" t="str">
        <f aca="false">Config!$B$3</f>
        <v>2610_ff_lansare</v>
      </c>
      <c r="I123" s="10" t="str">
        <f aca="false">Config!$B$4</f>
        <v>general</v>
      </c>
      <c r="J123" s="10" t="str">
        <f aca="false">"https://"&amp;D123&amp;E123&amp;"?utm_source="&amp;F123&amp;"&amp;utm_medium="&amp;G123&amp;"&amp;utm_campaign="&amp;H123&amp;"&amp;utm_content="&amp;I123</f>
        <v>https://firmsfinder.eu/?utm_source=eu-ai-audit.eu&amp;utm_medium=network&amp;utm_campaign=2610_ff_lansare&amp;utm_content=general</v>
      </c>
    </row>
    <row r="124" customFormat="false" ht="15" hidden="false" customHeight="false" outlineLevel="0" collapsed="false">
      <c r="A124" s="10" t="s">
        <v>64</v>
      </c>
      <c r="B124" s="10" t="str">
        <f aca="false">INDEX('Site-uri'!$B$2:$B$20,MATCH(A124,'Site-uri'!$A$2:$A$20,0))</f>
        <v>eu-ai-audit.eu</v>
      </c>
      <c r="C124" s="10" t="s">
        <v>89</v>
      </c>
      <c r="D124" s="10" t="str">
        <f aca="false">INDEX('Site-uri'!$B$2:$B$20,MATCH(C124,'Site-uri'!$A$2:$A$20,0))</f>
        <v>b2b-ai-library.org</v>
      </c>
      <c r="E124" s="10" t="str">
        <f aca="false">INDEX('Site-uri'!$C$2:$C$20,MATCH(C124,'Site-uri'!$A$2:$A$20,0))</f>
        <v>/</v>
      </c>
      <c r="F124" s="10" t="str">
        <f aca="false">B124</f>
        <v>eu-ai-audit.eu</v>
      </c>
      <c r="G124" s="10" t="str">
        <f aca="false">Config!$B$5</f>
        <v>network</v>
      </c>
      <c r="H124" s="10" t="str">
        <f aca="false">Config!$B$3</f>
        <v>2610_ff_lansare</v>
      </c>
      <c r="I124" s="10" t="str">
        <f aca="false">Config!$B$4</f>
        <v>general</v>
      </c>
      <c r="J124" s="10" t="str">
        <f aca="false">"https://"&amp;D124&amp;E124&amp;"?utm_source="&amp;F124&amp;"&amp;utm_medium="&amp;G124&amp;"&amp;utm_campaign="&amp;H124&amp;"&amp;utm_content="&amp;I124</f>
        <v>https://b2b-ai-library.org/?utm_source=eu-ai-audit.eu&amp;utm_medium=network&amp;utm_campaign=2610_ff_lansare&amp;utm_content=general</v>
      </c>
    </row>
    <row r="125" customFormat="false" ht="15" hidden="false" customHeight="false" outlineLevel="0" collapsed="false">
      <c r="A125" s="10" t="s">
        <v>64</v>
      </c>
      <c r="B125" s="10" t="str">
        <f aca="false">INDEX('Site-uri'!$B$2:$B$20,MATCH(A125,'Site-uri'!$A$2:$A$20,0))</f>
        <v>eu-ai-audit.eu</v>
      </c>
      <c r="C125" s="10" t="s">
        <v>91</v>
      </c>
      <c r="D125" s="10" t="str">
        <f aca="false">INDEX('Site-uri'!$B$2:$B$20,MATCH(C125,'Site-uri'!$A$2:$A$20,0))</f>
        <v>the3webs.com</v>
      </c>
      <c r="E125" s="10" t="str">
        <f aca="false">INDEX('Site-uri'!$C$2:$C$20,MATCH(C125,'Site-uri'!$A$2:$A$20,0))</f>
        <v>/</v>
      </c>
      <c r="F125" s="10" t="str">
        <f aca="false">B125</f>
        <v>eu-ai-audit.eu</v>
      </c>
      <c r="G125" s="10" t="str">
        <f aca="false">Config!$B$5</f>
        <v>network</v>
      </c>
      <c r="H125" s="10" t="str">
        <f aca="false">Config!$B$3</f>
        <v>2610_ff_lansare</v>
      </c>
      <c r="I125" s="10" t="str">
        <f aca="false">Config!$B$4</f>
        <v>general</v>
      </c>
      <c r="J125" s="10" t="str">
        <f aca="false">"https://"&amp;D125&amp;E125&amp;"?utm_source="&amp;F125&amp;"&amp;utm_medium="&amp;G125&amp;"&amp;utm_campaign="&amp;H125&amp;"&amp;utm_content="&amp;I125</f>
        <v>https://the3webs.com/?utm_source=eu-ai-audit.eu&amp;utm_medium=network&amp;utm_campaign=2610_ff_lansare&amp;utm_content=general</v>
      </c>
    </row>
    <row r="126" customFormat="false" ht="15" hidden="false" customHeight="false" outlineLevel="0" collapsed="false">
      <c r="A126" s="10" t="s">
        <v>64</v>
      </c>
      <c r="B126" s="10" t="str">
        <f aca="false">INDEX('Site-uri'!$B$2:$B$20,MATCH(A126,'Site-uri'!$A$2:$A$20,0))</f>
        <v>eu-ai-audit.eu</v>
      </c>
      <c r="C126" s="10" t="s">
        <v>94</v>
      </c>
      <c r="D126" s="10" t="str">
        <f aca="false">INDEX('Site-uri'!$B$2:$B$20,MATCH(C126,'Site-uri'!$A$2:$A$20,0))</f>
        <v>floride-e2.com</v>
      </c>
      <c r="E126" s="10" t="str">
        <f aca="false">INDEX('Site-uri'!$C$2:$C$20,MATCH(C126,'Site-uri'!$A$2:$A$20,0))</f>
        <v>/</v>
      </c>
      <c r="F126" s="10" t="str">
        <f aca="false">B126</f>
        <v>eu-ai-audit.eu</v>
      </c>
      <c r="G126" s="10" t="str">
        <f aca="false">Config!$B$5</f>
        <v>network</v>
      </c>
      <c r="H126" s="10" t="str">
        <f aca="false">Config!$B$3</f>
        <v>2610_ff_lansare</v>
      </c>
      <c r="I126" s="10" t="str">
        <f aca="false">Config!$B$4</f>
        <v>general</v>
      </c>
      <c r="J126" s="10" t="str">
        <f aca="false">"https://"&amp;D126&amp;E126&amp;"?utm_source="&amp;F126&amp;"&amp;utm_medium="&amp;G126&amp;"&amp;utm_campaign="&amp;H126&amp;"&amp;utm_content="&amp;I126</f>
        <v>https://floride-e2.com/?utm_source=eu-ai-audit.eu&amp;utm_medium=network&amp;utm_campaign=2610_ff_lansare&amp;utm_content=general</v>
      </c>
    </row>
    <row r="127" customFormat="false" ht="15" hidden="false" customHeight="false" outlineLevel="0" collapsed="false">
      <c r="A127" s="10" t="s">
        <v>64</v>
      </c>
      <c r="B127" s="10" t="str">
        <f aca="false">INDEX('Site-uri'!$B$2:$B$20,MATCH(A127,'Site-uri'!$A$2:$A$20,0))</f>
        <v>eu-ai-audit.eu</v>
      </c>
      <c r="C127" s="10" t="s">
        <v>96</v>
      </c>
      <c r="D127" s="10" t="str">
        <f aca="false">INDEX('Site-uri'!$B$2:$B$20,MATCH(C127,'Site-uri'!$A$2:$A$20,0))</f>
        <v>ecbtax.com</v>
      </c>
      <c r="E127" s="10" t="str">
        <f aca="false">INDEX('Site-uri'!$C$2:$C$20,MATCH(C127,'Site-uri'!$A$2:$A$20,0))</f>
        <v>/</v>
      </c>
      <c r="F127" s="10" t="str">
        <f aca="false">B127</f>
        <v>eu-ai-audit.eu</v>
      </c>
      <c r="G127" s="10" t="str">
        <f aca="false">Config!$B$5</f>
        <v>network</v>
      </c>
      <c r="H127" s="10" t="str">
        <f aca="false">Config!$B$3</f>
        <v>2610_ff_lansare</v>
      </c>
      <c r="I127" s="10" t="str">
        <f aca="false">Config!$B$4</f>
        <v>general</v>
      </c>
      <c r="J127" s="10" t="str">
        <f aca="false">"https://"&amp;D127&amp;E127&amp;"?utm_source="&amp;F127&amp;"&amp;utm_medium="&amp;G127&amp;"&amp;utm_campaign="&amp;H127&amp;"&amp;utm_content="&amp;I127</f>
        <v>https://ecbtax.com/?utm_source=eu-ai-audit.eu&amp;utm_medium=network&amp;utm_campaign=2610_ff_lansare&amp;utm_content=general</v>
      </c>
    </row>
    <row r="128" customFormat="false" ht="15" hidden="false" customHeight="false" outlineLevel="0" collapsed="false">
      <c r="A128" s="10" t="s">
        <v>67</v>
      </c>
      <c r="B128" s="10" t="str">
        <f aca="false">INDEX('Site-uri'!$B$2:$B$20,MATCH(A128,'Site-uri'!$A$2:$A$20,0))</f>
        <v>eu-ai-ready.eu</v>
      </c>
      <c r="C128" s="10" t="s">
        <v>45</v>
      </c>
      <c r="D128" s="10" t="str">
        <f aca="false">INDEX('Site-uri'!$B$2:$B$20,MATCH(C128,'Site-uri'!$A$2:$A$20,0))</f>
        <v>5thelement.ai</v>
      </c>
      <c r="E128" s="10" t="str">
        <f aca="false">INDEX('Site-uri'!$C$2:$C$20,MATCH(C128,'Site-uri'!$A$2:$A$20,0))</f>
        <v>/</v>
      </c>
      <c r="F128" s="10" t="str">
        <f aca="false">B128</f>
        <v>eu-ai-ready.eu</v>
      </c>
      <c r="G128" s="10" t="str">
        <f aca="false">Config!$B$5</f>
        <v>network</v>
      </c>
      <c r="H128" s="10" t="str">
        <f aca="false">Config!$B$3</f>
        <v>2610_ff_lansare</v>
      </c>
      <c r="I128" s="10" t="str">
        <f aca="false">Config!$B$4</f>
        <v>general</v>
      </c>
      <c r="J128" s="10" t="str">
        <f aca="false">"https://"&amp;D128&amp;E128&amp;"?utm_source="&amp;F128&amp;"&amp;utm_medium="&amp;G128&amp;"&amp;utm_campaign="&amp;H128&amp;"&amp;utm_content="&amp;I128</f>
        <v>https://5thelement.ai/?utm_source=eu-ai-ready.eu&amp;utm_medium=network&amp;utm_campaign=2610_ff_lansare&amp;utm_content=general</v>
      </c>
    </row>
    <row r="129" customFormat="false" ht="15" hidden="false" customHeight="false" outlineLevel="0" collapsed="false">
      <c r="A129" s="10" t="s">
        <v>67</v>
      </c>
      <c r="B129" s="10" t="str">
        <f aca="false">INDEX('Site-uri'!$B$2:$B$20,MATCH(A129,'Site-uri'!$A$2:$A$20,0))</f>
        <v>eu-ai-ready.eu</v>
      </c>
      <c r="C129" s="10" t="s">
        <v>49</v>
      </c>
      <c r="D129" s="10" t="str">
        <f aca="false">INDEX('Site-uri'!$B$2:$B$20,MATCH(C129,'Site-uri'!$A$2:$A$20,0))</f>
        <v>aiventure.ro</v>
      </c>
      <c r="E129" s="10" t="str">
        <f aca="false">INDEX('Site-uri'!$C$2:$C$20,MATCH(C129,'Site-uri'!$A$2:$A$20,0))</f>
        <v>/</v>
      </c>
      <c r="F129" s="10" t="str">
        <f aca="false">B129</f>
        <v>eu-ai-ready.eu</v>
      </c>
      <c r="G129" s="10" t="str">
        <f aca="false">Config!$B$5</f>
        <v>network</v>
      </c>
      <c r="H129" s="10" t="str">
        <f aca="false">Config!$B$3</f>
        <v>2610_ff_lansare</v>
      </c>
      <c r="I129" s="10" t="str">
        <f aca="false">Config!$B$4</f>
        <v>general</v>
      </c>
      <c r="J129" s="10" t="str">
        <f aca="false">"https://"&amp;D129&amp;E129&amp;"?utm_source="&amp;F129&amp;"&amp;utm_medium="&amp;G129&amp;"&amp;utm_campaign="&amp;H129&amp;"&amp;utm_content="&amp;I129</f>
        <v>https://aiventure.ro/?utm_source=eu-ai-ready.eu&amp;utm_medium=network&amp;utm_campaign=2610_ff_lansare&amp;utm_content=general</v>
      </c>
    </row>
    <row r="130" customFormat="false" ht="15" hidden="false" customHeight="false" outlineLevel="0" collapsed="false">
      <c r="A130" s="10" t="s">
        <v>67</v>
      </c>
      <c r="B130" s="10" t="str">
        <f aca="false">INDEX('Site-uri'!$B$2:$B$20,MATCH(A130,'Site-uri'!$A$2:$A$20,0))</f>
        <v>eu-ai-ready.eu</v>
      </c>
      <c r="C130" s="10" t="s">
        <v>52</v>
      </c>
      <c r="D130" s="10" t="str">
        <f aca="false">INDEX('Site-uri'!$B$2:$B$20,MATCH(C130,'Site-uri'!$A$2:$A$20,0))</f>
        <v>aiventure.uk</v>
      </c>
      <c r="E130" s="10" t="str">
        <f aca="false">INDEX('Site-uri'!$C$2:$C$20,MATCH(C130,'Site-uri'!$A$2:$A$20,0))</f>
        <v>/</v>
      </c>
      <c r="F130" s="10" t="str">
        <f aca="false">B130</f>
        <v>eu-ai-ready.eu</v>
      </c>
      <c r="G130" s="10" t="str">
        <f aca="false">Config!$B$5</f>
        <v>network</v>
      </c>
      <c r="H130" s="10" t="str">
        <f aca="false">Config!$B$3</f>
        <v>2610_ff_lansare</v>
      </c>
      <c r="I130" s="10" t="str">
        <f aca="false">Config!$B$4</f>
        <v>general</v>
      </c>
      <c r="J130" s="10" t="str">
        <f aca="false">"https://"&amp;D130&amp;E130&amp;"?utm_source="&amp;F130&amp;"&amp;utm_medium="&amp;G130&amp;"&amp;utm_campaign="&amp;H130&amp;"&amp;utm_content="&amp;I130</f>
        <v>https://aiventure.uk/?utm_source=eu-ai-ready.eu&amp;utm_medium=network&amp;utm_campaign=2610_ff_lansare&amp;utm_content=general</v>
      </c>
    </row>
    <row r="131" customFormat="false" ht="15" hidden="false" customHeight="false" outlineLevel="0" collapsed="false">
      <c r="A131" s="10" t="s">
        <v>67</v>
      </c>
      <c r="B131" s="10" t="str">
        <f aca="false">INDEX('Site-uri'!$B$2:$B$20,MATCH(A131,'Site-uri'!$A$2:$A$20,0))</f>
        <v>eu-ai-ready.eu</v>
      </c>
      <c r="C131" s="10" t="s">
        <v>55</v>
      </c>
      <c r="D131" s="10" t="str">
        <f aca="false">INDEX('Site-uri'!$B$2:$B$20,MATCH(C131,'Site-uri'!$A$2:$A$20,0))</f>
        <v>3webobs.com</v>
      </c>
      <c r="E131" s="10" t="str">
        <f aca="false">INDEX('Site-uri'!$C$2:$C$20,MATCH(C131,'Site-uri'!$A$2:$A$20,0))</f>
        <v>/</v>
      </c>
      <c r="F131" s="10" t="str">
        <f aca="false">B131</f>
        <v>eu-ai-ready.eu</v>
      </c>
      <c r="G131" s="10" t="str">
        <f aca="false">Config!$B$5</f>
        <v>network</v>
      </c>
      <c r="H131" s="10" t="str">
        <f aca="false">Config!$B$3</f>
        <v>2610_ff_lansare</v>
      </c>
      <c r="I131" s="10" t="str">
        <f aca="false">Config!$B$4</f>
        <v>general</v>
      </c>
      <c r="J131" s="10" t="str">
        <f aca="false">"https://"&amp;D131&amp;E131&amp;"?utm_source="&amp;F131&amp;"&amp;utm_medium="&amp;G131&amp;"&amp;utm_campaign="&amp;H131&amp;"&amp;utm_content="&amp;I131</f>
        <v>https://3webobs.com/?utm_source=eu-ai-ready.eu&amp;utm_medium=network&amp;utm_campaign=2610_ff_lansare&amp;utm_content=general</v>
      </c>
    </row>
    <row r="132" customFormat="false" ht="15" hidden="false" customHeight="false" outlineLevel="0" collapsed="false">
      <c r="A132" s="10" t="s">
        <v>67</v>
      </c>
      <c r="B132" s="10" t="str">
        <f aca="false">INDEX('Site-uri'!$B$2:$B$20,MATCH(A132,'Site-uri'!$A$2:$A$20,0))</f>
        <v>eu-ai-ready.eu</v>
      </c>
      <c r="C132" s="10" t="s">
        <v>58</v>
      </c>
      <c r="D132" s="10" t="str">
        <f aca="false">INDEX('Site-uri'!$B$2:$B$20,MATCH(C132,'Site-uri'!$A$2:$A$20,0))</f>
        <v>ai-lens.eu</v>
      </c>
      <c r="E132" s="10" t="str">
        <f aca="false">INDEX('Site-uri'!$C$2:$C$20,MATCH(C132,'Site-uri'!$A$2:$A$20,0))</f>
        <v>/</v>
      </c>
      <c r="F132" s="10" t="str">
        <f aca="false">B132</f>
        <v>eu-ai-ready.eu</v>
      </c>
      <c r="G132" s="10" t="str">
        <f aca="false">Config!$B$5</f>
        <v>network</v>
      </c>
      <c r="H132" s="10" t="str">
        <f aca="false">Config!$B$3</f>
        <v>2610_ff_lansare</v>
      </c>
      <c r="I132" s="10" t="str">
        <f aca="false">Config!$B$4</f>
        <v>general</v>
      </c>
      <c r="J132" s="10" t="str">
        <f aca="false">"https://"&amp;D132&amp;E132&amp;"?utm_source="&amp;F132&amp;"&amp;utm_medium="&amp;G132&amp;"&amp;utm_campaign="&amp;H132&amp;"&amp;utm_content="&amp;I132</f>
        <v>https://ai-lens.eu/?utm_source=eu-ai-ready.eu&amp;utm_medium=network&amp;utm_campaign=2610_ff_lansare&amp;utm_content=general</v>
      </c>
    </row>
    <row r="133" customFormat="false" ht="15" hidden="false" customHeight="false" outlineLevel="0" collapsed="false">
      <c r="A133" s="10" t="s">
        <v>67</v>
      </c>
      <c r="B133" s="10" t="str">
        <f aca="false">INDEX('Site-uri'!$B$2:$B$20,MATCH(A133,'Site-uri'!$A$2:$A$20,0))</f>
        <v>eu-ai-ready.eu</v>
      </c>
      <c r="C133" s="10" t="s">
        <v>61</v>
      </c>
      <c r="D133" s="10" t="str">
        <f aca="false">INDEX('Site-uri'!$B$2:$B$20,MATCH(C133,'Site-uri'!$A$2:$A$20,0))</f>
        <v>aireadyinjector.com</v>
      </c>
      <c r="E133" s="10" t="str">
        <f aca="false">INDEX('Site-uri'!$C$2:$C$20,MATCH(C133,'Site-uri'!$A$2:$A$20,0))</f>
        <v>/</v>
      </c>
      <c r="F133" s="10" t="str">
        <f aca="false">B133</f>
        <v>eu-ai-ready.eu</v>
      </c>
      <c r="G133" s="10" t="str">
        <f aca="false">Config!$B$5</f>
        <v>network</v>
      </c>
      <c r="H133" s="10" t="str">
        <f aca="false">Config!$B$3</f>
        <v>2610_ff_lansare</v>
      </c>
      <c r="I133" s="10" t="str">
        <f aca="false">Config!$B$4</f>
        <v>general</v>
      </c>
      <c r="J133" s="10" t="str">
        <f aca="false">"https://"&amp;D133&amp;E133&amp;"?utm_source="&amp;F133&amp;"&amp;utm_medium="&amp;G133&amp;"&amp;utm_campaign="&amp;H133&amp;"&amp;utm_content="&amp;I133</f>
        <v>https://aireadyinjector.com/?utm_source=eu-ai-ready.eu&amp;utm_medium=network&amp;utm_campaign=2610_ff_lansare&amp;utm_content=general</v>
      </c>
    </row>
    <row r="134" customFormat="false" ht="15" hidden="false" customHeight="false" outlineLevel="0" collapsed="false">
      <c r="A134" s="10" t="s">
        <v>67</v>
      </c>
      <c r="B134" s="10" t="str">
        <f aca="false">INDEX('Site-uri'!$B$2:$B$20,MATCH(A134,'Site-uri'!$A$2:$A$20,0))</f>
        <v>eu-ai-ready.eu</v>
      </c>
      <c r="C134" s="10" t="s">
        <v>64</v>
      </c>
      <c r="D134" s="10" t="str">
        <f aca="false">INDEX('Site-uri'!$B$2:$B$20,MATCH(C134,'Site-uri'!$A$2:$A$20,0))</f>
        <v>eu-ai-audit.eu</v>
      </c>
      <c r="E134" s="10" t="str">
        <f aca="false">INDEX('Site-uri'!$C$2:$C$20,MATCH(C134,'Site-uri'!$A$2:$A$20,0))</f>
        <v>/</v>
      </c>
      <c r="F134" s="10" t="str">
        <f aca="false">B134</f>
        <v>eu-ai-ready.eu</v>
      </c>
      <c r="G134" s="10" t="str">
        <f aca="false">Config!$B$5</f>
        <v>network</v>
      </c>
      <c r="H134" s="10" t="str">
        <f aca="false">Config!$B$3</f>
        <v>2610_ff_lansare</v>
      </c>
      <c r="I134" s="10" t="str">
        <f aca="false">Config!$B$4</f>
        <v>general</v>
      </c>
      <c r="J134" s="10" t="str">
        <f aca="false">"https://"&amp;D134&amp;E134&amp;"?utm_source="&amp;F134&amp;"&amp;utm_medium="&amp;G134&amp;"&amp;utm_campaign="&amp;H134&amp;"&amp;utm_content="&amp;I134</f>
        <v>https://eu-ai-audit.eu/?utm_source=eu-ai-ready.eu&amp;utm_medium=network&amp;utm_campaign=2610_ff_lansare&amp;utm_content=general</v>
      </c>
    </row>
    <row r="135" customFormat="false" ht="15" hidden="false" customHeight="false" outlineLevel="0" collapsed="false">
      <c r="A135" s="10" t="s">
        <v>67</v>
      </c>
      <c r="B135" s="10" t="str">
        <f aca="false">INDEX('Site-uri'!$B$2:$B$20,MATCH(A135,'Site-uri'!$A$2:$A$20,0))</f>
        <v>eu-ai-ready.eu</v>
      </c>
      <c r="C135" s="10" t="s">
        <v>69</v>
      </c>
      <c r="D135" s="10" t="str">
        <f aca="false">INDEX('Site-uri'!$B$2:$B$20,MATCH(C135,'Site-uri'!$A$2:$A$20,0))</f>
        <v>eu-ai-act.ro</v>
      </c>
      <c r="E135" s="10" t="str">
        <f aca="false">INDEX('Site-uri'!$C$2:$C$20,MATCH(C135,'Site-uri'!$A$2:$A$20,0))</f>
        <v>/</v>
      </c>
      <c r="F135" s="10" t="str">
        <f aca="false">B135</f>
        <v>eu-ai-ready.eu</v>
      </c>
      <c r="G135" s="10" t="str">
        <f aca="false">Config!$B$5</f>
        <v>network</v>
      </c>
      <c r="H135" s="10" t="str">
        <f aca="false">Config!$B$3</f>
        <v>2610_ff_lansare</v>
      </c>
      <c r="I135" s="10" t="str">
        <f aca="false">Config!$B$4</f>
        <v>general</v>
      </c>
      <c r="J135" s="10" t="str">
        <f aca="false">"https://"&amp;D135&amp;E135&amp;"?utm_source="&amp;F135&amp;"&amp;utm_medium="&amp;G135&amp;"&amp;utm_campaign="&amp;H135&amp;"&amp;utm_content="&amp;I135</f>
        <v>https://eu-ai-act.ro/?utm_source=eu-ai-ready.eu&amp;utm_medium=network&amp;utm_campaign=2610_ff_lansare&amp;utm_content=general</v>
      </c>
    </row>
    <row r="136" customFormat="false" ht="15" hidden="false" customHeight="false" outlineLevel="0" collapsed="false">
      <c r="A136" s="10" t="s">
        <v>67</v>
      </c>
      <c r="B136" s="10" t="str">
        <f aca="false">INDEX('Site-uri'!$B$2:$B$20,MATCH(A136,'Site-uri'!$A$2:$A$20,0))</f>
        <v>eu-ai-ready.eu</v>
      </c>
      <c r="C136" s="10" t="s">
        <v>72</v>
      </c>
      <c r="D136" s="10" t="str">
        <f aca="false">INDEX('Site-uri'!$B$2:$B$20,MATCH(C136,'Site-uri'!$A$2:$A$20,0))</f>
        <v>eu-ai-act-ready.eu</v>
      </c>
      <c r="E136" s="10" t="str">
        <f aca="false">INDEX('Site-uri'!$C$2:$C$20,MATCH(C136,'Site-uri'!$A$2:$A$20,0))</f>
        <v>/</v>
      </c>
      <c r="F136" s="10" t="str">
        <f aca="false">B136</f>
        <v>eu-ai-ready.eu</v>
      </c>
      <c r="G136" s="10" t="str">
        <f aca="false">Config!$B$5</f>
        <v>network</v>
      </c>
      <c r="H136" s="10" t="str">
        <f aca="false">Config!$B$3</f>
        <v>2610_ff_lansare</v>
      </c>
      <c r="I136" s="10" t="str">
        <f aca="false">Config!$B$4</f>
        <v>general</v>
      </c>
      <c r="J136" s="10" t="str">
        <f aca="false">"https://"&amp;D136&amp;E136&amp;"?utm_source="&amp;F136&amp;"&amp;utm_medium="&amp;G136&amp;"&amp;utm_campaign="&amp;H136&amp;"&amp;utm_content="&amp;I136</f>
        <v>https://eu-ai-act-ready.eu/?utm_source=eu-ai-ready.eu&amp;utm_medium=network&amp;utm_campaign=2610_ff_lansare&amp;utm_content=general</v>
      </c>
    </row>
    <row r="137" customFormat="false" ht="15" hidden="false" customHeight="false" outlineLevel="0" collapsed="false">
      <c r="A137" s="10" t="s">
        <v>67</v>
      </c>
      <c r="B137" s="10" t="str">
        <f aca="false">INDEX('Site-uri'!$B$2:$B$20,MATCH(A137,'Site-uri'!$A$2:$A$20,0))</f>
        <v>eu-ai-ready.eu</v>
      </c>
      <c r="C137" s="10" t="s">
        <v>75</v>
      </c>
      <c r="D137" s="10" t="str">
        <f aca="false">INDEX('Site-uri'!$B$2:$B$20,MATCH(C137,'Site-uri'!$A$2:$A$20,0))</f>
        <v>eu-112.ro</v>
      </c>
      <c r="E137" s="10" t="str">
        <f aca="false">INDEX('Site-uri'!$C$2:$C$20,MATCH(C137,'Site-uri'!$A$2:$A$20,0))</f>
        <v>/</v>
      </c>
      <c r="F137" s="10" t="str">
        <f aca="false">B137</f>
        <v>eu-ai-ready.eu</v>
      </c>
      <c r="G137" s="10" t="str">
        <f aca="false">Config!$B$5</f>
        <v>network</v>
      </c>
      <c r="H137" s="10" t="str">
        <f aca="false">Config!$B$3</f>
        <v>2610_ff_lansare</v>
      </c>
      <c r="I137" s="10" t="str">
        <f aca="false">Config!$B$4</f>
        <v>general</v>
      </c>
      <c r="J137" s="10" t="str">
        <f aca="false">"https://"&amp;D137&amp;E137&amp;"?utm_source="&amp;F137&amp;"&amp;utm_medium="&amp;G137&amp;"&amp;utm_campaign="&amp;H137&amp;"&amp;utm_content="&amp;I137</f>
        <v>https://eu-112.ro/?utm_source=eu-ai-ready.eu&amp;utm_medium=network&amp;utm_campaign=2610_ff_lansare&amp;utm_content=general</v>
      </c>
    </row>
    <row r="138" customFormat="false" ht="15" hidden="false" customHeight="false" outlineLevel="0" collapsed="false">
      <c r="A138" s="10" t="s">
        <v>67</v>
      </c>
      <c r="B138" s="10" t="str">
        <f aca="false">INDEX('Site-uri'!$B$2:$B$20,MATCH(A138,'Site-uri'!$A$2:$A$20,0))</f>
        <v>eu-ai-ready.eu</v>
      </c>
      <c r="C138" s="10" t="s">
        <v>78</v>
      </c>
      <c r="D138" s="10" t="str">
        <f aca="false">INDEX('Site-uri'!$B$2:$B$20,MATCH(C138,'Site-uri'!$A$2:$A$20,0))</f>
        <v>eu-112.eu</v>
      </c>
      <c r="E138" s="10" t="str">
        <f aca="false">INDEX('Site-uri'!$C$2:$C$20,MATCH(C138,'Site-uri'!$A$2:$A$20,0))</f>
        <v>/</v>
      </c>
      <c r="F138" s="10" t="str">
        <f aca="false">B138</f>
        <v>eu-ai-ready.eu</v>
      </c>
      <c r="G138" s="10" t="str">
        <f aca="false">Config!$B$5</f>
        <v>network</v>
      </c>
      <c r="H138" s="10" t="str">
        <f aca="false">Config!$B$3</f>
        <v>2610_ff_lansare</v>
      </c>
      <c r="I138" s="10" t="str">
        <f aca="false">Config!$B$4</f>
        <v>general</v>
      </c>
      <c r="J138" s="10" t="str">
        <f aca="false">"https://"&amp;D138&amp;E138&amp;"?utm_source="&amp;F138&amp;"&amp;utm_medium="&amp;G138&amp;"&amp;utm_campaign="&amp;H138&amp;"&amp;utm_content="&amp;I138</f>
        <v>https://eu-112.eu/?utm_source=eu-ai-ready.eu&amp;utm_medium=network&amp;utm_campaign=2610_ff_lansare&amp;utm_content=general</v>
      </c>
    </row>
    <row r="139" customFormat="false" ht="15" hidden="false" customHeight="false" outlineLevel="0" collapsed="false">
      <c r="A139" s="10" t="s">
        <v>67</v>
      </c>
      <c r="B139" s="10" t="str">
        <f aca="false">INDEX('Site-uri'!$B$2:$B$20,MATCH(A139,'Site-uri'!$A$2:$A$20,0))</f>
        <v>eu-ai-ready.eu</v>
      </c>
      <c r="C139" s="10" t="s">
        <v>81</v>
      </c>
      <c r="D139" s="10" t="str">
        <f aca="false">INDEX('Site-uri'!$B$2:$B$20,MATCH(C139,'Site-uri'!$A$2:$A$20,0))</f>
        <v>1clic-ia.eu</v>
      </c>
      <c r="E139" s="10" t="str">
        <f aca="false">INDEX('Site-uri'!$C$2:$C$20,MATCH(C139,'Site-uri'!$A$2:$A$20,0))</f>
        <v>/</v>
      </c>
      <c r="F139" s="10" t="str">
        <f aca="false">B139</f>
        <v>eu-ai-ready.eu</v>
      </c>
      <c r="G139" s="10" t="str">
        <f aca="false">Config!$B$5</f>
        <v>network</v>
      </c>
      <c r="H139" s="10" t="str">
        <f aca="false">Config!$B$3</f>
        <v>2610_ff_lansare</v>
      </c>
      <c r="I139" s="10" t="str">
        <f aca="false">Config!$B$4</f>
        <v>general</v>
      </c>
      <c r="J139" s="10" t="str">
        <f aca="false">"https://"&amp;D139&amp;E139&amp;"?utm_source="&amp;F139&amp;"&amp;utm_medium="&amp;G139&amp;"&amp;utm_campaign="&amp;H139&amp;"&amp;utm_content="&amp;I139</f>
        <v>https://1clic-ia.eu/?utm_source=eu-ai-ready.eu&amp;utm_medium=network&amp;utm_campaign=2610_ff_lansare&amp;utm_content=general</v>
      </c>
    </row>
    <row r="140" customFormat="false" ht="15" hidden="false" customHeight="false" outlineLevel="0" collapsed="false">
      <c r="A140" s="10" t="s">
        <v>67</v>
      </c>
      <c r="B140" s="10" t="str">
        <f aca="false">INDEX('Site-uri'!$B$2:$B$20,MATCH(A140,'Site-uri'!$A$2:$A$20,0))</f>
        <v>eu-ai-ready.eu</v>
      </c>
      <c r="C140" s="10" t="s">
        <v>84</v>
      </c>
      <c r="D140" s="10" t="str">
        <f aca="false">INDEX('Site-uri'!$B$2:$B$20,MATCH(C140,'Site-uri'!$A$2:$A$20,0))</f>
        <v>1clic-ia.fr</v>
      </c>
      <c r="E140" s="10" t="str">
        <f aca="false">INDEX('Site-uri'!$C$2:$C$20,MATCH(C140,'Site-uri'!$A$2:$A$20,0))</f>
        <v>/</v>
      </c>
      <c r="F140" s="10" t="str">
        <f aca="false">B140</f>
        <v>eu-ai-ready.eu</v>
      </c>
      <c r="G140" s="10" t="str">
        <f aca="false">Config!$B$5</f>
        <v>network</v>
      </c>
      <c r="H140" s="10" t="str">
        <f aca="false">Config!$B$3</f>
        <v>2610_ff_lansare</v>
      </c>
      <c r="I140" s="10" t="str">
        <f aca="false">Config!$B$4</f>
        <v>general</v>
      </c>
      <c r="J140" s="10" t="str">
        <f aca="false">"https://"&amp;D140&amp;E140&amp;"?utm_source="&amp;F140&amp;"&amp;utm_medium="&amp;G140&amp;"&amp;utm_campaign="&amp;H140&amp;"&amp;utm_content="&amp;I140</f>
        <v>https://1clic-ia.fr/?utm_source=eu-ai-ready.eu&amp;utm_medium=network&amp;utm_campaign=2610_ff_lansare&amp;utm_content=general</v>
      </c>
    </row>
    <row r="141" customFormat="false" ht="15" hidden="false" customHeight="false" outlineLevel="0" collapsed="false">
      <c r="A141" s="10" t="s">
        <v>67</v>
      </c>
      <c r="B141" s="10" t="str">
        <f aca="false">INDEX('Site-uri'!$B$2:$B$20,MATCH(A141,'Site-uri'!$A$2:$A$20,0))</f>
        <v>eu-ai-ready.eu</v>
      </c>
      <c r="C141" s="10" t="s">
        <v>86</v>
      </c>
      <c r="D141" s="10" t="str">
        <f aca="false">INDEX('Site-uri'!$B$2:$B$20,MATCH(C141,'Site-uri'!$A$2:$A$20,0))</f>
        <v>firmsfinder.eu</v>
      </c>
      <c r="E141" s="10" t="str">
        <f aca="false">INDEX('Site-uri'!$C$2:$C$20,MATCH(C141,'Site-uri'!$A$2:$A$20,0))</f>
        <v>/</v>
      </c>
      <c r="F141" s="10" t="str">
        <f aca="false">B141</f>
        <v>eu-ai-ready.eu</v>
      </c>
      <c r="G141" s="10" t="str">
        <f aca="false">Config!$B$5</f>
        <v>network</v>
      </c>
      <c r="H141" s="10" t="str">
        <f aca="false">Config!$B$3</f>
        <v>2610_ff_lansare</v>
      </c>
      <c r="I141" s="10" t="str">
        <f aca="false">Config!$B$4</f>
        <v>general</v>
      </c>
      <c r="J141" s="10" t="str">
        <f aca="false">"https://"&amp;D141&amp;E141&amp;"?utm_source="&amp;F141&amp;"&amp;utm_medium="&amp;G141&amp;"&amp;utm_campaign="&amp;H141&amp;"&amp;utm_content="&amp;I141</f>
        <v>https://firmsfinder.eu/?utm_source=eu-ai-ready.eu&amp;utm_medium=network&amp;utm_campaign=2610_ff_lansare&amp;utm_content=general</v>
      </c>
    </row>
    <row r="142" customFormat="false" ht="15" hidden="false" customHeight="false" outlineLevel="0" collapsed="false">
      <c r="A142" s="10" t="s">
        <v>67</v>
      </c>
      <c r="B142" s="10" t="str">
        <f aca="false">INDEX('Site-uri'!$B$2:$B$20,MATCH(A142,'Site-uri'!$A$2:$A$20,0))</f>
        <v>eu-ai-ready.eu</v>
      </c>
      <c r="C142" s="10" t="s">
        <v>89</v>
      </c>
      <c r="D142" s="10" t="str">
        <f aca="false">INDEX('Site-uri'!$B$2:$B$20,MATCH(C142,'Site-uri'!$A$2:$A$20,0))</f>
        <v>b2b-ai-library.org</v>
      </c>
      <c r="E142" s="10" t="str">
        <f aca="false">INDEX('Site-uri'!$C$2:$C$20,MATCH(C142,'Site-uri'!$A$2:$A$20,0))</f>
        <v>/</v>
      </c>
      <c r="F142" s="10" t="str">
        <f aca="false">B142</f>
        <v>eu-ai-ready.eu</v>
      </c>
      <c r="G142" s="10" t="str">
        <f aca="false">Config!$B$5</f>
        <v>network</v>
      </c>
      <c r="H142" s="10" t="str">
        <f aca="false">Config!$B$3</f>
        <v>2610_ff_lansare</v>
      </c>
      <c r="I142" s="10" t="str">
        <f aca="false">Config!$B$4</f>
        <v>general</v>
      </c>
      <c r="J142" s="10" t="str">
        <f aca="false">"https://"&amp;D142&amp;E142&amp;"?utm_source="&amp;F142&amp;"&amp;utm_medium="&amp;G142&amp;"&amp;utm_campaign="&amp;H142&amp;"&amp;utm_content="&amp;I142</f>
        <v>https://b2b-ai-library.org/?utm_source=eu-ai-ready.eu&amp;utm_medium=network&amp;utm_campaign=2610_ff_lansare&amp;utm_content=general</v>
      </c>
    </row>
    <row r="143" customFormat="false" ht="15" hidden="false" customHeight="false" outlineLevel="0" collapsed="false">
      <c r="A143" s="10" t="s">
        <v>67</v>
      </c>
      <c r="B143" s="10" t="str">
        <f aca="false">INDEX('Site-uri'!$B$2:$B$20,MATCH(A143,'Site-uri'!$A$2:$A$20,0))</f>
        <v>eu-ai-ready.eu</v>
      </c>
      <c r="C143" s="10" t="s">
        <v>91</v>
      </c>
      <c r="D143" s="10" t="str">
        <f aca="false">INDEX('Site-uri'!$B$2:$B$20,MATCH(C143,'Site-uri'!$A$2:$A$20,0))</f>
        <v>the3webs.com</v>
      </c>
      <c r="E143" s="10" t="str">
        <f aca="false">INDEX('Site-uri'!$C$2:$C$20,MATCH(C143,'Site-uri'!$A$2:$A$20,0))</f>
        <v>/</v>
      </c>
      <c r="F143" s="10" t="str">
        <f aca="false">B143</f>
        <v>eu-ai-ready.eu</v>
      </c>
      <c r="G143" s="10" t="str">
        <f aca="false">Config!$B$5</f>
        <v>network</v>
      </c>
      <c r="H143" s="10" t="str">
        <f aca="false">Config!$B$3</f>
        <v>2610_ff_lansare</v>
      </c>
      <c r="I143" s="10" t="str">
        <f aca="false">Config!$B$4</f>
        <v>general</v>
      </c>
      <c r="J143" s="10" t="str">
        <f aca="false">"https://"&amp;D143&amp;E143&amp;"?utm_source="&amp;F143&amp;"&amp;utm_medium="&amp;G143&amp;"&amp;utm_campaign="&amp;H143&amp;"&amp;utm_content="&amp;I143</f>
        <v>https://the3webs.com/?utm_source=eu-ai-ready.eu&amp;utm_medium=network&amp;utm_campaign=2610_ff_lansare&amp;utm_content=general</v>
      </c>
    </row>
    <row r="144" customFormat="false" ht="15" hidden="false" customHeight="false" outlineLevel="0" collapsed="false">
      <c r="A144" s="10" t="s">
        <v>67</v>
      </c>
      <c r="B144" s="10" t="str">
        <f aca="false">INDEX('Site-uri'!$B$2:$B$20,MATCH(A144,'Site-uri'!$A$2:$A$20,0))</f>
        <v>eu-ai-ready.eu</v>
      </c>
      <c r="C144" s="10" t="s">
        <v>94</v>
      </c>
      <c r="D144" s="10" t="str">
        <f aca="false">INDEX('Site-uri'!$B$2:$B$20,MATCH(C144,'Site-uri'!$A$2:$A$20,0))</f>
        <v>floride-e2.com</v>
      </c>
      <c r="E144" s="10" t="str">
        <f aca="false">INDEX('Site-uri'!$C$2:$C$20,MATCH(C144,'Site-uri'!$A$2:$A$20,0))</f>
        <v>/</v>
      </c>
      <c r="F144" s="10" t="str">
        <f aca="false">B144</f>
        <v>eu-ai-ready.eu</v>
      </c>
      <c r="G144" s="10" t="str">
        <f aca="false">Config!$B$5</f>
        <v>network</v>
      </c>
      <c r="H144" s="10" t="str">
        <f aca="false">Config!$B$3</f>
        <v>2610_ff_lansare</v>
      </c>
      <c r="I144" s="10" t="str">
        <f aca="false">Config!$B$4</f>
        <v>general</v>
      </c>
      <c r="J144" s="10" t="str">
        <f aca="false">"https://"&amp;D144&amp;E144&amp;"?utm_source="&amp;F144&amp;"&amp;utm_medium="&amp;G144&amp;"&amp;utm_campaign="&amp;H144&amp;"&amp;utm_content="&amp;I144</f>
        <v>https://floride-e2.com/?utm_source=eu-ai-ready.eu&amp;utm_medium=network&amp;utm_campaign=2610_ff_lansare&amp;utm_content=general</v>
      </c>
    </row>
    <row r="145" customFormat="false" ht="15" hidden="false" customHeight="false" outlineLevel="0" collapsed="false">
      <c r="A145" s="10" t="s">
        <v>67</v>
      </c>
      <c r="B145" s="10" t="str">
        <f aca="false">INDEX('Site-uri'!$B$2:$B$20,MATCH(A145,'Site-uri'!$A$2:$A$20,0))</f>
        <v>eu-ai-ready.eu</v>
      </c>
      <c r="C145" s="10" t="s">
        <v>96</v>
      </c>
      <c r="D145" s="10" t="str">
        <f aca="false">INDEX('Site-uri'!$B$2:$B$20,MATCH(C145,'Site-uri'!$A$2:$A$20,0))</f>
        <v>ecbtax.com</v>
      </c>
      <c r="E145" s="10" t="str">
        <f aca="false">INDEX('Site-uri'!$C$2:$C$20,MATCH(C145,'Site-uri'!$A$2:$A$20,0))</f>
        <v>/</v>
      </c>
      <c r="F145" s="10" t="str">
        <f aca="false">B145</f>
        <v>eu-ai-ready.eu</v>
      </c>
      <c r="G145" s="10" t="str">
        <f aca="false">Config!$B$5</f>
        <v>network</v>
      </c>
      <c r="H145" s="10" t="str">
        <f aca="false">Config!$B$3</f>
        <v>2610_ff_lansare</v>
      </c>
      <c r="I145" s="10" t="str">
        <f aca="false">Config!$B$4</f>
        <v>general</v>
      </c>
      <c r="J145" s="10" t="str">
        <f aca="false">"https://"&amp;D145&amp;E145&amp;"?utm_source="&amp;F145&amp;"&amp;utm_medium="&amp;G145&amp;"&amp;utm_campaign="&amp;H145&amp;"&amp;utm_content="&amp;I145</f>
        <v>https://ecbtax.com/?utm_source=eu-ai-ready.eu&amp;utm_medium=network&amp;utm_campaign=2610_ff_lansare&amp;utm_content=general</v>
      </c>
    </row>
    <row r="146" customFormat="false" ht="15" hidden="false" customHeight="false" outlineLevel="0" collapsed="false">
      <c r="A146" s="10" t="s">
        <v>69</v>
      </c>
      <c r="B146" s="10" t="str">
        <f aca="false">INDEX('Site-uri'!$B$2:$B$20,MATCH(A146,'Site-uri'!$A$2:$A$20,0))</f>
        <v>eu-ai-act.ro</v>
      </c>
      <c r="C146" s="10" t="s">
        <v>45</v>
      </c>
      <c r="D146" s="10" t="str">
        <f aca="false">INDEX('Site-uri'!$B$2:$B$20,MATCH(C146,'Site-uri'!$A$2:$A$20,0))</f>
        <v>5thelement.ai</v>
      </c>
      <c r="E146" s="10" t="str">
        <f aca="false">INDEX('Site-uri'!$C$2:$C$20,MATCH(C146,'Site-uri'!$A$2:$A$20,0))</f>
        <v>/</v>
      </c>
      <c r="F146" s="10" t="str">
        <f aca="false">B146</f>
        <v>eu-ai-act.ro</v>
      </c>
      <c r="G146" s="10" t="str">
        <f aca="false">Config!$B$5</f>
        <v>network</v>
      </c>
      <c r="H146" s="10" t="str">
        <f aca="false">Config!$B$3</f>
        <v>2610_ff_lansare</v>
      </c>
      <c r="I146" s="10" t="str">
        <f aca="false">Config!$B$4</f>
        <v>general</v>
      </c>
      <c r="J146" s="10" t="str">
        <f aca="false">"https://"&amp;D146&amp;E146&amp;"?utm_source="&amp;F146&amp;"&amp;utm_medium="&amp;G146&amp;"&amp;utm_campaign="&amp;H146&amp;"&amp;utm_content="&amp;I146</f>
        <v>https://5thelement.ai/?utm_source=eu-ai-act.ro&amp;utm_medium=network&amp;utm_campaign=2610_ff_lansare&amp;utm_content=general</v>
      </c>
    </row>
    <row r="147" customFormat="false" ht="15" hidden="false" customHeight="false" outlineLevel="0" collapsed="false">
      <c r="A147" s="10" t="s">
        <v>69</v>
      </c>
      <c r="B147" s="10" t="str">
        <f aca="false">INDEX('Site-uri'!$B$2:$B$20,MATCH(A147,'Site-uri'!$A$2:$A$20,0))</f>
        <v>eu-ai-act.ro</v>
      </c>
      <c r="C147" s="10" t="s">
        <v>49</v>
      </c>
      <c r="D147" s="10" t="str">
        <f aca="false">INDEX('Site-uri'!$B$2:$B$20,MATCH(C147,'Site-uri'!$A$2:$A$20,0))</f>
        <v>aiventure.ro</v>
      </c>
      <c r="E147" s="10" t="str">
        <f aca="false">INDEX('Site-uri'!$C$2:$C$20,MATCH(C147,'Site-uri'!$A$2:$A$20,0))</f>
        <v>/</v>
      </c>
      <c r="F147" s="10" t="str">
        <f aca="false">B147</f>
        <v>eu-ai-act.ro</v>
      </c>
      <c r="G147" s="10" t="str">
        <f aca="false">Config!$B$5</f>
        <v>network</v>
      </c>
      <c r="H147" s="10" t="str">
        <f aca="false">Config!$B$3</f>
        <v>2610_ff_lansare</v>
      </c>
      <c r="I147" s="10" t="str">
        <f aca="false">Config!$B$4</f>
        <v>general</v>
      </c>
      <c r="J147" s="10" t="str">
        <f aca="false">"https://"&amp;D147&amp;E147&amp;"?utm_source="&amp;F147&amp;"&amp;utm_medium="&amp;G147&amp;"&amp;utm_campaign="&amp;H147&amp;"&amp;utm_content="&amp;I147</f>
        <v>https://aiventure.ro/?utm_source=eu-ai-act.ro&amp;utm_medium=network&amp;utm_campaign=2610_ff_lansare&amp;utm_content=general</v>
      </c>
    </row>
    <row r="148" customFormat="false" ht="15" hidden="false" customHeight="false" outlineLevel="0" collapsed="false">
      <c r="A148" s="10" t="s">
        <v>69</v>
      </c>
      <c r="B148" s="10" t="str">
        <f aca="false">INDEX('Site-uri'!$B$2:$B$20,MATCH(A148,'Site-uri'!$A$2:$A$20,0))</f>
        <v>eu-ai-act.ro</v>
      </c>
      <c r="C148" s="10" t="s">
        <v>52</v>
      </c>
      <c r="D148" s="10" t="str">
        <f aca="false">INDEX('Site-uri'!$B$2:$B$20,MATCH(C148,'Site-uri'!$A$2:$A$20,0))</f>
        <v>aiventure.uk</v>
      </c>
      <c r="E148" s="10" t="str">
        <f aca="false">INDEX('Site-uri'!$C$2:$C$20,MATCH(C148,'Site-uri'!$A$2:$A$20,0))</f>
        <v>/</v>
      </c>
      <c r="F148" s="10" t="str">
        <f aca="false">B148</f>
        <v>eu-ai-act.ro</v>
      </c>
      <c r="G148" s="10" t="str">
        <f aca="false">Config!$B$5</f>
        <v>network</v>
      </c>
      <c r="H148" s="10" t="str">
        <f aca="false">Config!$B$3</f>
        <v>2610_ff_lansare</v>
      </c>
      <c r="I148" s="10" t="str">
        <f aca="false">Config!$B$4</f>
        <v>general</v>
      </c>
      <c r="J148" s="10" t="str">
        <f aca="false">"https://"&amp;D148&amp;E148&amp;"?utm_source="&amp;F148&amp;"&amp;utm_medium="&amp;G148&amp;"&amp;utm_campaign="&amp;H148&amp;"&amp;utm_content="&amp;I148</f>
        <v>https://aiventure.uk/?utm_source=eu-ai-act.ro&amp;utm_medium=network&amp;utm_campaign=2610_ff_lansare&amp;utm_content=general</v>
      </c>
    </row>
    <row r="149" customFormat="false" ht="15" hidden="false" customHeight="false" outlineLevel="0" collapsed="false">
      <c r="A149" s="10" t="s">
        <v>69</v>
      </c>
      <c r="B149" s="10" t="str">
        <f aca="false">INDEX('Site-uri'!$B$2:$B$20,MATCH(A149,'Site-uri'!$A$2:$A$20,0))</f>
        <v>eu-ai-act.ro</v>
      </c>
      <c r="C149" s="10" t="s">
        <v>55</v>
      </c>
      <c r="D149" s="10" t="str">
        <f aca="false">INDEX('Site-uri'!$B$2:$B$20,MATCH(C149,'Site-uri'!$A$2:$A$20,0))</f>
        <v>3webobs.com</v>
      </c>
      <c r="E149" s="10" t="str">
        <f aca="false">INDEX('Site-uri'!$C$2:$C$20,MATCH(C149,'Site-uri'!$A$2:$A$20,0))</f>
        <v>/</v>
      </c>
      <c r="F149" s="10" t="str">
        <f aca="false">B149</f>
        <v>eu-ai-act.ro</v>
      </c>
      <c r="G149" s="10" t="str">
        <f aca="false">Config!$B$5</f>
        <v>network</v>
      </c>
      <c r="H149" s="10" t="str">
        <f aca="false">Config!$B$3</f>
        <v>2610_ff_lansare</v>
      </c>
      <c r="I149" s="10" t="str">
        <f aca="false">Config!$B$4</f>
        <v>general</v>
      </c>
      <c r="J149" s="10" t="str">
        <f aca="false">"https://"&amp;D149&amp;E149&amp;"?utm_source="&amp;F149&amp;"&amp;utm_medium="&amp;G149&amp;"&amp;utm_campaign="&amp;H149&amp;"&amp;utm_content="&amp;I149</f>
        <v>https://3webobs.com/?utm_source=eu-ai-act.ro&amp;utm_medium=network&amp;utm_campaign=2610_ff_lansare&amp;utm_content=general</v>
      </c>
    </row>
    <row r="150" customFormat="false" ht="15" hidden="false" customHeight="false" outlineLevel="0" collapsed="false">
      <c r="A150" s="10" t="s">
        <v>69</v>
      </c>
      <c r="B150" s="10" t="str">
        <f aca="false">INDEX('Site-uri'!$B$2:$B$20,MATCH(A150,'Site-uri'!$A$2:$A$20,0))</f>
        <v>eu-ai-act.ro</v>
      </c>
      <c r="C150" s="10" t="s">
        <v>58</v>
      </c>
      <c r="D150" s="10" t="str">
        <f aca="false">INDEX('Site-uri'!$B$2:$B$20,MATCH(C150,'Site-uri'!$A$2:$A$20,0))</f>
        <v>ai-lens.eu</v>
      </c>
      <c r="E150" s="10" t="str">
        <f aca="false">INDEX('Site-uri'!$C$2:$C$20,MATCH(C150,'Site-uri'!$A$2:$A$20,0))</f>
        <v>/</v>
      </c>
      <c r="F150" s="10" t="str">
        <f aca="false">B150</f>
        <v>eu-ai-act.ro</v>
      </c>
      <c r="G150" s="10" t="str">
        <f aca="false">Config!$B$5</f>
        <v>network</v>
      </c>
      <c r="H150" s="10" t="str">
        <f aca="false">Config!$B$3</f>
        <v>2610_ff_lansare</v>
      </c>
      <c r="I150" s="10" t="str">
        <f aca="false">Config!$B$4</f>
        <v>general</v>
      </c>
      <c r="J150" s="10" t="str">
        <f aca="false">"https://"&amp;D150&amp;E150&amp;"?utm_source="&amp;F150&amp;"&amp;utm_medium="&amp;G150&amp;"&amp;utm_campaign="&amp;H150&amp;"&amp;utm_content="&amp;I150</f>
        <v>https://ai-lens.eu/?utm_source=eu-ai-act.ro&amp;utm_medium=network&amp;utm_campaign=2610_ff_lansare&amp;utm_content=general</v>
      </c>
    </row>
    <row r="151" customFormat="false" ht="15" hidden="false" customHeight="false" outlineLevel="0" collapsed="false">
      <c r="A151" s="10" t="s">
        <v>69</v>
      </c>
      <c r="B151" s="10" t="str">
        <f aca="false">INDEX('Site-uri'!$B$2:$B$20,MATCH(A151,'Site-uri'!$A$2:$A$20,0))</f>
        <v>eu-ai-act.ro</v>
      </c>
      <c r="C151" s="10" t="s">
        <v>61</v>
      </c>
      <c r="D151" s="10" t="str">
        <f aca="false">INDEX('Site-uri'!$B$2:$B$20,MATCH(C151,'Site-uri'!$A$2:$A$20,0))</f>
        <v>aireadyinjector.com</v>
      </c>
      <c r="E151" s="10" t="str">
        <f aca="false">INDEX('Site-uri'!$C$2:$C$20,MATCH(C151,'Site-uri'!$A$2:$A$20,0))</f>
        <v>/</v>
      </c>
      <c r="F151" s="10" t="str">
        <f aca="false">B151</f>
        <v>eu-ai-act.ro</v>
      </c>
      <c r="G151" s="10" t="str">
        <f aca="false">Config!$B$5</f>
        <v>network</v>
      </c>
      <c r="H151" s="10" t="str">
        <f aca="false">Config!$B$3</f>
        <v>2610_ff_lansare</v>
      </c>
      <c r="I151" s="10" t="str">
        <f aca="false">Config!$B$4</f>
        <v>general</v>
      </c>
      <c r="J151" s="10" t="str">
        <f aca="false">"https://"&amp;D151&amp;E151&amp;"?utm_source="&amp;F151&amp;"&amp;utm_medium="&amp;G151&amp;"&amp;utm_campaign="&amp;H151&amp;"&amp;utm_content="&amp;I151</f>
        <v>https://aireadyinjector.com/?utm_source=eu-ai-act.ro&amp;utm_medium=network&amp;utm_campaign=2610_ff_lansare&amp;utm_content=general</v>
      </c>
    </row>
    <row r="152" customFormat="false" ht="15" hidden="false" customHeight="false" outlineLevel="0" collapsed="false">
      <c r="A152" s="10" t="s">
        <v>69</v>
      </c>
      <c r="B152" s="10" t="str">
        <f aca="false">INDEX('Site-uri'!$B$2:$B$20,MATCH(A152,'Site-uri'!$A$2:$A$20,0))</f>
        <v>eu-ai-act.ro</v>
      </c>
      <c r="C152" s="10" t="s">
        <v>64</v>
      </c>
      <c r="D152" s="10" t="str">
        <f aca="false">INDEX('Site-uri'!$B$2:$B$20,MATCH(C152,'Site-uri'!$A$2:$A$20,0))</f>
        <v>eu-ai-audit.eu</v>
      </c>
      <c r="E152" s="10" t="str">
        <f aca="false">INDEX('Site-uri'!$C$2:$C$20,MATCH(C152,'Site-uri'!$A$2:$A$20,0))</f>
        <v>/</v>
      </c>
      <c r="F152" s="10" t="str">
        <f aca="false">B152</f>
        <v>eu-ai-act.ro</v>
      </c>
      <c r="G152" s="10" t="str">
        <f aca="false">Config!$B$5</f>
        <v>network</v>
      </c>
      <c r="H152" s="10" t="str">
        <f aca="false">Config!$B$3</f>
        <v>2610_ff_lansare</v>
      </c>
      <c r="I152" s="10" t="str">
        <f aca="false">Config!$B$4</f>
        <v>general</v>
      </c>
      <c r="J152" s="10" t="str">
        <f aca="false">"https://"&amp;D152&amp;E152&amp;"?utm_source="&amp;F152&amp;"&amp;utm_medium="&amp;G152&amp;"&amp;utm_campaign="&amp;H152&amp;"&amp;utm_content="&amp;I152</f>
        <v>https://eu-ai-audit.eu/?utm_source=eu-ai-act.ro&amp;utm_medium=network&amp;utm_campaign=2610_ff_lansare&amp;utm_content=general</v>
      </c>
    </row>
    <row r="153" customFormat="false" ht="15" hidden="false" customHeight="false" outlineLevel="0" collapsed="false">
      <c r="A153" s="10" t="s">
        <v>69</v>
      </c>
      <c r="B153" s="10" t="str">
        <f aca="false">INDEX('Site-uri'!$B$2:$B$20,MATCH(A153,'Site-uri'!$A$2:$A$20,0))</f>
        <v>eu-ai-act.ro</v>
      </c>
      <c r="C153" s="10" t="s">
        <v>67</v>
      </c>
      <c r="D153" s="10" t="str">
        <f aca="false">INDEX('Site-uri'!$B$2:$B$20,MATCH(C153,'Site-uri'!$A$2:$A$20,0))</f>
        <v>eu-ai-ready.eu</v>
      </c>
      <c r="E153" s="10" t="str">
        <f aca="false">INDEX('Site-uri'!$C$2:$C$20,MATCH(C153,'Site-uri'!$A$2:$A$20,0))</f>
        <v>/</v>
      </c>
      <c r="F153" s="10" t="str">
        <f aca="false">B153</f>
        <v>eu-ai-act.ro</v>
      </c>
      <c r="G153" s="10" t="str">
        <f aca="false">Config!$B$5</f>
        <v>network</v>
      </c>
      <c r="H153" s="10" t="str">
        <f aca="false">Config!$B$3</f>
        <v>2610_ff_lansare</v>
      </c>
      <c r="I153" s="10" t="str">
        <f aca="false">Config!$B$4</f>
        <v>general</v>
      </c>
      <c r="J153" s="10" t="str">
        <f aca="false">"https://"&amp;D153&amp;E153&amp;"?utm_source="&amp;F153&amp;"&amp;utm_medium="&amp;G153&amp;"&amp;utm_campaign="&amp;H153&amp;"&amp;utm_content="&amp;I153</f>
        <v>https://eu-ai-ready.eu/?utm_source=eu-ai-act.ro&amp;utm_medium=network&amp;utm_campaign=2610_ff_lansare&amp;utm_content=general</v>
      </c>
    </row>
    <row r="154" customFormat="false" ht="15" hidden="false" customHeight="false" outlineLevel="0" collapsed="false">
      <c r="A154" s="10" t="s">
        <v>69</v>
      </c>
      <c r="B154" s="10" t="str">
        <f aca="false">INDEX('Site-uri'!$B$2:$B$20,MATCH(A154,'Site-uri'!$A$2:$A$20,0))</f>
        <v>eu-ai-act.ro</v>
      </c>
      <c r="C154" s="10" t="s">
        <v>72</v>
      </c>
      <c r="D154" s="10" t="str">
        <f aca="false">INDEX('Site-uri'!$B$2:$B$20,MATCH(C154,'Site-uri'!$A$2:$A$20,0))</f>
        <v>eu-ai-act-ready.eu</v>
      </c>
      <c r="E154" s="10" t="str">
        <f aca="false">INDEX('Site-uri'!$C$2:$C$20,MATCH(C154,'Site-uri'!$A$2:$A$20,0))</f>
        <v>/</v>
      </c>
      <c r="F154" s="10" t="str">
        <f aca="false">B154</f>
        <v>eu-ai-act.ro</v>
      </c>
      <c r="G154" s="10" t="str">
        <f aca="false">Config!$B$5</f>
        <v>network</v>
      </c>
      <c r="H154" s="10" t="str">
        <f aca="false">Config!$B$3</f>
        <v>2610_ff_lansare</v>
      </c>
      <c r="I154" s="10" t="str">
        <f aca="false">Config!$B$4</f>
        <v>general</v>
      </c>
      <c r="J154" s="10" t="str">
        <f aca="false">"https://"&amp;D154&amp;E154&amp;"?utm_source="&amp;F154&amp;"&amp;utm_medium="&amp;G154&amp;"&amp;utm_campaign="&amp;H154&amp;"&amp;utm_content="&amp;I154</f>
        <v>https://eu-ai-act-ready.eu/?utm_source=eu-ai-act.ro&amp;utm_medium=network&amp;utm_campaign=2610_ff_lansare&amp;utm_content=general</v>
      </c>
    </row>
    <row r="155" customFormat="false" ht="15" hidden="false" customHeight="false" outlineLevel="0" collapsed="false">
      <c r="A155" s="10" t="s">
        <v>69</v>
      </c>
      <c r="B155" s="10" t="str">
        <f aca="false">INDEX('Site-uri'!$B$2:$B$20,MATCH(A155,'Site-uri'!$A$2:$A$20,0))</f>
        <v>eu-ai-act.ro</v>
      </c>
      <c r="C155" s="10" t="s">
        <v>75</v>
      </c>
      <c r="D155" s="10" t="str">
        <f aca="false">INDEX('Site-uri'!$B$2:$B$20,MATCH(C155,'Site-uri'!$A$2:$A$20,0))</f>
        <v>eu-112.ro</v>
      </c>
      <c r="E155" s="10" t="str">
        <f aca="false">INDEX('Site-uri'!$C$2:$C$20,MATCH(C155,'Site-uri'!$A$2:$A$20,0))</f>
        <v>/</v>
      </c>
      <c r="F155" s="10" t="str">
        <f aca="false">B155</f>
        <v>eu-ai-act.ro</v>
      </c>
      <c r="G155" s="10" t="str">
        <f aca="false">Config!$B$5</f>
        <v>network</v>
      </c>
      <c r="H155" s="10" t="str">
        <f aca="false">Config!$B$3</f>
        <v>2610_ff_lansare</v>
      </c>
      <c r="I155" s="10" t="str">
        <f aca="false">Config!$B$4</f>
        <v>general</v>
      </c>
      <c r="J155" s="10" t="str">
        <f aca="false">"https://"&amp;D155&amp;E155&amp;"?utm_source="&amp;F155&amp;"&amp;utm_medium="&amp;G155&amp;"&amp;utm_campaign="&amp;H155&amp;"&amp;utm_content="&amp;I155</f>
        <v>https://eu-112.ro/?utm_source=eu-ai-act.ro&amp;utm_medium=network&amp;utm_campaign=2610_ff_lansare&amp;utm_content=general</v>
      </c>
    </row>
    <row r="156" customFormat="false" ht="15" hidden="false" customHeight="false" outlineLevel="0" collapsed="false">
      <c r="A156" s="10" t="s">
        <v>69</v>
      </c>
      <c r="B156" s="10" t="str">
        <f aca="false">INDEX('Site-uri'!$B$2:$B$20,MATCH(A156,'Site-uri'!$A$2:$A$20,0))</f>
        <v>eu-ai-act.ro</v>
      </c>
      <c r="C156" s="10" t="s">
        <v>78</v>
      </c>
      <c r="D156" s="10" t="str">
        <f aca="false">INDEX('Site-uri'!$B$2:$B$20,MATCH(C156,'Site-uri'!$A$2:$A$20,0))</f>
        <v>eu-112.eu</v>
      </c>
      <c r="E156" s="10" t="str">
        <f aca="false">INDEX('Site-uri'!$C$2:$C$20,MATCH(C156,'Site-uri'!$A$2:$A$20,0))</f>
        <v>/</v>
      </c>
      <c r="F156" s="10" t="str">
        <f aca="false">B156</f>
        <v>eu-ai-act.ro</v>
      </c>
      <c r="G156" s="10" t="str">
        <f aca="false">Config!$B$5</f>
        <v>network</v>
      </c>
      <c r="H156" s="10" t="str">
        <f aca="false">Config!$B$3</f>
        <v>2610_ff_lansare</v>
      </c>
      <c r="I156" s="10" t="str">
        <f aca="false">Config!$B$4</f>
        <v>general</v>
      </c>
      <c r="J156" s="10" t="str">
        <f aca="false">"https://"&amp;D156&amp;E156&amp;"?utm_source="&amp;F156&amp;"&amp;utm_medium="&amp;G156&amp;"&amp;utm_campaign="&amp;H156&amp;"&amp;utm_content="&amp;I156</f>
        <v>https://eu-112.eu/?utm_source=eu-ai-act.ro&amp;utm_medium=network&amp;utm_campaign=2610_ff_lansare&amp;utm_content=general</v>
      </c>
    </row>
    <row r="157" customFormat="false" ht="15" hidden="false" customHeight="false" outlineLevel="0" collapsed="false">
      <c r="A157" s="10" t="s">
        <v>69</v>
      </c>
      <c r="B157" s="10" t="str">
        <f aca="false">INDEX('Site-uri'!$B$2:$B$20,MATCH(A157,'Site-uri'!$A$2:$A$20,0))</f>
        <v>eu-ai-act.ro</v>
      </c>
      <c r="C157" s="10" t="s">
        <v>81</v>
      </c>
      <c r="D157" s="10" t="str">
        <f aca="false">INDEX('Site-uri'!$B$2:$B$20,MATCH(C157,'Site-uri'!$A$2:$A$20,0))</f>
        <v>1clic-ia.eu</v>
      </c>
      <c r="E157" s="10" t="str">
        <f aca="false">INDEX('Site-uri'!$C$2:$C$20,MATCH(C157,'Site-uri'!$A$2:$A$20,0))</f>
        <v>/</v>
      </c>
      <c r="F157" s="10" t="str">
        <f aca="false">B157</f>
        <v>eu-ai-act.ro</v>
      </c>
      <c r="G157" s="10" t="str">
        <f aca="false">Config!$B$5</f>
        <v>network</v>
      </c>
      <c r="H157" s="10" t="str">
        <f aca="false">Config!$B$3</f>
        <v>2610_ff_lansare</v>
      </c>
      <c r="I157" s="10" t="str">
        <f aca="false">Config!$B$4</f>
        <v>general</v>
      </c>
      <c r="J157" s="10" t="str">
        <f aca="false">"https://"&amp;D157&amp;E157&amp;"?utm_source="&amp;F157&amp;"&amp;utm_medium="&amp;G157&amp;"&amp;utm_campaign="&amp;H157&amp;"&amp;utm_content="&amp;I157</f>
        <v>https://1clic-ia.eu/?utm_source=eu-ai-act.ro&amp;utm_medium=network&amp;utm_campaign=2610_ff_lansare&amp;utm_content=general</v>
      </c>
    </row>
    <row r="158" customFormat="false" ht="15" hidden="false" customHeight="false" outlineLevel="0" collapsed="false">
      <c r="A158" s="10" t="s">
        <v>69</v>
      </c>
      <c r="B158" s="10" t="str">
        <f aca="false">INDEX('Site-uri'!$B$2:$B$20,MATCH(A158,'Site-uri'!$A$2:$A$20,0))</f>
        <v>eu-ai-act.ro</v>
      </c>
      <c r="C158" s="10" t="s">
        <v>84</v>
      </c>
      <c r="D158" s="10" t="str">
        <f aca="false">INDEX('Site-uri'!$B$2:$B$20,MATCH(C158,'Site-uri'!$A$2:$A$20,0))</f>
        <v>1clic-ia.fr</v>
      </c>
      <c r="E158" s="10" t="str">
        <f aca="false">INDEX('Site-uri'!$C$2:$C$20,MATCH(C158,'Site-uri'!$A$2:$A$20,0))</f>
        <v>/</v>
      </c>
      <c r="F158" s="10" t="str">
        <f aca="false">B158</f>
        <v>eu-ai-act.ro</v>
      </c>
      <c r="G158" s="10" t="str">
        <f aca="false">Config!$B$5</f>
        <v>network</v>
      </c>
      <c r="H158" s="10" t="str">
        <f aca="false">Config!$B$3</f>
        <v>2610_ff_lansare</v>
      </c>
      <c r="I158" s="10" t="str">
        <f aca="false">Config!$B$4</f>
        <v>general</v>
      </c>
      <c r="J158" s="10" t="str">
        <f aca="false">"https://"&amp;D158&amp;E158&amp;"?utm_source="&amp;F158&amp;"&amp;utm_medium="&amp;G158&amp;"&amp;utm_campaign="&amp;H158&amp;"&amp;utm_content="&amp;I158</f>
        <v>https://1clic-ia.fr/?utm_source=eu-ai-act.ro&amp;utm_medium=network&amp;utm_campaign=2610_ff_lansare&amp;utm_content=general</v>
      </c>
    </row>
    <row r="159" customFormat="false" ht="15" hidden="false" customHeight="false" outlineLevel="0" collapsed="false">
      <c r="A159" s="10" t="s">
        <v>69</v>
      </c>
      <c r="B159" s="10" t="str">
        <f aca="false">INDEX('Site-uri'!$B$2:$B$20,MATCH(A159,'Site-uri'!$A$2:$A$20,0))</f>
        <v>eu-ai-act.ro</v>
      </c>
      <c r="C159" s="10" t="s">
        <v>86</v>
      </c>
      <c r="D159" s="10" t="str">
        <f aca="false">INDEX('Site-uri'!$B$2:$B$20,MATCH(C159,'Site-uri'!$A$2:$A$20,0))</f>
        <v>firmsfinder.eu</v>
      </c>
      <c r="E159" s="10" t="str">
        <f aca="false">INDEX('Site-uri'!$C$2:$C$20,MATCH(C159,'Site-uri'!$A$2:$A$20,0))</f>
        <v>/</v>
      </c>
      <c r="F159" s="10" t="str">
        <f aca="false">B159</f>
        <v>eu-ai-act.ro</v>
      </c>
      <c r="G159" s="10" t="str">
        <f aca="false">Config!$B$5</f>
        <v>network</v>
      </c>
      <c r="H159" s="10" t="str">
        <f aca="false">Config!$B$3</f>
        <v>2610_ff_lansare</v>
      </c>
      <c r="I159" s="10" t="str">
        <f aca="false">Config!$B$4</f>
        <v>general</v>
      </c>
      <c r="J159" s="10" t="str">
        <f aca="false">"https://"&amp;D159&amp;E159&amp;"?utm_source="&amp;F159&amp;"&amp;utm_medium="&amp;G159&amp;"&amp;utm_campaign="&amp;H159&amp;"&amp;utm_content="&amp;I159</f>
        <v>https://firmsfinder.eu/?utm_source=eu-ai-act.ro&amp;utm_medium=network&amp;utm_campaign=2610_ff_lansare&amp;utm_content=general</v>
      </c>
    </row>
    <row r="160" customFormat="false" ht="15" hidden="false" customHeight="false" outlineLevel="0" collapsed="false">
      <c r="A160" s="10" t="s">
        <v>69</v>
      </c>
      <c r="B160" s="10" t="str">
        <f aca="false">INDEX('Site-uri'!$B$2:$B$20,MATCH(A160,'Site-uri'!$A$2:$A$20,0))</f>
        <v>eu-ai-act.ro</v>
      </c>
      <c r="C160" s="10" t="s">
        <v>89</v>
      </c>
      <c r="D160" s="10" t="str">
        <f aca="false">INDEX('Site-uri'!$B$2:$B$20,MATCH(C160,'Site-uri'!$A$2:$A$20,0))</f>
        <v>b2b-ai-library.org</v>
      </c>
      <c r="E160" s="10" t="str">
        <f aca="false">INDEX('Site-uri'!$C$2:$C$20,MATCH(C160,'Site-uri'!$A$2:$A$20,0))</f>
        <v>/</v>
      </c>
      <c r="F160" s="10" t="str">
        <f aca="false">B160</f>
        <v>eu-ai-act.ro</v>
      </c>
      <c r="G160" s="10" t="str">
        <f aca="false">Config!$B$5</f>
        <v>network</v>
      </c>
      <c r="H160" s="10" t="str">
        <f aca="false">Config!$B$3</f>
        <v>2610_ff_lansare</v>
      </c>
      <c r="I160" s="10" t="str">
        <f aca="false">Config!$B$4</f>
        <v>general</v>
      </c>
      <c r="J160" s="10" t="str">
        <f aca="false">"https://"&amp;D160&amp;E160&amp;"?utm_source="&amp;F160&amp;"&amp;utm_medium="&amp;G160&amp;"&amp;utm_campaign="&amp;H160&amp;"&amp;utm_content="&amp;I160</f>
        <v>https://b2b-ai-library.org/?utm_source=eu-ai-act.ro&amp;utm_medium=network&amp;utm_campaign=2610_ff_lansare&amp;utm_content=general</v>
      </c>
    </row>
    <row r="161" customFormat="false" ht="15" hidden="false" customHeight="false" outlineLevel="0" collapsed="false">
      <c r="A161" s="10" t="s">
        <v>69</v>
      </c>
      <c r="B161" s="10" t="str">
        <f aca="false">INDEX('Site-uri'!$B$2:$B$20,MATCH(A161,'Site-uri'!$A$2:$A$20,0))</f>
        <v>eu-ai-act.ro</v>
      </c>
      <c r="C161" s="10" t="s">
        <v>91</v>
      </c>
      <c r="D161" s="10" t="str">
        <f aca="false">INDEX('Site-uri'!$B$2:$B$20,MATCH(C161,'Site-uri'!$A$2:$A$20,0))</f>
        <v>the3webs.com</v>
      </c>
      <c r="E161" s="10" t="str">
        <f aca="false">INDEX('Site-uri'!$C$2:$C$20,MATCH(C161,'Site-uri'!$A$2:$A$20,0))</f>
        <v>/</v>
      </c>
      <c r="F161" s="10" t="str">
        <f aca="false">B161</f>
        <v>eu-ai-act.ro</v>
      </c>
      <c r="G161" s="10" t="str">
        <f aca="false">Config!$B$5</f>
        <v>network</v>
      </c>
      <c r="H161" s="10" t="str">
        <f aca="false">Config!$B$3</f>
        <v>2610_ff_lansare</v>
      </c>
      <c r="I161" s="10" t="str">
        <f aca="false">Config!$B$4</f>
        <v>general</v>
      </c>
      <c r="J161" s="10" t="str">
        <f aca="false">"https://"&amp;D161&amp;E161&amp;"?utm_source="&amp;F161&amp;"&amp;utm_medium="&amp;G161&amp;"&amp;utm_campaign="&amp;H161&amp;"&amp;utm_content="&amp;I161</f>
        <v>https://the3webs.com/?utm_source=eu-ai-act.ro&amp;utm_medium=network&amp;utm_campaign=2610_ff_lansare&amp;utm_content=general</v>
      </c>
    </row>
    <row r="162" customFormat="false" ht="15" hidden="false" customHeight="false" outlineLevel="0" collapsed="false">
      <c r="A162" s="10" t="s">
        <v>69</v>
      </c>
      <c r="B162" s="10" t="str">
        <f aca="false">INDEX('Site-uri'!$B$2:$B$20,MATCH(A162,'Site-uri'!$A$2:$A$20,0))</f>
        <v>eu-ai-act.ro</v>
      </c>
      <c r="C162" s="10" t="s">
        <v>94</v>
      </c>
      <c r="D162" s="10" t="str">
        <f aca="false">INDEX('Site-uri'!$B$2:$B$20,MATCH(C162,'Site-uri'!$A$2:$A$20,0))</f>
        <v>floride-e2.com</v>
      </c>
      <c r="E162" s="10" t="str">
        <f aca="false">INDEX('Site-uri'!$C$2:$C$20,MATCH(C162,'Site-uri'!$A$2:$A$20,0))</f>
        <v>/</v>
      </c>
      <c r="F162" s="10" t="str">
        <f aca="false">B162</f>
        <v>eu-ai-act.ro</v>
      </c>
      <c r="G162" s="10" t="str">
        <f aca="false">Config!$B$5</f>
        <v>network</v>
      </c>
      <c r="H162" s="10" t="str">
        <f aca="false">Config!$B$3</f>
        <v>2610_ff_lansare</v>
      </c>
      <c r="I162" s="10" t="str">
        <f aca="false">Config!$B$4</f>
        <v>general</v>
      </c>
      <c r="J162" s="10" t="str">
        <f aca="false">"https://"&amp;D162&amp;E162&amp;"?utm_source="&amp;F162&amp;"&amp;utm_medium="&amp;G162&amp;"&amp;utm_campaign="&amp;H162&amp;"&amp;utm_content="&amp;I162</f>
        <v>https://floride-e2.com/?utm_source=eu-ai-act.ro&amp;utm_medium=network&amp;utm_campaign=2610_ff_lansare&amp;utm_content=general</v>
      </c>
    </row>
    <row r="163" customFormat="false" ht="15" hidden="false" customHeight="false" outlineLevel="0" collapsed="false">
      <c r="A163" s="10" t="s">
        <v>69</v>
      </c>
      <c r="B163" s="10" t="str">
        <f aca="false">INDEX('Site-uri'!$B$2:$B$20,MATCH(A163,'Site-uri'!$A$2:$A$20,0))</f>
        <v>eu-ai-act.ro</v>
      </c>
      <c r="C163" s="10" t="s">
        <v>96</v>
      </c>
      <c r="D163" s="10" t="str">
        <f aca="false">INDEX('Site-uri'!$B$2:$B$20,MATCH(C163,'Site-uri'!$A$2:$A$20,0))</f>
        <v>ecbtax.com</v>
      </c>
      <c r="E163" s="10" t="str">
        <f aca="false">INDEX('Site-uri'!$C$2:$C$20,MATCH(C163,'Site-uri'!$A$2:$A$20,0))</f>
        <v>/</v>
      </c>
      <c r="F163" s="10" t="str">
        <f aca="false">B163</f>
        <v>eu-ai-act.ro</v>
      </c>
      <c r="G163" s="10" t="str">
        <f aca="false">Config!$B$5</f>
        <v>network</v>
      </c>
      <c r="H163" s="10" t="str">
        <f aca="false">Config!$B$3</f>
        <v>2610_ff_lansare</v>
      </c>
      <c r="I163" s="10" t="str">
        <f aca="false">Config!$B$4</f>
        <v>general</v>
      </c>
      <c r="J163" s="10" t="str">
        <f aca="false">"https://"&amp;D163&amp;E163&amp;"?utm_source="&amp;F163&amp;"&amp;utm_medium="&amp;G163&amp;"&amp;utm_campaign="&amp;H163&amp;"&amp;utm_content="&amp;I163</f>
        <v>https://ecbtax.com/?utm_source=eu-ai-act.ro&amp;utm_medium=network&amp;utm_campaign=2610_ff_lansare&amp;utm_content=general</v>
      </c>
    </row>
    <row r="164" customFormat="false" ht="15" hidden="false" customHeight="false" outlineLevel="0" collapsed="false">
      <c r="A164" s="10" t="s">
        <v>72</v>
      </c>
      <c r="B164" s="10" t="str">
        <f aca="false">INDEX('Site-uri'!$B$2:$B$20,MATCH(A164,'Site-uri'!$A$2:$A$20,0))</f>
        <v>eu-ai-act-ready.eu</v>
      </c>
      <c r="C164" s="10" t="s">
        <v>45</v>
      </c>
      <c r="D164" s="10" t="str">
        <f aca="false">INDEX('Site-uri'!$B$2:$B$20,MATCH(C164,'Site-uri'!$A$2:$A$20,0))</f>
        <v>5thelement.ai</v>
      </c>
      <c r="E164" s="10" t="str">
        <f aca="false">INDEX('Site-uri'!$C$2:$C$20,MATCH(C164,'Site-uri'!$A$2:$A$20,0))</f>
        <v>/</v>
      </c>
      <c r="F164" s="10" t="str">
        <f aca="false">B164</f>
        <v>eu-ai-act-ready.eu</v>
      </c>
      <c r="G164" s="10" t="str">
        <f aca="false">Config!$B$5</f>
        <v>network</v>
      </c>
      <c r="H164" s="10" t="str">
        <f aca="false">Config!$B$3</f>
        <v>2610_ff_lansare</v>
      </c>
      <c r="I164" s="10" t="str">
        <f aca="false">Config!$B$4</f>
        <v>general</v>
      </c>
      <c r="J164" s="10" t="str">
        <f aca="false">"https://"&amp;D164&amp;E164&amp;"?utm_source="&amp;F164&amp;"&amp;utm_medium="&amp;G164&amp;"&amp;utm_campaign="&amp;H164&amp;"&amp;utm_content="&amp;I164</f>
        <v>https://5thelement.ai/?utm_source=eu-ai-act-ready.eu&amp;utm_medium=network&amp;utm_campaign=2610_ff_lansare&amp;utm_content=general</v>
      </c>
    </row>
    <row r="165" customFormat="false" ht="15" hidden="false" customHeight="false" outlineLevel="0" collapsed="false">
      <c r="A165" s="10" t="s">
        <v>72</v>
      </c>
      <c r="B165" s="10" t="str">
        <f aca="false">INDEX('Site-uri'!$B$2:$B$20,MATCH(A165,'Site-uri'!$A$2:$A$20,0))</f>
        <v>eu-ai-act-ready.eu</v>
      </c>
      <c r="C165" s="10" t="s">
        <v>49</v>
      </c>
      <c r="D165" s="10" t="str">
        <f aca="false">INDEX('Site-uri'!$B$2:$B$20,MATCH(C165,'Site-uri'!$A$2:$A$20,0))</f>
        <v>aiventure.ro</v>
      </c>
      <c r="E165" s="10" t="str">
        <f aca="false">INDEX('Site-uri'!$C$2:$C$20,MATCH(C165,'Site-uri'!$A$2:$A$20,0))</f>
        <v>/</v>
      </c>
      <c r="F165" s="10" t="str">
        <f aca="false">B165</f>
        <v>eu-ai-act-ready.eu</v>
      </c>
      <c r="G165" s="10" t="str">
        <f aca="false">Config!$B$5</f>
        <v>network</v>
      </c>
      <c r="H165" s="10" t="str">
        <f aca="false">Config!$B$3</f>
        <v>2610_ff_lansare</v>
      </c>
      <c r="I165" s="10" t="str">
        <f aca="false">Config!$B$4</f>
        <v>general</v>
      </c>
      <c r="J165" s="10" t="str">
        <f aca="false">"https://"&amp;D165&amp;E165&amp;"?utm_source="&amp;F165&amp;"&amp;utm_medium="&amp;G165&amp;"&amp;utm_campaign="&amp;H165&amp;"&amp;utm_content="&amp;I165</f>
        <v>https://aiventure.ro/?utm_source=eu-ai-act-ready.eu&amp;utm_medium=network&amp;utm_campaign=2610_ff_lansare&amp;utm_content=general</v>
      </c>
    </row>
    <row r="166" customFormat="false" ht="15" hidden="false" customHeight="false" outlineLevel="0" collapsed="false">
      <c r="A166" s="10" t="s">
        <v>72</v>
      </c>
      <c r="B166" s="10" t="str">
        <f aca="false">INDEX('Site-uri'!$B$2:$B$20,MATCH(A166,'Site-uri'!$A$2:$A$20,0))</f>
        <v>eu-ai-act-ready.eu</v>
      </c>
      <c r="C166" s="10" t="s">
        <v>52</v>
      </c>
      <c r="D166" s="10" t="str">
        <f aca="false">INDEX('Site-uri'!$B$2:$B$20,MATCH(C166,'Site-uri'!$A$2:$A$20,0))</f>
        <v>aiventure.uk</v>
      </c>
      <c r="E166" s="10" t="str">
        <f aca="false">INDEX('Site-uri'!$C$2:$C$20,MATCH(C166,'Site-uri'!$A$2:$A$20,0))</f>
        <v>/</v>
      </c>
      <c r="F166" s="10" t="str">
        <f aca="false">B166</f>
        <v>eu-ai-act-ready.eu</v>
      </c>
      <c r="G166" s="10" t="str">
        <f aca="false">Config!$B$5</f>
        <v>network</v>
      </c>
      <c r="H166" s="10" t="str">
        <f aca="false">Config!$B$3</f>
        <v>2610_ff_lansare</v>
      </c>
      <c r="I166" s="10" t="str">
        <f aca="false">Config!$B$4</f>
        <v>general</v>
      </c>
      <c r="J166" s="10" t="str">
        <f aca="false">"https://"&amp;D166&amp;E166&amp;"?utm_source="&amp;F166&amp;"&amp;utm_medium="&amp;G166&amp;"&amp;utm_campaign="&amp;H166&amp;"&amp;utm_content="&amp;I166</f>
        <v>https://aiventure.uk/?utm_source=eu-ai-act-ready.eu&amp;utm_medium=network&amp;utm_campaign=2610_ff_lansare&amp;utm_content=general</v>
      </c>
    </row>
    <row r="167" customFormat="false" ht="15" hidden="false" customHeight="false" outlineLevel="0" collapsed="false">
      <c r="A167" s="10" t="s">
        <v>72</v>
      </c>
      <c r="B167" s="10" t="str">
        <f aca="false">INDEX('Site-uri'!$B$2:$B$20,MATCH(A167,'Site-uri'!$A$2:$A$20,0))</f>
        <v>eu-ai-act-ready.eu</v>
      </c>
      <c r="C167" s="10" t="s">
        <v>55</v>
      </c>
      <c r="D167" s="10" t="str">
        <f aca="false">INDEX('Site-uri'!$B$2:$B$20,MATCH(C167,'Site-uri'!$A$2:$A$20,0))</f>
        <v>3webobs.com</v>
      </c>
      <c r="E167" s="10" t="str">
        <f aca="false">INDEX('Site-uri'!$C$2:$C$20,MATCH(C167,'Site-uri'!$A$2:$A$20,0))</f>
        <v>/</v>
      </c>
      <c r="F167" s="10" t="str">
        <f aca="false">B167</f>
        <v>eu-ai-act-ready.eu</v>
      </c>
      <c r="G167" s="10" t="str">
        <f aca="false">Config!$B$5</f>
        <v>network</v>
      </c>
      <c r="H167" s="10" t="str">
        <f aca="false">Config!$B$3</f>
        <v>2610_ff_lansare</v>
      </c>
      <c r="I167" s="10" t="str">
        <f aca="false">Config!$B$4</f>
        <v>general</v>
      </c>
      <c r="J167" s="10" t="str">
        <f aca="false">"https://"&amp;D167&amp;E167&amp;"?utm_source="&amp;F167&amp;"&amp;utm_medium="&amp;G167&amp;"&amp;utm_campaign="&amp;H167&amp;"&amp;utm_content="&amp;I167</f>
        <v>https://3webobs.com/?utm_source=eu-ai-act-ready.eu&amp;utm_medium=network&amp;utm_campaign=2610_ff_lansare&amp;utm_content=general</v>
      </c>
    </row>
    <row r="168" customFormat="false" ht="15" hidden="false" customHeight="false" outlineLevel="0" collapsed="false">
      <c r="A168" s="10" t="s">
        <v>72</v>
      </c>
      <c r="B168" s="10" t="str">
        <f aca="false">INDEX('Site-uri'!$B$2:$B$20,MATCH(A168,'Site-uri'!$A$2:$A$20,0))</f>
        <v>eu-ai-act-ready.eu</v>
      </c>
      <c r="C168" s="10" t="s">
        <v>58</v>
      </c>
      <c r="D168" s="10" t="str">
        <f aca="false">INDEX('Site-uri'!$B$2:$B$20,MATCH(C168,'Site-uri'!$A$2:$A$20,0))</f>
        <v>ai-lens.eu</v>
      </c>
      <c r="E168" s="10" t="str">
        <f aca="false">INDEX('Site-uri'!$C$2:$C$20,MATCH(C168,'Site-uri'!$A$2:$A$20,0))</f>
        <v>/</v>
      </c>
      <c r="F168" s="10" t="str">
        <f aca="false">B168</f>
        <v>eu-ai-act-ready.eu</v>
      </c>
      <c r="G168" s="10" t="str">
        <f aca="false">Config!$B$5</f>
        <v>network</v>
      </c>
      <c r="H168" s="10" t="str">
        <f aca="false">Config!$B$3</f>
        <v>2610_ff_lansare</v>
      </c>
      <c r="I168" s="10" t="str">
        <f aca="false">Config!$B$4</f>
        <v>general</v>
      </c>
      <c r="J168" s="10" t="str">
        <f aca="false">"https://"&amp;D168&amp;E168&amp;"?utm_source="&amp;F168&amp;"&amp;utm_medium="&amp;G168&amp;"&amp;utm_campaign="&amp;H168&amp;"&amp;utm_content="&amp;I168</f>
        <v>https://ai-lens.eu/?utm_source=eu-ai-act-ready.eu&amp;utm_medium=network&amp;utm_campaign=2610_ff_lansare&amp;utm_content=general</v>
      </c>
    </row>
    <row r="169" customFormat="false" ht="15" hidden="false" customHeight="false" outlineLevel="0" collapsed="false">
      <c r="A169" s="10" t="s">
        <v>72</v>
      </c>
      <c r="B169" s="10" t="str">
        <f aca="false">INDEX('Site-uri'!$B$2:$B$20,MATCH(A169,'Site-uri'!$A$2:$A$20,0))</f>
        <v>eu-ai-act-ready.eu</v>
      </c>
      <c r="C169" s="10" t="s">
        <v>61</v>
      </c>
      <c r="D169" s="10" t="str">
        <f aca="false">INDEX('Site-uri'!$B$2:$B$20,MATCH(C169,'Site-uri'!$A$2:$A$20,0))</f>
        <v>aireadyinjector.com</v>
      </c>
      <c r="E169" s="10" t="str">
        <f aca="false">INDEX('Site-uri'!$C$2:$C$20,MATCH(C169,'Site-uri'!$A$2:$A$20,0))</f>
        <v>/</v>
      </c>
      <c r="F169" s="10" t="str">
        <f aca="false">B169</f>
        <v>eu-ai-act-ready.eu</v>
      </c>
      <c r="G169" s="10" t="str">
        <f aca="false">Config!$B$5</f>
        <v>network</v>
      </c>
      <c r="H169" s="10" t="str">
        <f aca="false">Config!$B$3</f>
        <v>2610_ff_lansare</v>
      </c>
      <c r="I169" s="10" t="str">
        <f aca="false">Config!$B$4</f>
        <v>general</v>
      </c>
      <c r="J169" s="10" t="str">
        <f aca="false">"https://"&amp;D169&amp;E169&amp;"?utm_source="&amp;F169&amp;"&amp;utm_medium="&amp;G169&amp;"&amp;utm_campaign="&amp;H169&amp;"&amp;utm_content="&amp;I169</f>
        <v>https://aireadyinjector.com/?utm_source=eu-ai-act-ready.eu&amp;utm_medium=network&amp;utm_campaign=2610_ff_lansare&amp;utm_content=general</v>
      </c>
    </row>
    <row r="170" customFormat="false" ht="15" hidden="false" customHeight="false" outlineLevel="0" collapsed="false">
      <c r="A170" s="10" t="s">
        <v>72</v>
      </c>
      <c r="B170" s="10" t="str">
        <f aca="false">INDEX('Site-uri'!$B$2:$B$20,MATCH(A170,'Site-uri'!$A$2:$A$20,0))</f>
        <v>eu-ai-act-ready.eu</v>
      </c>
      <c r="C170" s="10" t="s">
        <v>64</v>
      </c>
      <c r="D170" s="10" t="str">
        <f aca="false">INDEX('Site-uri'!$B$2:$B$20,MATCH(C170,'Site-uri'!$A$2:$A$20,0))</f>
        <v>eu-ai-audit.eu</v>
      </c>
      <c r="E170" s="10" t="str">
        <f aca="false">INDEX('Site-uri'!$C$2:$C$20,MATCH(C170,'Site-uri'!$A$2:$A$20,0))</f>
        <v>/</v>
      </c>
      <c r="F170" s="10" t="str">
        <f aca="false">B170</f>
        <v>eu-ai-act-ready.eu</v>
      </c>
      <c r="G170" s="10" t="str">
        <f aca="false">Config!$B$5</f>
        <v>network</v>
      </c>
      <c r="H170" s="10" t="str">
        <f aca="false">Config!$B$3</f>
        <v>2610_ff_lansare</v>
      </c>
      <c r="I170" s="10" t="str">
        <f aca="false">Config!$B$4</f>
        <v>general</v>
      </c>
      <c r="J170" s="10" t="str">
        <f aca="false">"https://"&amp;D170&amp;E170&amp;"?utm_source="&amp;F170&amp;"&amp;utm_medium="&amp;G170&amp;"&amp;utm_campaign="&amp;H170&amp;"&amp;utm_content="&amp;I170</f>
        <v>https://eu-ai-audit.eu/?utm_source=eu-ai-act-ready.eu&amp;utm_medium=network&amp;utm_campaign=2610_ff_lansare&amp;utm_content=general</v>
      </c>
    </row>
    <row r="171" customFormat="false" ht="15" hidden="false" customHeight="false" outlineLevel="0" collapsed="false">
      <c r="A171" s="10" t="s">
        <v>72</v>
      </c>
      <c r="B171" s="10" t="str">
        <f aca="false">INDEX('Site-uri'!$B$2:$B$20,MATCH(A171,'Site-uri'!$A$2:$A$20,0))</f>
        <v>eu-ai-act-ready.eu</v>
      </c>
      <c r="C171" s="10" t="s">
        <v>67</v>
      </c>
      <c r="D171" s="10" t="str">
        <f aca="false">INDEX('Site-uri'!$B$2:$B$20,MATCH(C171,'Site-uri'!$A$2:$A$20,0))</f>
        <v>eu-ai-ready.eu</v>
      </c>
      <c r="E171" s="10" t="str">
        <f aca="false">INDEX('Site-uri'!$C$2:$C$20,MATCH(C171,'Site-uri'!$A$2:$A$20,0))</f>
        <v>/</v>
      </c>
      <c r="F171" s="10" t="str">
        <f aca="false">B171</f>
        <v>eu-ai-act-ready.eu</v>
      </c>
      <c r="G171" s="10" t="str">
        <f aca="false">Config!$B$5</f>
        <v>network</v>
      </c>
      <c r="H171" s="10" t="str">
        <f aca="false">Config!$B$3</f>
        <v>2610_ff_lansare</v>
      </c>
      <c r="I171" s="10" t="str">
        <f aca="false">Config!$B$4</f>
        <v>general</v>
      </c>
      <c r="J171" s="10" t="str">
        <f aca="false">"https://"&amp;D171&amp;E171&amp;"?utm_source="&amp;F171&amp;"&amp;utm_medium="&amp;G171&amp;"&amp;utm_campaign="&amp;H171&amp;"&amp;utm_content="&amp;I171</f>
        <v>https://eu-ai-ready.eu/?utm_source=eu-ai-act-ready.eu&amp;utm_medium=network&amp;utm_campaign=2610_ff_lansare&amp;utm_content=general</v>
      </c>
    </row>
    <row r="172" customFormat="false" ht="15" hidden="false" customHeight="false" outlineLevel="0" collapsed="false">
      <c r="A172" s="10" t="s">
        <v>72</v>
      </c>
      <c r="B172" s="10" t="str">
        <f aca="false">INDEX('Site-uri'!$B$2:$B$20,MATCH(A172,'Site-uri'!$A$2:$A$20,0))</f>
        <v>eu-ai-act-ready.eu</v>
      </c>
      <c r="C172" s="10" t="s">
        <v>69</v>
      </c>
      <c r="D172" s="10" t="str">
        <f aca="false">INDEX('Site-uri'!$B$2:$B$20,MATCH(C172,'Site-uri'!$A$2:$A$20,0))</f>
        <v>eu-ai-act.ro</v>
      </c>
      <c r="E172" s="10" t="str">
        <f aca="false">INDEX('Site-uri'!$C$2:$C$20,MATCH(C172,'Site-uri'!$A$2:$A$20,0))</f>
        <v>/</v>
      </c>
      <c r="F172" s="10" t="str">
        <f aca="false">B172</f>
        <v>eu-ai-act-ready.eu</v>
      </c>
      <c r="G172" s="10" t="str">
        <f aca="false">Config!$B$5</f>
        <v>network</v>
      </c>
      <c r="H172" s="10" t="str">
        <f aca="false">Config!$B$3</f>
        <v>2610_ff_lansare</v>
      </c>
      <c r="I172" s="10" t="str">
        <f aca="false">Config!$B$4</f>
        <v>general</v>
      </c>
      <c r="J172" s="10" t="str">
        <f aca="false">"https://"&amp;D172&amp;E172&amp;"?utm_source="&amp;F172&amp;"&amp;utm_medium="&amp;G172&amp;"&amp;utm_campaign="&amp;H172&amp;"&amp;utm_content="&amp;I172</f>
        <v>https://eu-ai-act.ro/?utm_source=eu-ai-act-ready.eu&amp;utm_medium=network&amp;utm_campaign=2610_ff_lansare&amp;utm_content=general</v>
      </c>
    </row>
    <row r="173" customFormat="false" ht="15" hidden="false" customHeight="false" outlineLevel="0" collapsed="false">
      <c r="A173" s="10" t="s">
        <v>72</v>
      </c>
      <c r="B173" s="10" t="str">
        <f aca="false">INDEX('Site-uri'!$B$2:$B$20,MATCH(A173,'Site-uri'!$A$2:$A$20,0))</f>
        <v>eu-ai-act-ready.eu</v>
      </c>
      <c r="C173" s="10" t="s">
        <v>75</v>
      </c>
      <c r="D173" s="10" t="str">
        <f aca="false">INDEX('Site-uri'!$B$2:$B$20,MATCH(C173,'Site-uri'!$A$2:$A$20,0))</f>
        <v>eu-112.ro</v>
      </c>
      <c r="E173" s="10" t="str">
        <f aca="false">INDEX('Site-uri'!$C$2:$C$20,MATCH(C173,'Site-uri'!$A$2:$A$20,0))</f>
        <v>/</v>
      </c>
      <c r="F173" s="10" t="str">
        <f aca="false">B173</f>
        <v>eu-ai-act-ready.eu</v>
      </c>
      <c r="G173" s="10" t="str">
        <f aca="false">Config!$B$5</f>
        <v>network</v>
      </c>
      <c r="H173" s="10" t="str">
        <f aca="false">Config!$B$3</f>
        <v>2610_ff_lansare</v>
      </c>
      <c r="I173" s="10" t="str">
        <f aca="false">Config!$B$4</f>
        <v>general</v>
      </c>
      <c r="J173" s="10" t="str">
        <f aca="false">"https://"&amp;D173&amp;E173&amp;"?utm_source="&amp;F173&amp;"&amp;utm_medium="&amp;G173&amp;"&amp;utm_campaign="&amp;H173&amp;"&amp;utm_content="&amp;I173</f>
        <v>https://eu-112.ro/?utm_source=eu-ai-act-ready.eu&amp;utm_medium=network&amp;utm_campaign=2610_ff_lansare&amp;utm_content=general</v>
      </c>
    </row>
    <row r="174" customFormat="false" ht="15" hidden="false" customHeight="false" outlineLevel="0" collapsed="false">
      <c r="A174" s="10" t="s">
        <v>72</v>
      </c>
      <c r="B174" s="10" t="str">
        <f aca="false">INDEX('Site-uri'!$B$2:$B$20,MATCH(A174,'Site-uri'!$A$2:$A$20,0))</f>
        <v>eu-ai-act-ready.eu</v>
      </c>
      <c r="C174" s="10" t="s">
        <v>78</v>
      </c>
      <c r="D174" s="10" t="str">
        <f aca="false">INDEX('Site-uri'!$B$2:$B$20,MATCH(C174,'Site-uri'!$A$2:$A$20,0))</f>
        <v>eu-112.eu</v>
      </c>
      <c r="E174" s="10" t="str">
        <f aca="false">INDEX('Site-uri'!$C$2:$C$20,MATCH(C174,'Site-uri'!$A$2:$A$20,0))</f>
        <v>/</v>
      </c>
      <c r="F174" s="10" t="str">
        <f aca="false">B174</f>
        <v>eu-ai-act-ready.eu</v>
      </c>
      <c r="G174" s="10" t="str">
        <f aca="false">Config!$B$5</f>
        <v>network</v>
      </c>
      <c r="H174" s="10" t="str">
        <f aca="false">Config!$B$3</f>
        <v>2610_ff_lansare</v>
      </c>
      <c r="I174" s="10" t="str">
        <f aca="false">Config!$B$4</f>
        <v>general</v>
      </c>
      <c r="J174" s="10" t="str">
        <f aca="false">"https://"&amp;D174&amp;E174&amp;"?utm_source="&amp;F174&amp;"&amp;utm_medium="&amp;G174&amp;"&amp;utm_campaign="&amp;H174&amp;"&amp;utm_content="&amp;I174</f>
        <v>https://eu-112.eu/?utm_source=eu-ai-act-ready.eu&amp;utm_medium=network&amp;utm_campaign=2610_ff_lansare&amp;utm_content=general</v>
      </c>
    </row>
    <row r="175" customFormat="false" ht="15" hidden="false" customHeight="false" outlineLevel="0" collapsed="false">
      <c r="A175" s="10" t="s">
        <v>72</v>
      </c>
      <c r="B175" s="10" t="str">
        <f aca="false">INDEX('Site-uri'!$B$2:$B$20,MATCH(A175,'Site-uri'!$A$2:$A$20,0))</f>
        <v>eu-ai-act-ready.eu</v>
      </c>
      <c r="C175" s="10" t="s">
        <v>81</v>
      </c>
      <c r="D175" s="10" t="str">
        <f aca="false">INDEX('Site-uri'!$B$2:$B$20,MATCH(C175,'Site-uri'!$A$2:$A$20,0))</f>
        <v>1clic-ia.eu</v>
      </c>
      <c r="E175" s="10" t="str">
        <f aca="false">INDEX('Site-uri'!$C$2:$C$20,MATCH(C175,'Site-uri'!$A$2:$A$20,0))</f>
        <v>/</v>
      </c>
      <c r="F175" s="10" t="str">
        <f aca="false">B175</f>
        <v>eu-ai-act-ready.eu</v>
      </c>
      <c r="G175" s="10" t="str">
        <f aca="false">Config!$B$5</f>
        <v>network</v>
      </c>
      <c r="H175" s="10" t="str">
        <f aca="false">Config!$B$3</f>
        <v>2610_ff_lansare</v>
      </c>
      <c r="I175" s="10" t="str">
        <f aca="false">Config!$B$4</f>
        <v>general</v>
      </c>
      <c r="J175" s="10" t="str">
        <f aca="false">"https://"&amp;D175&amp;E175&amp;"?utm_source="&amp;F175&amp;"&amp;utm_medium="&amp;G175&amp;"&amp;utm_campaign="&amp;H175&amp;"&amp;utm_content="&amp;I175</f>
        <v>https://1clic-ia.eu/?utm_source=eu-ai-act-ready.eu&amp;utm_medium=network&amp;utm_campaign=2610_ff_lansare&amp;utm_content=general</v>
      </c>
    </row>
    <row r="176" customFormat="false" ht="15" hidden="false" customHeight="false" outlineLevel="0" collapsed="false">
      <c r="A176" s="10" t="s">
        <v>72</v>
      </c>
      <c r="B176" s="10" t="str">
        <f aca="false">INDEX('Site-uri'!$B$2:$B$20,MATCH(A176,'Site-uri'!$A$2:$A$20,0))</f>
        <v>eu-ai-act-ready.eu</v>
      </c>
      <c r="C176" s="10" t="s">
        <v>84</v>
      </c>
      <c r="D176" s="10" t="str">
        <f aca="false">INDEX('Site-uri'!$B$2:$B$20,MATCH(C176,'Site-uri'!$A$2:$A$20,0))</f>
        <v>1clic-ia.fr</v>
      </c>
      <c r="E176" s="10" t="str">
        <f aca="false">INDEX('Site-uri'!$C$2:$C$20,MATCH(C176,'Site-uri'!$A$2:$A$20,0))</f>
        <v>/</v>
      </c>
      <c r="F176" s="10" t="str">
        <f aca="false">B176</f>
        <v>eu-ai-act-ready.eu</v>
      </c>
      <c r="G176" s="10" t="str">
        <f aca="false">Config!$B$5</f>
        <v>network</v>
      </c>
      <c r="H176" s="10" t="str">
        <f aca="false">Config!$B$3</f>
        <v>2610_ff_lansare</v>
      </c>
      <c r="I176" s="10" t="str">
        <f aca="false">Config!$B$4</f>
        <v>general</v>
      </c>
      <c r="J176" s="10" t="str">
        <f aca="false">"https://"&amp;D176&amp;E176&amp;"?utm_source="&amp;F176&amp;"&amp;utm_medium="&amp;G176&amp;"&amp;utm_campaign="&amp;H176&amp;"&amp;utm_content="&amp;I176</f>
        <v>https://1clic-ia.fr/?utm_source=eu-ai-act-ready.eu&amp;utm_medium=network&amp;utm_campaign=2610_ff_lansare&amp;utm_content=general</v>
      </c>
    </row>
    <row r="177" customFormat="false" ht="15" hidden="false" customHeight="false" outlineLevel="0" collapsed="false">
      <c r="A177" s="10" t="s">
        <v>72</v>
      </c>
      <c r="B177" s="10" t="str">
        <f aca="false">INDEX('Site-uri'!$B$2:$B$20,MATCH(A177,'Site-uri'!$A$2:$A$20,0))</f>
        <v>eu-ai-act-ready.eu</v>
      </c>
      <c r="C177" s="10" t="s">
        <v>86</v>
      </c>
      <c r="D177" s="10" t="str">
        <f aca="false">INDEX('Site-uri'!$B$2:$B$20,MATCH(C177,'Site-uri'!$A$2:$A$20,0))</f>
        <v>firmsfinder.eu</v>
      </c>
      <c r="E177" s="10" t="str">
        <f aca="false">INDEX('Site-uri'!$C$2:$C$20,MATCH(C177,'Site-uri'!$A$2:$A$20,0))</f>
        <v>/</v>
      </c>
      <c r="F177" s="10" t="str">
        <f aca="false">B177</f>
        <v>eu-ai-act-ready.eu</v>
      </c>
      <c r="G177" s="10" t="str">
        <f aca="false">Config!$B$5</f>
        <v>network</v>
      </c>
      <c r="H177" s="10" t="str">
        <f aca="false">Config!$B$3</f>
        <v>2610_ff_lansare</v>
      </c>
      <c r="I177" s="10" t="str">
        <f aca="false">Config!$B$4</f>
        <v>general</v>
      </c>
      <c r="J177" s="10" t="str">
        <f aca="false">"https://"&amp;D177&amp;E177&amp;"?utm_source="&amp;F177&amp;"&amp;utm_medium="&amp;G177&amp;"&amp;utm_campaign="&amp;H177&amp;"&amp;utm_content="&amp;I177</f>
        <v>https://firmsfinder.eu/?utm_source=eu-ai-act-ready.eu&amp;utm_medium=network&amp;utm_campaign=2610_ff_lansare&amp;utm_content=general</v>
      </c>
    </row>
    <row r="178" customFormat="false" ht="15" hidden="false" customHeight="false" outlineLevel="0" collapsed="false">
      <c r="A178" s="10" t="s">
        <v>72</v>
      </c>
      <c r="B178" s="10" t="str">
        <f aca="false">INDEX('Site-uri'!$B$2:$B$20,MATCH(A178,'Site-uri'!$A$2:$A$20,0))</f>
        <v>eu-ai-act-ready.eu</v>
      </c>
      <c r="C178" s="10" t="s">
        <v>89</v>
      </c>
      <c r="D178" s="10" t="str">
        <f aca="false">INDEX('Site-uri'!$B$2:$B$20,MATCH(C178,'Site-uri'!$A$2:$A$20,0))</f>
        <v>b2b-ai-library.org</v>
      </c>
      <c r="E178" s="10" t="str">
        <f aca="false">INDEX('Site-uri'!$C$2:$C$20,MATCH(C178,'Site-uri'!$A$2:$A$20,0))</f>
        <v>/</v>
      </c>
      <c r="F178" s="10" t="str">
        <f aca="false">B178</f>
        <v>eu-ai-act-ready.eu</v>
      </c>
      <c r="G178" s="10" t="str">
        <f aca="false">Config!$B$5</f>
        <v>network</v>
      </c>
      <c r="H178" s="10" t="str">
        <f aca="false">Config!$B$3</f>
        <v>2610_ff_lansare</v>
      </c>
      <c r="I178" s="10" t="str">
        <f aca="false">Config!$B$4</f>
        <v>general</v>
      </c>
      <c r="J178" s="10" t="str">
        <f aca="false">"https://"&amp;D178&amp;E178&amp;"?utm_source="&amp;F178&amp;"&amp;utm_medium="&amp;G178&amp;"&amp;utm_campaign="&amp;H178&amp;"&amp;utm_content="&amp;I178</f>
        <v>https://b2b-ai-library.org/?utm_source=eu-ai-act-ready.eu&amp;utm_medium=network&amp;utm_campaign=2610_ff_lansare&amp;utm_content=general</v>
      </c>
    </row>
    <row r="179" customFormat="false" ht="15" hidden="false" customHeight="false" outlineLevel="0" collapsed="false">
      <c r="A179" s="10" t="s">
        <v>72</v>
      </c>
      <c r="B179" s="10" t="str">
        <f aca="false">INDEX('Site-uri'!$B$2:$B$20,MATCH(A179,'Site-uri'!$A$2:$A$20,0))</f>
        <v>eu-ai-act-ready.eu</v>
      </c>
      <c r="C179" s="10" t="s">
        <v>91</v>
      </c>
      <c r="D179" s="10" t="str">
        <f aca="false">INDEX('Site-uri'!$B$2:$B$20,MATCH(C179,'Site-uri'!$A$2:$A$20,0))</f>
        <v>the3webs.com</v>
      </c>
      <c r="E179" s="10" t="str">
        <f aca="false">INDEX('Site-uri'!$C$2:$C$20,MATCH(C179,'Site-uri'!$A$2:$A$20,0))</f>
        <v>/</v>
      </c>
      <c r="F179" s="10" t="str">
        <f aca="false">B179</f>
        <v>eu-ai-act-ready.eu</v>
      </c>
      <c r="G179" s="10" t="str">
        <f aca="false">Config!$B$5</f>
        <v>network</v>
      </c>
      <c r="H179" s="10" t="str">
        <f aca="false">Config!$B$3</f>
        <v>2610_ff_lansare</v>
      </c>
      <c r="I179" s="10" t="str">
        <f aca="false">Config!$B$4</f>
        <v>general</v>
      </c>
      <c r="J179" s="10" t="str">
        <f aca="false">"https://"&amp;D179&amp;E179&amp;"?utm_source="&amp;F179&amp;"&amp;utm_medium="&amp;G179&amp;"&amp;utm_campaign="&amp;H179&amp;"&amp;utm_content="&amp;I179</f>
        <v>https://the3webs.com/?utm_source=eu-ai-act-ready.eu&amp;utm_medium=network&amp;utm_campaign=2610_ff_lansare&amp;utm_content=general</v>
      </c>
    </row>
    <row r="180" customFormat="false" ht="15" hidden="false" customHeight="false" outlineLevel="0" collapsed="false">
      <c r="A180" s="10" t="s">
        <v>72</v>
      </c>
      <c r="B180" s="10" t="str">
        <f aca="false">INDEX('Site-uri'!$B$2:$B$20,MATCH(A180,'Site-uri'!$A$2:$A$20,0))</f>
        <v>eu-ai-act-ready.eu</v>
      </c>
      <c r="C180" s="10" t="s">
        <v>94</v>
      </c>
      <c r="D180" s="10" t="str">
        <f aca="false">INDEX('Site-uri'!$B$2:$B$20,MATCH(C180,'Site-uri'!$A$2:$A$20,0))</f>
        <v>floride-e2.com</v>
      </c>
      <c r="E180" s="10" t="str">
        <f aca="false">INDEX('Site-uri'!$C$2:$C$20,MATCH(C180,'Site-uri'!$A$2:$A$20,0))</f>
        <v>/</v>
      </c>
      <c r="F180" s="10" t="str">
        <f aca="false">B180</f>
        <v>eu-ai-act-ready.eu</v>
      </c>
      <c r="G180" s="10" t="str">
        <f aca="false">Config!$B$5</f>
        <v>network</v>
      </c>
      <c r="H180" s="10" t="str">
        <f aca="false">Config!$B$3</f>
        <v>2610_ff_lansare</v>
      </c>
      <c r="I180" s="10" t="str">
        <f aca="false">Config!$B$4</f>
        <v>general</v>
      </c>
      <c r="J180" s="10" t="str">
        <f aca="false">"https://"&amp;D180&amp;E180&amp;"?utm_source="&amp;F180&amp;"&amp;utm_medium="&amp;G180&amp;"&amp;utm_campaign="&amp;H180&amp;"&amp;utm_content="&amp;I180</f>
        <v>https://floride-e2.com/?utm_source=eu-ai-act-ready.eu&amp;utm_medium=network&amp;utm_campaign=2610_ff_lansare&amp;utm_content=general</v>
      </c>
    </row>
    <row r="181" customFormat="false" ht="15" hidden="false" customHeight="false" outlineLevel="0" collapsed="false">
      <c r="A181" s="10" t="s">
        <v>72</v>
      </c>
      <c r="B181" s="10" t="str">
        <f aca="false">INDEX('Site-uri'!$B$2:$B$20,MATCH(A181,'Site-uri'!$A$2:$A$20,0))</f>
        <v>eu-ai-act-ready.eu</v>
      </c>
      <c r="C181" s="10" t="s">
        <v>96</v>
      </c>
      <c r="D181" s="10" t="str">
        <f aca="false">INDEX('Site-uri'!$B$2:$B$20,MATCH(C181,'Site-uri'!$A$2:$A$20,0))</f>
        <v>ecbtax.com</v>
      </c>
      <c r="E181" s="10" t="str">
        <f aca="false">INDEX('Site-uri'!$C$2:$C$20,MATCH(C181,'Site-uri'!$A$2:$A$20,0))</f>
        <v>/</v>
      </c>
      <c r="F181" s="10" t="str">
        <f aca="false">B181</f>
        <v>eu-ai-act-ready.eu</v>
      </c>
      <c r="G181" s="10" t="str">
        <f aca="false">Config!$B$5</f>
        <v>network</v>
      </c>
      <c r="H181" s="10" t="str">
        <f aca="false">Config!$B$3</f>
        <v>2610_ff_lansare</v>
      </c>
      <c r="I181" s="10" t="str">
        <f aca="false">Config!$B$4</f>
        <v>general</v>
      </c>
      <c r="J181" s="10" t="str">
        <f aca="false">"https://"&amp;D181&amp;E181&amp;"?utm_source="&amp;F181&amp;"&amp;utm_medium="&amp;G181&amp;"&amp;utm_campaign="&amp;H181&amp;"&amp;utm_content="&amp;I181</f>
        <v>https://ecbtax.com/?utm_source=eu-ai-act-ready.eu&amp;utm_medium=network&amp;utm_campaign=2610_ff_lansare&amp;utm_content=general</v>
      </c>
    </row>
    <row r="182" customFormat="false" ht="15" hidden="false" customHeight="false" outlineLevel="0" collapsed="false">
      <c r="A182" s="10" t="s">
        <v>75</v>
      </c>
      <c r="B182" s="10" t="str">
        <f aca="false">INDEX('Site-uri'!$B$2:$B$20,MATCH(A182,'Site-uri'!$A$2:$A$20,0))</f>
        <v>eu-112.ro</v>
      </c>
      <c r="C182" s="10" t="s">
        <v>45</v>
      </c>
      <c r="D182" s="10" t="str">
        <f aca="false">INDEX('Site-uri'!$B$2:$B$20,MATCH(C182,'Site-uri'!$A$2:$A$20,0))</f>
        <v>5thelement.ai</v>
      </c>
      <c r="E182" s="10" t="str">
        <f aca="false">INDEX('Site-uri'!$C$2:$C$20,MATCH(C182,'Site-uri'!$A$2:$A$20,0))</f>
        <v>/</v>
      </c>
      <c r="F182" s="10" t="str">
        <f aca="false">B182</f>
        <v>eu-112.ro</v>
      </c>
      <c r="G182" s="10" t="str">
        <f aca="false">Config!$B$5</f>
        <v>network</v>
      </c>
      <c r="H182" s="10" t="str">
        <f aca="false">Config!$B$3</f>
        <v>2610_ff_lansare</v>
      </c>
      <c r="I182" s="10" t="str">
        <f aca="false">Config!$B$4</f>
        <v>general</v>
      </c>
      <c r="J182" s="10" t="str">
        <f aca="false">"https://"&amp;D182&amp;E182&amp;"?utm_source="&amp;F182&amp;"&amp;utm_medium="&amp;G182&amp;"&amp;utm_campaign="&amp;H182&amp;"&amp;utm_content="&amp;I182</f>
        <v>https://5thelement.ai/?utm_source=eu-112.ro&amp;utm_medium=network&amp;utm_campaign=2610_ff_lansare&amp;utm_content=general</v>
      </c>
    </row>
    <row r="183" customFormat="false" ht="15" hidden="false" customHeight="false" outlineLevel="0" collapsed="false">
      <c r="A183" s="10" t="s">
        <v>75</v>
      </c>
      <c r="B183" s="10" t="str">
        <f aca="false">INDEX('Site-uri'!$B$2:$B$20,MATCH(A183,'Site-uri'!$A$2:$A$20,0))</f>
        <v>eu-112.ro</v>
      </c>
      <c r="C183" s="10" t="s">
        <v>49</v>
      </c>
      <c r="D183" s="10" t="str">
        <f aca="false">INDEX('Site-uri'!$B$2:$B$20,MATCH(C183,'Site-uri'!$A$2:$A$20,0))</f>
        <v>aiventure.ro</v>
      </c>
      <c r="E183" s="10" t="str">
        <f aca="false">INDEX('Site-uri'!$C$2:$C$20,MATCH(C183,'Site-uri'!$A$2:$A$20,0))</f>
        <v>/</v>
      </c>
      <c r="F183" s="10" t="str">
        <f aca="false">B183</f>
        <v>eu-112.ro</v>
      </c>
      <c r="G183" s="10" t="str">
        <f aca="false">Config!$B$5</f>
        <v>network</v>
      </c>
      <c r="H183" s="10" t="str">
        <f aca="false">Config!$B$3</f>
        <v>2610_ff_lansare</v>
      </c>
      <c r="I183" s="10" t="str">
        <f aca="false">Config!$B$4</f>
        <v>general</v>
      </c>
      <c r="J183" s="10" t="str">
        <f aca="false">"https://"&amp;D183&amp;E183&amp;"?utm_source="&amp;F183&amp;"&amp;utm_medium="&amp;G183&amp;"&amp;utm_campaign="&amp;H183&amp;"&amp;utm_content="&amp;I183</f>
        <v>https://aiventure.ro/?utm_source=eu-112.ro&amp;utm_medium=network&amp;utm_campaign=2610_ff_lansare&amp;utm_content=general</v>
      </c>
    </row>
    <row r="184" customFormat="false" ht="15" hidden="false" customHeight="false" outlineLevel="0" collapsed="false">
      <c r="A184" s="10" t="s">
        <v>75</v>
      </c>
      <c r="B184" s="10" t="str">
        <f aca="false">INDEX('Site-uri'!$B$2:$B$20,MATCH(A184,'Site-uri'!$A$2:$A$20,0))</f>
        <v>eu-112.ro</v>
      </c>
      <c r="C184" s="10" t="s">
        <v>52</v>
      </c>
      <c r="D184" s="10" t="str">
        <f aca="false">INDEX('Site-uri'!$B$2:$B$20,MATCH(C184,'Site-uri'!$A$2:$A$20,0))</f>
        <v>aiventure.uk</v>
      </c>
      <c r="E184" s="10" t="str">
        <f aca="false">INDEX('Site-uri'!$C$2:$C$20,MATCH(C184,'Site-uri'!$A$2:$A$20,0))</f>
        <v>/</v>
      </c>
      <c r="F184" s="10" t="str">
        <f aca="false">B184</f>
        <v>eu-112.ro</v>
      </c>
      <c r="G184" s="10" t="str">
        <f aca="false">Config!$B$5</f>
        <v>network</v>
      </c>
      <c r="H184" s="10" t="str">
        <f aca="false">Config!$B$3</f>
        <v>2610_ff_lansare</v>
      </c>
      <c r="I184" s="10" t="str">
        <f aca="false">Config!$B$4</f>
        <v>general</v>
      </c>
      <c r="J184" s="10" t="str">
        <f aca="false">"https://"&amp;D184&amp;E184&amp;"?utm_source="&amp;F184&amp;"&amp;utm_medium="&amp;G184&amp;"&amp;utm_campaign="&amp;H184&amp;"&amp;utm_content="&amp;I184</f>
        <v>https://aiventure.uk/?utm_source=eu-112.ro&amp;utm_medium=network&amp;utm_campaign=2610_ff_lansare&amp;utm_content=general</v>
      </c>
    </row>
    <row r="185" customFormat="false" ht="15" hidden="false" customHeight="false" outlineLevel="0" collapsed="false">
      <c r="A185" s="10" t="s">
        <v>75</v>
      </c>
      <c r="B185" s="10" t="str">
        <f aca="false">INDEX('Site-uri'!$B$2:$B$20,MATCH(A185,'Site-uri'!$A$2:$A$20,0))</f>
        <v>eu-112.ro</v>
      </c>
      <c r="C185" s="10" t="s">
        <v>55</v>
      </c>
      <c r="D185" s="10" t="str">
        <f aca="false">INDEX('Site-uri'!$B$2:$B$20,MATCH(C185,'Site-uri'!$A$2:$A$20,0))</f>
        <v>3webobs.com</v>
      </c>
      <c r="E185" s="10" t="str">
        <f aca="false">INDEX('Site-uri'!$C$2:$C$20,MATCH(C185,'Site-uri'!$A$2:$A$20,0))</f>
        <v>/</v>
      </c>
      <c r="F185" s="10" t="str">
        <f aca="false">B185</f>
        <v>eu-112.ro</v>
      </c>
      <c r="G185" s="10" t="str">
        <f aca="false">Config!$B$5</f>
        <v>network</v>
      </c>
      <c r="H185" s="10" t="str">
        <f aca="false">Config!$B$3</f>
        <v>2610_ff_lansare</v>
      </c>
      <c r="I185" s="10" t="str">
        <f aca="false">Config!$B$4</f>
        <v>general</v>
      </c>
      <c r="J185" s="10" t="str">
        <f aca="false">"https://"&amp;D185&amp;E185&amp;"?utm_source="&amp;F185&amp;"&amp;utm_medium="&amp;G185&amp;"&amp;utm_campaign="&amp;H185&amp;"&amp;utm_content="&amp;I185</f>
        <v>https://3webobs.com/?utm_source=eu-112.ro&amp;utm_medium=network&amp;utm_campaign=2610_ff_lansare&amp;utm_content=general</v>
      </c>
    </row>
    <row r="186" customFormat="false" ht="15" hidden="false" customHeight="false" outlineLevel="0" collapsed="false">
      <c r="A186" s="10" t="s">
        <v>75</v>
      </c>
      <c r="B186" s="10" t="str">
        <f aca="false">INDEX('Site-uri'!$B$2:$B$20,MATCH(A186,'Site-uri'!$A$2:$A$20,0))</f>
        <v>eu-112.ro</v>
      </c>
      <c r="C186" s="10" t="s">
        <v>58</v>
      </c>
      <c r="D186" s="10" t="str">
        <f aca="false">INDEX('Site-uri'!$B$2:$B$20,MATCH(C186,'Site-uri'!$A$2:$A$20,0))</f>
        <v>ai-lens.eu</v>
      </c>
      <c r="E186" s="10" t="str">
        <f aca="false">INDEX('Site-uri'!$C$2:$C$20,MATCH(C186,'Site-uri'!$A$2:$A$20,0))</f>
        <v>/</v>
      </c>
      <c r="F186" s="10" t="str">
        <f aca="false">B186</f>
        <v>eu-112.ro</v>
      </c>
      <c r="G186" s="10" t="str">
        <f aca="false">Config!$B$5</f>
        <v>network</v>
      </c>
      <c r="H186" s="10" t="str">
        <f aca="false">Config!$B$3</f>
        <v>2610_ff_lansare</v>
      </c>
      <c r="I186" s="10" t="str">
        <f aca="false">Config!$B$4</f>
        <v>general</v>
      </c>
      <c r="J186" s="10" t="str">
        <f aca="false">"https://"&amp;D186&amp;E186&amp;"?utm_source="&amp;F186&amp;"&amp;utm_medium="&amp;G186&amp;"&amp;utm_campaign="&amp;H186&amp;"&amp;utm_content="&amp;I186</f>
        <v>https://ai-lens.eu/?utm_source=eu-112.ro&amp;utm_medium=network&amp;utm_campaign=2610_ff_lansare&amp;utm_content=general</v>
      </c>
    </row>
    <row r="187" customFormat="false" ht="15" hidden="false" customHeight="false" outlineLevel="0" collapsed="false">
      <c r="A187" s="10" t="s">
        <v>75</v>
      </c>
      <c r="B187" s="10" t="str">
        <f aca="false">INDEX('Site-uri'!$B$2:$B$20,MATCH(A187,'Site-uri'!$A$2:$A$20,0))</f>
        <v>eu-112.ro</v>
      </c>
      <c r="C187" s="10" t="s">
        <v>61</v>
      </c>
      <c r="D187" s="10" t="str">
        <f aca="false">INDEX('Site-uri'!$B$2:$B$20,MATCH(C187,'Site-uri'!$A$2:$A$20,0))</f>
        <v>aireadyinjector.com</v>
      </c>
      <c r="E187" s="10" t="str">
        <f aca="false">INDEX('Site-uri'!$C$2:$C$20,MATCH(C187,'Site-uri'!$A$2:$A$20,0))</f>
        <v>/</v>
      </c>
      <c r="F187" s="10" t="str">
        <f aca="false">B187</f>
        <v>eu-112.ro</v>
      </c>
      <c r="G187" s="10" t="str">
        <f aca="false">Config!$B$5</f>
        <v>network</v>
      </c>
      <c r="H187" s="10" t="str">
        <f aca="false">Config!$B$3</f>
        <v>2610_ff_lansare</v>
      </c>
      <c r="I187" s="10" t="str">
        <f aca="false">Config!$B$4</f>
        <v>general</v>
      </c>
      <c r="J187" s="10" t="str">
        <f aca="false">"https://"&amp;D187&amp;E187&amp;"?utm_source="&amp;F187&amp;"&amp;utm_medium="&amp;G187&amp;"&amp;utm_campaign="&amp;H187&amp;"&amp;utm_content="&amp;I187</f>
        <v>https://aireadyinjector.com/?utm_source=eu-112.ro&amp;utm_medium=network&amp;utm_campaign=2610_ff_lansare&amp;utm_content=general</v>
      </c>
    </row>
    <row r="188" customFormat="false" ht="15" hidden="false" customHeight="false" outlineLevel="0" collapsed="false">
      <c r="A188" s="10" t="s">
        <v>75</v>
      </c>
      <c r="B188" s="10" t="str">
        <f aca="false">INDEX('Site-uri'!$B$2:$B$20,MATCH(A188,'Site-uri'!$A$2:$A$20,0))</f>
        <v>eu-112.ro</v>
      </c>
      <c r="C188" s="10" t="s">
        <v>64</v>
      </c>
      <c r="D188" s="10" t="str">
        <f aca="false">INDEX('Site-uri'!$B$2:$B$20,MATCH(C188,'Site-uri'!$A$2:$A$20,0))</f>
        <v>eu-ai-audit.eu</v>
      </c>
      <c r="E188" s="10" t="str">
        <f aca="false">INDEX('Site-uri'!$C$2:$C$20,MATCH(C188,'Site-uri'!$A$2:$A$20,0))</f>
        <v>/</v>
      </c>
      <c r="F188" s="10" t="str">
        <f aca="false">B188</f>
        <v>eu-112.ro</v>
      </c>
      <c r="G188" s="10" t="str">
        <f aca="false">Config!$B$5</f>
        <v>network</v>
      </c>
      <c r="H188" s="10" t="str">
        <f aca="false">Config!$B$3</f>
        <v>2610_ff_lansare</v>
      </c>
      <c r="I188" s="10" t="str">
        <f aca="false">Config!$B$4</f>
        <v>general</v>
      </c>
      <c r="J188" s="10" t="str">
        <f aca="false">"https://"&amp;D188&amp;E188&amp;"?utm_source="&amp;F188&amp;"&amp;utm_medium="&amp;G188&amp;"&amp;utm_campaign="&amp;H188&amp;"&amp;utm_content="&amp;I188</f>
        <v>https://eu-ai-audit.eu/?utm_source=eu-112.ro&amp;utm_medium=network&amp;utm_campaign=2610_ff_lansare&amp;utm_content=general</v>
      </c>
    </row>
    <row r="189" customFormat="false" ht="15" hidden="false" customHeight="false" outlineLevel="0" collapsed="false">
      <c r="A189" s="10" t="s">
        <v>75</v>
      </c>
      <c r="B189" s="10" t="str">
        <f aca="false">INDEX('Site-uri'!$B$2:$B$20,MATCH(A189,'Site-uri'!$A$2:$A$20,0))</f>
        <v>eu-112.ro</v>
      </c>
      <c r="C189" s="10" t="s">
        <v>67</v>
      </c>
      <c r="D189" s="10" t="str">
        <f aca="false">INDEX('Site-uri'!$B$2:$B$20,MATCH(C189,'Site-uri'!$A$2:$A$20,0))</f>
        <v>eu-ai-ready.eu</v>
      </c>
      <c r="E189" s="10" t="str">
        <f aca="false">INDEX('Site-uri'!$C$2:$C$20,MATCH(C189,'Site-uri'!$A$2:$A$20,0))</f>
        <v>/</v>
      </c>
      <c r="F189" s="10" t="str">
        <f aca="false">B189</f>
        <v>eu-112.ro</v>
      </c>
      <c r="G189" s="10" t="str">
        <f aca="false">Config!$B$5</f>
        <v>network</v>
      </c>
      <c r="H189" s="10" t="str">
        <f aca="false">Config!$B$3</f>
        <v>2610_ff_lansare</v>
      </c>
      <c r="I189" s="10" t="str">
        <f aca="false">Config!$B$4</f>
        <v>general</v>
      </c>
      <c r="J189" s="10" t="str">
        <f aca="false">"https://"&amp;D189&amp;E189&amp;"?utm_source="&amp;F189&amp;"&amp;utm_medium="&amp;G189&amp;"&amp;utm_campaign="&amp;H189&amp;"&amp;utm_content="&amp;I189</f>
        <v>https://eu-ai-ready.eu/?utm_source=eu-112.ro&amp;utm_medium=network&amp;utm_campaign=2610_ff_lansare&amp;utm_content=general</v>
      </c>
    </row>
    <row r="190" customFormat="false" ht="15" hidden="false" customHeight="false" outlineLevel="0" collapsed="false">
      <c r="A190" s="10" t="s">
        <v>75</v>
      </c>
      <c r="B190" s="10" t="str">
        <f aca="false">INDEX('Site-uri'!$B$2:$B$20,MATCH(A190,'Site-uri'!$A$2:$A$20,0))</f>
        <v>eu-112.ro</v>
      </c>
      <c r="C190" s="10" t="s">
        <v>69</v>
      </c>
      <c r="D190" s="10" t="str">
        <f aca="false">INDEX('Site-uri'!$B$2:$B$20,MATCH(C190,'Site-uri'!$A$2:$A$20,0))</f>
        <v>eu-ai-act.ro</v>
      </c>
      <c r="E190" s="10" t="str">
        <f aca="false">INDEX('Site-uri'!$C$2:$C$20,MATCH(C190,'Site-uri'!$A$2:$A$20,0))</f>
        <v>/</v>
      </c>
      <c r="F190" s="10" t="str">
        <f aca="false">B190</f>
        <v>eu-112.ro</v>
      </c>
      <c r="G190" s="10" t="str">
        <f aca="false">Config!$B$5</f>
        <v>network</v>
      </c>
      <c r="H190" s="10" t="str">
        <f aca="false">Config!$B$3</f>
        <v>2610_ff_lansare</v>
      </c>
      <c r="I190" s="10" t="str">
        <f aca="false">Config!$B$4</f>
        <v>general</v>
      </c>
      <c r="J190" s="10" t="str">
        <f aca="false">"https://"&amp;D190&amp;E190&amp;"?utm_source="&amp;F190&amp;"&amp;utm_medium="&amp;G190&amp;"&amp;utm_campaign="&amp;H190&amp;"&amp;utm_content="&amp;I190</f>
        <v>https://eu-ai-act.ro/?utm_source=eu-112.ro&amp;utm_medium=network&amp;utm_campaign=2610_ff_lansare&amp;utm_content=general</v>
      </c>
    </row>
    <row r="191" customFormat="false" ht="15" hidden="false" customHeight="false" outlineLevel="0" collapsed="false">
      <c r="A191" s="10" t="s">
        <v>75</v>
      </c>
      <c r="B191" s="10" t="str">
        <f aca="false">INDEX('Site-uri'!$B$2:$B$20,MATCH(A191,'Site-uri'!$A$2:$A$20,0))</f>
        <v>eu-112.ro</v>
      </c>
      <c r="C191" s="10" t="s">
        <v>72</v>
      </c>
      <c r="D191" s="10" t="str">
        <f aca="false">INDEX('Site-uri'!$B$2:$B$20,MATCH(C191,'Site-uri'!$A$2:$A$20,0))</f>
        <v>eu-ai-act-ready.eu</v>
      </c>
      <c r="E191" s="10" t="str">
        <f aca="false">INDEX('Site-uri'!$C$2:$C$20,MATCH(C191,'Site-uri'!$A$2:$A$20,0))</f>
        <v>/</v>
      </c>
      <c r="F191" s="10" t="str">
        <f aca="false">B191</f>
        <v>eu-112.ro</v>
      </c>
      <c r="G191" s="10" t="str">
        <f aca="false">Config!$B$5</f>
        <v>network</v>
      </c>
      <c r="H191" s="10" t="str">
        <f aca="false">Config!$B$3</f>
        <v>2610_ff_lansare</v>
      </c>
      <c r="I191" s="10" t="str">
        <f aca="false">Config!$B$4</f>
        <v>general</v>
      </c>
      <c r="J191" s="10" t="str">
        <f aca="false">"https://"&amp;D191&amp;E191&amp;"?utm_source="&amp;F191&amp;"&amp;utm_medium="&amp;G191&amp;"&amp;utm_campaign="&amp;H191&amp;"&amp;utm_content="&amp;I191</f>
        <v>https://eu-ai-act-ready.eu/?utm_source=eu-112.ro&amp;utm_medium=network&amp;utm_campaign=2610_ff_lansare&amp;utm_content=general</v>
      </c>
    </row>
    <row r="192" customFormat="false" ht="15" hidden="false" customHeight="false" outlineLevel="0" collapsed="false">
      <c r="A192" s="10" t="s">
        <v>75</v>
      </c>
      <c r="B192" s="10" t="str">
        <f aca="false">INDEX('Site-uri'!$B$2:$B$20,MATCH(A192,'Site-uri'!$A$2:$A$20,0))</f>
        <v>eu-112.ro</v>
      </c>
      <c r="C192" s="10" t="s">
        <v>78</v>
      </c>
      <c r="D192" s="10" t="str">
        <f aca="false">INDEX('Site-uri'!$B$2:$B$20,MATCH(C192,'Site-uri'!$A$2:$A$20,0))</f>
        <v>eu-112.eu</v>
      </c>
      <c r="E192" s="10" t="str">
        <f aca="false">INDEX('Site-uri'!$C$2:$C$20,MATCH(C192,'Site-uri'!$A$2:$A$20,0))</f>
        <v>/</v>
      </c>
      <c r="F192" s="10" t="str">
        <f aca="false">B192</f>
        <v>eu-112.ro</v>
      </c>
      <c r="G192" s="10" t="str">
        <f aca="false">Config!$B$5</f>
        <v>network</v>
      </c>
      <c r="H192" s="10" t="str">
        <f aca="false">Config!$B$3</f>
        <v>2610_ff_lansare</v>
      </c>
      <c r="I192" s="10" t="str">
        <f aca="false">Config!$B$4</f>
        <v>general</v>
      </c>
      <c r="J192" s="10" t="str">
        <f aca="false">"https://"&amp;D192&amp;E192&amp;"?utm_source="&amp;F192&amp;"&amp;utm_medium="&amp;G192&amp;"&amp;utm_campaign="&amp;H192&amp;"&amp;utm_content="&amp;I192</f>
        <v>https://eu-112.eu/?utm_source=eu-112.ro&amp;utm_medium=network&amp;utm_campaign=2610_ff_lansare&amp;utm_content=general</v>
      </c>
    </row>
    <row r="193" customFormat="false" ht="15" hidden="false" customHeight="false" outlineLevel="0" collapsed="false">
      <c r="A193" s="10" t="s">
        <v>75</v>
      </c>
      <c r="B193" s="10" t="str">
        <f aca="false">INDEX('Site-uri'!$B$2:$B$20,MATCH(A193,'Site-uri'!$A$2:$A$20,0))</f>
        <v>eu-112.ro</v>
      </c>
      <c r="C193" s="10" t="s">
        <v>81</v>
      </c>
      <c r="D193" s="10" t="str">
        <f aca="false">INDEX('Site-uri'!$B$2:$B$20,MATCH(C193,'Site-uri'!$A$2:$A$20,0))</f>
        <v>1clic-ia.eu</v>
      </c>
      <c r="E193" s="10" t="str">
        <f aca="false">INDEX('Site-uri'!$C$2:$C$20,MATCH(C193,'Site-uri'!$A$2:$A$20,0))</f>
        <v>/</v>
      </c>
      <c r="F193" s="10" t="str">
        <f aca="false">B193</f>
        <v>eu-112.ro</v>
      </c>
      <c r="G193" s="10" t="str">
        <f aca="false">Config!$B$5</f>
        <v>network</v>
      </c>
      <c r="H193" s="10" t="str">
        <f aca="false">Config!$B$3</f>
        <v>2610_ff_lansare</v>
      </c>
      <c r="I193" s="10" t="str">
        <f aca="false">Config!$B$4</f>
        <v>general</v>
      </c>
      <c r="J193" s="10" t="str">
        <f aca="false">"https://"&amp;D193&amp;E193&amp;"?utm_source="&amp;F193&amp;"&amp;utm_medium="&amp;G193&amp;"&amp;utm_campaign="&amp;H193&amp;"&amp;utm_content="&amp;I193</f>
        <v>https://1clic-ia.eu/?utm_source=eu-112.ro&amp;utm_medium=network&amp;utm_campaign=2610_ff_lansare&amp;utm_content=general</v>
      </c>
    </row>
    <row r="194" customFormat="false" ht="15" hidden="false" customHeight="false" outlineLevel="0" collapsed="false">
      <c r="A194" s="10" t="s">
        <v>75</v>
      </c>
      <c r="B194" s="10" t="str">
        <f aca="false">INDEX('Site-uri'!$B$2:$B$20,MATCH(A194,'Site-uri'!$A$2:$A$20,0))</f>
        <v>eu-112.ro</v>
      </c>
      <c r="C194" s="10" t="s">
        <v>84</v>
      </c>
      <c r="D194" s="10" t="str">
        <f aca="false">INDEX('Site-uri'!$B$2:$B$20,MATCH(C194,'Site-uri'!$A$2:$A$20,0))</f>
        <v>1clic-ia.fr</v>
      </c>
      <c r="E194" s="10" t="str">
        <f aca="false">INDEX('Site-uri'!$C$2:$C$20,MATCH(C194,'Site-uri'!$A$2:$A$20,0))</f>
        <v>/</v>
      </c>
      <c r="F194" s="10" t="str">
        <f aca="false">B194</f>
        <v>eu-112.ro</v>
      </c>
      <c r="G194" s="10" t="str">
        <f aca="false">Config!$B$5</f>
        <v>network</v>
      </c>
      <c r="H194" s="10" t="str">
        <f aca="false">Config!$B$3</f>
        <v>2610_ff_lansare</v>
      </c>
      <c r="I194" s="10" t="str">
        <f aca="false">Config!$B$4</f>
        <v>general</v>
      </c>
      <c r="J194" s="10" t="str">
        <f aca="false">"https://"&amp;D194&amp;E194&amp;"?utm_source="&amp;F194&amp;"&amp;utm_medium="&amp;G194&amp;"&amp;utm_campaign="&amp;H194&amp;"&amp;utm_content="&amp;I194</f>
        <v>https://1clic-ia.fr/?utm_source=eu-112.ro&amp;utm_medium=network&amp;utm_campaign=2610_ff_lansare&amp;utm_content=general</v>
      </c>
    </row>
    <row r="195" customFormat="false" ht="15" hidden="false" customHeight="false" outlineLevel="0" collapsed="false">
      <c r="A195" s="10" t="s">
        <v>75</v>
      </c>
      <c r="B195" s="10" t="str">
        <f aca="false">INDEX('Site-uri'!$B$2:$B$20,MATCH(A195,'Site-uri'!$A$2:$A$20,0))</f>
        <v>eu-112.ro</v>
      </c>
      <c r="C195" s="10" t="s">
        <v>86</v>
      </c>
      <c r="D195" s="10" t="str">
        <f aca="false">INDEX('Site-uri'!$B$2:$B$20,MATCH(C195,'Site-uri'!$A$2:$A$20,0))</f>
        <v>firmsfinder.eu</v>
      </c>
      <c r="E195" s="10" t="str">
        <f aca="false">INDEX('Site-uri'!$C$2:$C$20,MATCH(C195,'Site-uri'!$A$2:$A$20,0))</f>
        <v>/</v>
      </c>
      <c r="F195" s="10" t="str">
        <f aca="false">B195</f>
        <v>eu-112.ro</v>
      </c>
      <c r="G195" s="10" t="str">
        <f aca="false">Config!$B$5</f>
        <v>network</v>
      </c>
      <c r="H195" s="10" t="str">
        <f aca="false">Config!$B$3</f>
        <v>2610_ff_lansare</v>
      </c>
      <c r="I195" s="10" t="str">
        <f aca="false">Config!$B$4</f>
        <v>general</v>
      </c>
      <c r="J195" s="10" t="str">
        <f aca="false">"https://"&amp;D195&amp;E195&amp;"?utm_source="&amp;F195&amp;"&amp;utm_medium="&amp;G195&amp;"&amp;utm_campaign="&amp;H195&amp;"&amp;utm_content="&amp;I195</f>
        <v>https://firmsfinder.eu/?utm_source=eu-112.ro&amp;utm_medium=network&amp;utm_campaign=2610_ff_lansare&amp;utm_content=general</v>
      </c>
    </row>
    <row r="196" customFormat="false" ht="15" hidden="false" customHeight="false" outlineLevel="0" collapsed="false">
      <c r="A196" s="10" t="s">
        <v>75</v>
      </c>
      <c r="B196" s="10" t="str">
        <f aca="false">INDEX('Site-uri'!$B$2:$B$20,MATCH(A196,'Site-uri'!$A$2:$A$20,0))</f>
        <v>eu-112.ro</v>
      </c>
      <c r="C196" s="10" t="s">
        <v>89</v>
      </c>
      <c r="D196" s="10" t="str">
        <f aca="false">INDEX('Site-uri'!$B$2:$B$20,MATCH(C196,'Site-uri'!$A$2:$A$20,0))</f>
        <v>b2b-ai-library.org</v>
      </c>
      <c r="E196" s="10" t="str">
        <f aca="false">INDEX('Site-uri'!$C$2:$C$20,MATCH(C196,'Site-uri'!$A$2:$A$20,0))</f>
        <v>/</v>
      </c>
      <c r="F196" s="10" t="str">
        <f aca="false">B196</f>
        <v>eu-112.ro</v>
      </c>
      <c r="G196" s="10" t="str">
        <f aca="false">Config!$B$5</f>
        <v>network</v>
      </c>
      <c r="H196" s="10" t="str">
        <f aca="false">Config!$B$3</f>
        <v>2610_ff_lansare</v>
      </c>
      <c r="I196" s="10" t="str">
        <f aca="false">Config!$B$4</f>
        <v>general</v>
      </c>
      <c r="J196" s="10" t="str">
        <f aca="false">"https://"&amp;D196&amp;E196&amp;"?utm_source="&amp;F196&amp;"&amp;utm_medium="&amp;G196&amp;"&amp;utm_campaign="&amp;H196&amp;"&amp;utm_content="&amp;I196</f>
        <v>https://b2b-ai-library.org/?utm_source=eu-112.ro&amp;utm_medium=network&amp;utm_campaign=2610_ff_lansare&amp;utm_content=general</v>
      </c>
    </row>
    <row r="197" customFormat="false" ht="15" hidden="false" customHeight="false" outlineLevel="0" collapsed="false">
      <c r="A197" s="10" t="s">
        <v>75</v>
      </c>
      <c r="B197" s="10" t="str">
        <f aca="false">INDEX('Site-uri'!$B$2:$B$20,MATCH(A197,'Site-uri'!$A$2:$A$20,0))</f>
        <v>eu-112.ro</v>
      </c>
      <c r="C197" s="10" t="s">
        <v>91</v>
      </c>
      <c r="D197" s="10" t="str">
        <f aca="false">INDEX('Site-uri'!$B$2:$B$20,MATCH(C197,'Site-uri'!$A$2:$A$20,0))</f>
        <v>the3webs.com</v>
      </c>
      <c r="E197" s="10" t="str">
        <f aca="false">INDEX('Site-uri'!$C$2:$C$20,MATCH(C197,'Site-uri'!$A$2:$A$20,0))</f>
        <v>/</v>
      </c>
      <c r="F197" s="10" t="str">
        <f aca="false">B197</f>
        <v>eu-112.ro</v>
      </c>
      <c r="G197" s="10" t="str">
        <f aca="false">Config!$B$5</f>
        <v>network</v>
      </c>
      <c r="H197" s="10" t="str">
        <f aca="false">Config!$B$3</f>
        <v>2610_ff_lansare</v>
      </c>
      <c r="I197" s="10" t="str">
        <f aca="false">Config!$B$4</f>
        <v>general</v>
      </c>
      <c r="J197" s="10" t="str">
        <f aca="false">"https://"&amp;D197&amp;E197&amp;"?utm_source="&amp;F197&amp;"&amp;utm_medium="&amp;G197&amp;"&amp;utm_campaign="&amp;H197&amp;"&amp;utm_content="&amp;I197</f>
        <v>https://the3webs.com/?utm_source=eu-112.ro&amp;utm_medium=network&amp;utm_campaign=2610_ff_lansare&amp;utm_content=general</v>
      </c>
    </row>
    <row r="198" customFormat="false" ht="15" hidden="false" customHeight="false" outlineLevel="0" collapsed="false">
      <c r="A198" s="10" t="s">
        <v>75</v>
      </c>
      <c r="B198" s="10" t="str">
        <f aca="false">INDEX('Site-uri'!$B$2:$B$20,MATCH(A198,'Site-uri'!$A$2:$A$20,0))</f>
        <v>eu-112.ro</v>
      </c>
      <c r="C198" s="10" t="s">
        <v>94</v>
      </c>
      <c r="D198" s="10" t="str">
        <f aca="false">INDEX('Site-uri'!$B$2:$B$20,MATCH(C198,'Site-uri'!$A$2:$A$20,0))</f>
        <v>floride-e2.com</v>
      </c>
      <c r="E198" s="10" t="str">
        <f aca="false">INDEX('Site-uri'!$C$2:$C$20,MATCH(C198,'Site-uri'!$A$2:$A$20,0))</f>
        <v>/</v>
      </c>
      <c r="F198" s="10" t="str">
        <f aca="false">B198</f>
        <v>eu-112.ro</v>
      </c>
      <c r="G198" s="10" t="str">
        <f aca="false">Config!$B$5</f>
        <v>network</v>
      </c>
      <c r="H198" s="10" t="str">
        <f aca="false">Config!$B$3</f>
        <v>2610_ff_lansare</v>
      </c>
      <c r="I198" s="10" t="str">
        <f aca="false">Config!$B$4</f>
        <v>general</v>
      </c>
      <c r="J198" s="10" t="str">
        <f aca="false">"https://"&amp;D198&amp;E198&amp;"?utm_source="&amp;F198&amp;"&amp;utm_medium="&amp;G198&amp;"&amp;utm_campaign="&amp;H198&amp;"&amp;utm_content="&amp;I198</f>
        <v>https://floride-e2.com/?utm_source=eu-112.ro&amp;utm_medium=network&amp;utm_campaign=2610_ff_lansare&amp;utm_content=general</v>
      </c>
    </row>
    <row r="199" customFormat="false" ht="15" hidden="false" customHeight="false" outlineLevel="0" collapsed="false">
      <c r="A199" s="10" t="s">
        <v>75</v>
      </c>
      <c r="B199" s="10" t="str">
        <f aca="false">INDEX('Site-uri'!$B$2:$B$20,MATCH(A199,'Site-uri'!$A$2:$A$20,0))</f>
        <v>eu-112.ro</v>
      </c>
      <c r="C199" s="10" t="s">
        <v>96</v>
      </c>
      <c r="D199" s="10" t="str">
        <f aca="false">INDEX('Site-uri'!$B$2:$B$20,MATCH(C199,'Site-uri'!$A$2:$A$20,0))</f>
        <v>ecbtax.com</v>
      </c>
      <c r="E199" s="10" t="str">
        <f aca="false">INDEX('Site-uri'!$C$2:$C$20,MATCH(C199,'Site-uri'!$A$2:$A$20,0))</f>
        <v>/</v>
      </c>
      <c r="F199" s="10" t="str">
        <f aca="false">B199</f>
        <v>eu-112.ro</v>
      </c>
      <c r="G199" s="10" t="str">
        <f aca="false">Config!$B$5</f>
        <v>network</v>
      </c>
      <c r="H199" s="10" t="str">
        <f aca="false">Config!$B$3</f>
        <v>2610_ff_lansare</v>
      </c>
      <c r="I199" s="10" t="str">
        <f aca="false">Config!$B$4</f>
        <v>general</v>
      </c>
      <c r="J199" s="10" t="str">
        <f aca="false">"https://"&amp;D199&amp;E199&amp;"?utm_source="&amp;F199&amp;"&amp;utm_medium="&amp;G199&amp;"&amp;utm_campaign="&amp;H199&amp;"&amp;utm_content="&amp;I199</f>
        <v>https://ecbtax.com/?utm_source=eu-112.ro&amp;utm_medium=network&amp;utm_campaign=2610_ff_lansare&amp;utm_content=general</v>
      </c>
    </row>
    <row r="200" customFormat="false" ht="15" hidden="false" customHeight="false" outlineLevel="0" collapsed="false">
      <c r="A200" s="10" t="s">
        <v>78</v>
      </c>
      <c r="B200" s="10" t="str">
        <f aca="false">INDEX('Site-uri'!$B$2:$B$20,MATCH(A200,'Site-uri'!$A$2:$A$20,0))</f>
        <v>eu-112.eu</v>
      </c>
      <c r="C200" s="10" t="s">
        <v>45</v>
      </c>
      <c r="D200" s="10" t="str">
        <f aca="false">INDEX('Site-uri'!$B$2:$B$20,MATCH(C200,'Site-uri'!$A$2:$A$20,0))</f>
        <v>5thelement.ai</v>
      </c>
      <c r="E200" s="10" t="str">
        <f aca="false">INDEX('Site-uri'!$C$2:$C$20,MATCH(C200,'Site-uri'!$A$2:$A$20,0))</f>
        <v>/</v>
      </c>
      <c r="F200" s="10" t="str">
        <f aca="false">B200</f>
        <v>eu-112.eu</v>
      </c>
      <c r="G200" s="10" t="str">
        <f aca="false">Config!$B$5</f>
        <v>network</v>
      </c>
      <c r="H200" s="10" t="str">
        <f aca="false">Config!$B$3</f>
        <v>2610_ff_lansare</v>
      </c>
      <c r="I200" s="10" t="str">
        <f aca="false">Config!$B$4</f>
        <v>general</v>
      </c>
      <c r="J200" s="10" t="str">
        <f aca="false">"https://"&amp;D200&amp;E200&amp;"?utm_source="&amp;F200&amp;"&amp;utm_medium="&amp;G200&amp;"&amp;utm_campaign="&amp;H200&amp;"&amp;utm_content="&amp;I200</f>
        <v>https://5thelement.ai/?utm_source=eu-112.eu&amp;utm_medium=network&amp;utm_campaign=2610_ff_lansare&amp;utm_content=general</v>
      </c>
    </row>
    <row r="201" customFormat="false" ht="15" hidden="false" customHeight="false" outlineLevel="0" collapsed="false">
      <c r="A201" s="10" t="s">
        <v>78</v>
      </c>
      <c r="B201" s="10" t="str">
        <f aca="false">INDEX('Site-uri'!$B$2:$B$20,MATCH(A201,'Site-uri'!$A$2:$A$20,0))</f>
        <v>eu-112.eu</v>
      </c>
      <c r="C201" s="10" t="s">
        <v>49</v>
      </c>
      <c r="D201" s="10" t="str">
        <f aca="false">INDEX('Site-uri'!$B$2:$B$20,MATCH(C201,'Site-uri'!$A$2:$A$20,0))</f>
        <v>aiventure.ro</v>
      </c>
      <c r="E201" s="10" t="str">
        <f aca="false">INDEX('Site-uri'!$C$2:$C$20,MATCH(C201,'Site-uri'!$A$2:$A$20,0))</f>
        <v>/</v>
      </c>
      <c r="F201" s="10" t="str">
        <f aca="false">B201</f>
        <v>eu-112.eu</v>
      </c>
      <c r="G201" s="10" t="str">
        <f aca="false">Config!$B$5</f>
        <v>network</v>
      </c>
      <c r="H201" s="10" t="str">
        <f aca="false">Config!$B$3</f>
        <v>2610_ff_lansare</v>
      </c>
      <c r="I201" s="10" t="str">
        <f aca="false">Config!$B$4</f>
        <v>general</v>
      </c>
      <c r="J201" s="10" t="str">
        <f aca="false">"https://"&amp;D201&amp;E201&amp;"?utm_source="&amp;F201&amp;"&amp;utm_medium="&amp;G201&amp;"&amp;utm_campaign="&amp;H201&amp;"&amp;utm_content="&amp;I201</f>
        <v>https://aiventure.ro/?utm_source=eu-112.eu&amp;utm_medium=network&amp;utm_campaign=2610_ff_lansare&amp;utm_content=general</v>
      </c>
    </row>
    <row r="202" customFormat="false" ht="15" hidden="false" customHeight="false" outlineLevel="0" collapsed="false">
      <c r="A202" s="10" t="s">
        <v>78</v>
      </c>
      <c r="B202" s="10" t="str">
        <f aca="false">INDEX('Site-uri'!$B$2:$B$20,MATCH(A202,'Site-uri'!$A$2:$A$20,0))</f>
        <v>eu-112.eu</v>
      </c>
      <c r="C202" s="10" t="s">
        <v>52</v>
      </c>
      <c r="D202" s="10" t="str">
        <f aca="false">INDEX('Site-uri'!$B$2:$B$20,MATCH(C202,'Site-uri'!$A$2:$A$20,0))</f>
        <v>aiventure.uk</v>
      </c>
      <c r="E202" s="10" t="str">
        <f aca="false">INDEX('Site-uri'!$C$2:$C$20,MATCH(C202,'Site-uri'!$A$2:$A$20,0))</f>
        <v>/</v>
      </c>
      <c r="F202" s="10" t="str">
        <f aca="false">B202</f>
        <v>eu-112.eu</v>
      </c>
      <c r="G202" s="10" t="str">
        <f aca="false">Config!$B$5</f>
        <v>network</v>
      </c>
      <c r="H202" s="10" t="str">
        <f aca="false">Config!$B$3</f>
        <v>2610_ff_lansare</v>
      </c>
      <c r="I202" s="10" t="str">
        <f aca="false">Config!$B$4</f>
        <v>general</v>
      </c>
      <c r="J202" s="10" t="str">
        <f aca="false">"https://"&amp;D202&amp;E202&amp;"?utm_source="&amp;F202&amp;"&amp;utm_medium="&amp;G202&amp;"&amp;utm_campaign="&amp;H202&amp;"&amp;utm_content="&amp;I202</f>
        <v>https://aiventure.uk/?utm_source=eu-112.eu&amp;utm_medium=network&amp;utm_campaign=2610_ff_lansare&amp;utm_content=general</v>
      </c>
    </row>
    <row r="203" customFormat="false" ht="15" hidden="false" customHeight="false" outlineLevel="0" collapsed="false">
      <c r="A203" s="10" t="s">
        <v>78</v>
      </c>
      <c r="B203" s="10" t="str">
        <f aca="false">INDEX('Site-uri'!$B$2:$B$20,MATCH(A203,'Site-uri'!$A$2:$A$20,0))</f>
        <v>eu-112.eu</v>
      </c>
      <c r="C203" s="10" t="s">
        <v>55</v>
      </c>
      <c r="D203" s="10" t="str">
        <f aca="false">INDEX('Site-uri'!$B$2:$B$20,MATCH(C203,'Site-uri'!$A$2:$A$20,0))</f>
        <v>3webobs.com</v>
      </c>
      <c r="E203" s="10" t="str">
        <f aca="false">INDEX('Site-uri'!$C$2:$C$20,MATCH(C203,'Site-uri'!$A$2:$A$20,0))</f>
        <v>/</v>
      </c>
      <c r="F203" s="10" t="str">
        <f aca="false">B203</f>
        <v>eu-112.eu</v>
      </c>
      <c r="G203" s="10" t="str">
        <f aca="false">Config!$B$5</f>
        <v>network</v>
      </c>
      <c r="H203" s="10" t="str">
        <f aca="false">Config!$B$3</f>
        <v>2610_ff_lansare</v>
      </c>
      <c r="I203" s="10" t="str">
        <f aca="false">Config!$B$4</f>
        <v>general</v>
      </c>
      <c r="J203" s="10" t="str">
        <f aca="false">"https://"&amp;D203&amp;E203&amp;"?utm_source="&amp;F203&amp;"&amp;utm_medium="&amp;G203&amp;"&amp;utm_campaign="&amp;H203&amp;"&amp;utm_content="&amp;I203</f>
        <v>https://3webobs.com/?utm_source=eu-112.eu&amp;utm_medium=network&amp;utm_campaign=2610_ff_lansare&amp;utm_content=general</v>
      </c>
    </row>
    <row r="204" customFormat="false" ht="15" hidden="false" customHeight="false" outlineLevel="0" collapsed="false">
      <c r="A204" s="10" t="s">
        <v>78</v>
      </c>
      <c r="B204" s="10" t="str">
        <f aca="false">INDEX('Site-uri'!$B$2:$B$20,MATCH(A204,'Site-uri'!$A$2:$A$20,0))</f>
        <v>eu-112.eu</v>
      </c>
      <c r="C204" s="10" t="s">
        <v>58</v>
      </c>
      <c r="D204" s="10" t="str">
        <f aca="false">INDEX('Site-uri'!$B$2:$B$20,MATCH(C204,'Site-uri'!$A$2:$A$20,0))</f>
        <v>ai-lens.eu</v>
      </c>
      <c r="E204" s="10" t="str">
        <f aca="false">INDEX('Site-uri'!$C$2:$C$20,MATCH(C204,'Site-uri'!$A$2:$A$20,0))</f>
        <v>/</v>
      </c>
      <c r="F204" s="10" t="str">
        <f aca="false">B204</f>
        <v>eu-112.eu</v>
      </c>
      <c r="G204" s="10" t="str">
        <f aca="false">Config!$B$5</f>
        <v>network</v>
      </c>
      <c r="H204" s="10" t="str">
        <f aca="false">Config!$B$3</f>
        <v>2610_ff_lansare</v>
      </c>
      <c r="I204" s="10" t="str">
        <f aca="false">Config!$B$4</f>
        <v>general</v>
      </c>
      <c r="J204" s="10" t="str">
        <f aca="false">"https://"&amp;D204&amp;E204&amp;"?utm_source="&amp;F204&amp;"&amp;utm_medium="&amp;G204&amp;"&amp;utm_campaign="&amp;H204&amp;"&amp;utm_content="&amp;I204</f>
        <v>https://ai-lens.eu/?utm_source=eu-112.eu&amp;utm_medium=network&amp;utm_campaign=2610_ff_lansare&amp;utm_content=general</v>
      </c>
    </row>
    <row r="205" customFormat="false" ht="15" hidden="false" customHeight="false" outlineLevel="0" collapsed="false">
      <c r="A205" s="10" t="s">
        <v>78</v>
      </c>
      <c r="B205" s="10" t="str">
        <f aca="false">INDEX('Site-uri'!$B$2:$B$20,MATCH(A205,'Site-uri'!$A$2:$A$20,0))</f>
        <v>eu-112.eu</v>
      </c>
      <c r="C205" s="10" t="s">
        <v>61</v>
      </c>
      <c r="D205" s="10" t="str">
        <f aca="false">INDEX('Site-uri'!$B$2:$B$20,MATCH(C205,'Site-uri'!$A$2:$A$20,0))</f>
        <v>aireadyinjector.com</v>
      </c>
      <c r="E205" s="10" t="str">
        <f aca="false">INDEX('Site-uri'!$C$2:$C$20,MATCH(C205,'Site-uri'!$A$2:$A$20,0))</f>
        <v>/</v>
      </c>
      <c r="F205" s="10" t="str">
        <f aca="false">B205</f>
        <v>eu-112.eu</v>
      </c>
      <c r="G205" s="10" t="str">
        <f aca="false">Config!$B$5</f>
        <v>network</v>
      </c>
      <c r="H205" s="10" t="str">
        <f aca="false">Config!$B$3</f>
        <v>2610_ff_lansare</v>
      </c>
      <c r="I205" s="10" t="str">
        <f aca="false">Config!$B$4</f>
        <v>general</v>
      </c>
      <c r="J205" s="10" t="str">
        <f aca="false">"https://"&amp;D205&amp;E205&amp;"?utm_source="&amp;F205&amp;"&amp;utm_medium="&amp;G205&amp;"&amp;utm_campaign="&amp;H205&amp;"&amp;utm_content="&amp;I205</f>
        <v>https://aireadyinjector.com/?utm_source=eu-112.eu&amp;utm_medium=network&amp;utm_campaign=2610_ff_lansare&amp;utm_content=general</v>
      </c>
    </row>
    <row r="206" customFormat="false" ht="15" hidden="false" customHeight="false" outlineLevel="0" collapsed="false">
      <c r="A206" s="10" t="s">
        <v>78</v>
      </c>
      <c r="B206" s="10" t="str">
        <f aca="false">INDEX('Site-uri'!$B$2:$B$20,MATCH(A206,'Site-uri'!$A$2:$A$20,0))</f>
        <v>eu-112.eu</v>
      </c>
      <c r="C206" s="10" t="s">
        <v>64</v>
      </c>
      <c r="D206" s="10" t="str">
        <f aca="false">INDEX('Site-uri'!$B$2:$B$20,MATCH(C206,'Site-uri'!$A$2:$A$20,0))</f>
        <v>eu-ai-audit.eu</v>
      </c>
      <c r="E206" s="10" t="str">
        <f aca="false">INDEX('Site-uri'!$C$2:$C$20,MATCH(C206,'Site-uri'!$A$2:$A$20,0))</f>
        <v>/</v>
      </c>
      <c r="F206" s="10" t="str">
        <f aca="false">B206</f>
        <v>eu-112.eu</v>
      </c>
      <c r="G206" s="10" t="str">
        <f aca="false">Config!$B$5</f>
        <v>network</v>
      </c>
      <c r="H206" s="10" t="str">
        <f aca="false">Config!$B$3</f>
        <v>2610_ff_lansare</v>
      </c>
      <c r="I206" s="10" t="str">
        <f aca="false">Config!$B$4</f>
        <v>general</v>
      </c>
      <c r="J206" s="10" t="str">
        <f aca="false">"https://"&amp;D206&amp;E206&amp;"?utm_source="&amp;F206&amp;"&amp;utm_medium="&amp;G206&amp;"&amp;utm_campaign="&amp;H206&amp;"&amp;utm_content="&amp;I206</f>
        <v>https://eu-ai-audit.eu/?utm_source=eu-112.eu&amp;utm_medium=network&amp;utm_campaign=2610_ff_lansare&amp;utm_content=general</v>
      </c>
    </row>
    <row r="207" customFormat="false" ht="15" hidden="false" customHeight="false" outlineLevel="0" collapsed="false">
      <c r="A207" s="10" t="s">
        <v>78</v>
      </c>
      <c r="B207" s="10" t="str">
        <f aca="false">INDEX('Site-uri'!$B$2:$B$20,MATCH(A207,'Site-uri'!$A$2:$A$20,0))</f>
        <v>eu-112.eu</v>
      </c>
      <c r="C207" s="10" t="s">
        <v>67</v>
      </c>
      <c r="D207" s="10" t="str">
        <f aca="false">INDEX('Site-uri'!$B$2:$B$20,MATCH(C207,'Site-uri'!$A$2:$A$20,0))</f>
        <v>eu-ai-ready.eu</v>
      </c>
      <c r="E207" s="10" t="str">
        <f aca="false">INDEX('Site-uri'!$C$2:$C$20,MATCH(C207,'Site-uri'!$A$2:$A$20,0))</f>
        <v>/</v>
      </c>
      <c r="F207" s="10" t="str">
        <f aca="false">B207</f>
        <v>eu-112.eu</v>
      </c>
      <c r="G207" s="10" t="str">
        <f aca="false">Config!$B$5</f>
        <v>network</v>
      </c>
      <c r="H207" s="10" t="str">
        <f aca="false">Config!$B$3</f>
        <v>2610_ff_lansare</v>
      </c>
      <c r="I207" s="10" t="str">
        <f aca="false">Config!$B$4</f>
        <v>general</v>
      </c>
      <c r="J207" s="10" t="str">
        <f aca="false">"https://"&amp;D207&amp;E207&amp;"?utm_source="&amp;F207&amp;"&amp;utm_medium="&amp;G207&amp;"&amp;utm_campaign="&amp;H207&amp;"&amp;utm_content="&amp;I207</f>
        <v>https://eu-ai-ready.eu/?utm_source=eu-112.eu&amp;utm_medium=network&amp;utm_campaign=2610_ff_lansare&amp;utm_content=general</v>
      </c>
    </row>
    <row r="208" customFormat="false" ht="15" hidden="false" customHeight="false" outlineLevel="0" collapsed="false">
      <c r="A208" s="10" t="s">
        <v>78</v>
      </c>
      <c r="B208" s="10" t="str">
        <f aca="false">INDEX('Site-uri'!$B$2:$B$20,MATCH(A208,'Site-uri'!$A$2:$A$20,0))</f>
        <v>eu-112.eu</v>
      </c>
      <c r="C208" s="10" t="s">
        <v>69</v>
      </c>
      <c r="D208" s="10" t="str">
        <f aca="false">INDEX('Site-uri'!$B$2:$B$20,MATCH(C208,'Site-uri'!$A$2:$A$20,0))</f>
        <v>eu-ai-act.ro</v>
      </c>
      <c r="E208" s="10" t="str">
        <f aca="false">INDEX('Site-uri'!$C$2:$C$20,MATCH(C208,'Site-uri'!$A$2:$A$20,0))</f>
        <v>/</v>
      </c>
      <c r="F208" s="10" t="str">
        <f aca="false">B208</f>
        <v>eu-112.eu</v>
      </c>
      <c r="G208" s="10" t="str">
        <f aca="false">Config!$B$5</f>
        <v>network</v>
      </c>
      <c r="H208" s="10" t="str">
        <f aca="false">Config!$B$3</f>
        <v>2610_ff_lansare</v>
      </c>
      <c r="I208" s="10" t="str">
        <f aca="false">Config!$B$4</f>
        <v>general</v>
      </c>
      <c r="J208" s="10" t="str">
        <f aca="false">"https://"&amp;D208&amp;E208&amp;"?utm_source="&amp;F208&amp;"&amp;utm_medium="&amp;G208&amp;"&amp;utm_campaign="&amp;H208&amp;"&amp;utm_content="&amp;I208</f>
        <v>https://eu-ai-act.ro/?utm_source=eu-112.eu&amp;utm_medium=network&amp;utm_campaign=2610_ff_lansare&amp;utm_content=general</v>
      </c>
    </row>
    <row r="209" customFormat="false" ht="15" hidden="false" customHeight="false" outlineLevel="0" collapsed="false">
      <c r="A209" s="10" t="s">
        <v>78</v>
      </c>
      <c r="B209" s="10" t="str">
        <f aca="false">INDEX('Site-uri'!$B$2:$B$20,MATCH(A209,'Site-uri'!$A$2:$A$20,0))</f>
        <v>eu-112.eu</v>
      </c>
      <c r="C209" s="10" t="s">
        <v>72</v>
      </c>
      <c r="D209" s="10" t="str">
        <f aca="false">INDEX('Site-uri'!$B$2:$B$20,MATCH(C209,'Site-uri'!$A$2:$A$20,0))</f>
        <v>eu-ai-act-ready.eu</v>
      </c>
      <c r="E209" s="10" t="str">
        <f aca="false">INDEX('Site-uri'!$C$2:$C$20,MATCH(C209,'Site-uri'!$A$2:$A$20,0))</f>
        <v>/</v>
      </c>
      <c r="F209" s="10" t="str">
        <f aca="false">B209</f>
        <v>eu-112.eu</v>
      </c>
      <c r="G209" s="10" t="str">
        <f aca="false">Config!$B$5</f>
        <v>network</v>
      </c>
      <c r="H209" s="10" t="str">
        <f aca="false">Config!$B$3</f>
        <v>2610_ff_lansare</v>
      </c>
      <c r="I209" s="10" t="str">
        <f aca="false">Config!$B$4</f>
        <v>general</v>
      </c>
      <c r="J209" s="10" t="str">
        <f aca="false">"https://"&amp;D209&amp;E209&amp;"?utm_source="&amp;F209&amp;"&amp;utm_medium="&amp;G209&amp;"&amp;utm_campaign="&amp;H209&amp;"&amp;utm_content="&amp;I209</f>
        <v>https://eu-ai-act-ready.eu/?utm_source=eu-112.eu&amp;utm_medium=network&amp;utm_campaign=2610_ff_lansare&amp;utm_content=general</v>
      </c>
    </row>
    <row r="210" customFormat="false" ht="15" hidden="false" customHeight="false" outlineLevel="0" collapsed="false">
      <c r="A210" s="10" t="s">
        <v>78</v>
      </c>
      <c r="B210" s="10" t="str">
        <f aca="false">INDEX('Site-uri'!$B$2:$B$20,MATCH(A210,'Site-uri'!$A$2:$A$20,0))</f>
        <v>eu-112.eu</v>
      </c>
      <c r="C210" s="10" t="s">
        <v>75</v>
      </c>
      <c r="D210" s="10" t="str">
        <f aca="false">INDEX('Site-uri'!$B$2:$B$20,MATCH(C210,'Site-uri'!$A$2:$A$20,0))</f>
        <v>eu-112.ro</v>
      </c>
      <c r="E210" s="10" t="str">
        <f aca="false">INDEX('Site-uri'!$C$2:$C$20,MATCH(C210,'Site-uri'!$A$2:$A$20,0))</f>
        <v>/</v>
      </c>
      <c r="F210" s="10" t="str">
        <f aca="false">B210</f>
        <v>eu-112.eu</v>
      </c>
      <c r="G210" s="10" t="str">
        <f aca="false">Config!$B$5</f>
        <v>network</v>
      </c>
      <c r="H210" s="10" t="str">
        <f aca="false">Config!$B$3</f>
        <v>2610_ff_lansare</v>
      </c>
      <c r="I210" s="10" t="str">
        <f aca="false">Config!$B$4</f>
        <v>general</v>
      </c>
      <c r="J210" s="10" t="str">
        <f aca="false">"https://"&amp;D210&amp;E210&amp;"?utm_source="&amp;F210&amp;"&amp;utm_medium="&amp;G210&amp;"&amp;utm_campaign="&amp;H210&amp;"&amp;utm_content="&amp;I210</f>
        <v>https://eu-112.ro/?utm_source=eu-112.eu&amp;utm_medium=network&amp;utm_campaign=2610_ff_lansare&amp;utm_content=general</v>
      </c>
    </row>
    <row r="211" customFormat="false" ht="15" hidden="false" customHeight="false" outlineLevel="0" collapsed="false">
      <c r="A211" s="10" t="s">
        <v>78</v>
      </c>
      <c r="B211" s="10" t="str">
        <f aca="false">INDEX('Site-uri'!$B$2:$B$20,MATCH(A211,'Site-uri'!$A$2:$A$20,0))</f>
        <v>eu-112.eu</v>
      </c>
      <c r="C211" s="10" t="s">
        <v>81</v>
      </c>
      <c r="D211" s="10" t="str">
        <f aca="false">INDEX('Site-uri'!$B$2:$B$20,MATCH(C211,'Site-uri'!$A$2:$A$20,0))</f>
        <v>1clic-ia.eu</v>
      </c>
      <c r="E211" s="10" t="str">
        <f aca="false">INDEX('Site-uri'!$C$2:$C$20,MATCH(C211,'Site-uri'!$A$2:$A$20,0))</f>
        <v>/</v>
      </c>
      <c r="F211" s="10" t="str">
        <f aca="false">B211</f>
        <v>eu-112.eu</v>
      </c>
      <c r="G211" s="10" t="str">
        <f aca="false">Config!$B$5</f>
        <v>network</v>
      </c>
      <c r="H211" s="10" t="str">
        <f aca="false">Config!$B$3</f>
        <v>2610_ff_lansare</v>
      </c>
      <c r="I211" s="10" t="str">
        <f aca="false">Config!$B$4</f>
        <v>general</v>
      </c>
      <c r="J211" s="10" t="str">
        <f aca="false">"https://"&amp;D211&amp;E211&amp;"?utm_source="&amp;F211&amp;"&amp;utm_medium="&amp;G211&amp;"&amp;utm_campaign="&amp;H211&amp;"&amp;utm_content="&amp;I211</f>
        <v>https://1clic-ia.eu/?utm_source=eu-112.eu&amp;utm_medium=network&amp;utm_campaign=2610_ff_lansare&amp;utm_content=general</v>
      </c>
    </row>
    <row r="212" customFormat="false" ht="15" hidden="false" customHeight="false" outlineLevel="0" collapsed="false">
      <c r="A212" s="10" t="s">
        <v>78</v>
      </c>
      <c r="B212" s="10" t="str">
        <f aca="false">INDEX('Site-uri'!$B$2:$B$20,MATCH(A212,'Site-uri'!$A$2:$A$20,0))</f>
        <v>eu-112.eu</v>
      </c>
      <c r="C212" s="10" t="s">
        <v>84</v>
      </c>
      <c r="D212" s="10" t="str">
        <f aca="false">INDEX('Site-uri'!$B$2:$B$20,MATCH(C212,'Site-uri'!$A$2:$A$20,0))</f>
        <v>1clic-ia.fr</v>
      </c>
      <c r="E212" s="10" t="str">
        <f aca="false">INDEX('Site-uri'!$C$2:$C$20,MATCH(C212,'Site-uri'!$A$2:$A$20,0))</f>
        <v>/</v>
      </c>
      <c r="F212" s="10" t="str">
        <f aca="false">B212</f>
        <v>eu-112.eu</v>
      </c>
      <c r="G212" s="10" t="str">
        <f aca="false">Config!$B$5</f>
        <v>network</v>
      </c>
      <c r="H212" s="10" t="str">
        <f aca="false">Config!$B$3</f>
        <v>2610_ff_lansare</v>
      </c>
      <c r="I212" s="10" t="str">
        <f aca="false">Config!$B$4</f>
        <v>general</v>
      </c>
      <c r="J212" s="10" t="str">
        <f aca="false">"https://"&amp;D212&amp;E212&amp;"?utm_source="&amp;F212&amp;"&amp;utm_medium="&amp;G212&amp;"&amp;utm_campaign="&amp;H212&amp;"&amp;utm_content="&amp;I212</f>
        <v>https://1clic-ia.fr/?utm_source=eu-112.eu&amp;utm_medium=network&amp;utm_campaign=2610_ff_lansare&amp;utm_content=general</v>
      </c>
    </row>
    <row r="213" customFormat="false" ht="15" hidden="false" customHeight="false" outlineLevel="0" collapsed="false">
      <c r="A213" s="10" t="s">
        <v>78</v>
      </c>
      <c r="B213" s="10" t="str">
        <f aca="false">INDEX('Site-uri'!$B$2:$B$20,MATCH(A213,'Site-uri'!$A$2:$A$20,0))</f>
        <v>eu-112.eu</v>
      </c>
      <c r="C213" s="10" t="s">
        <v>86</v>
      </c>
      <c r="D213" s="10" t="str">
        <f aca="false">INDEX('Site-uri'!$B$2:$B$20,MATCH(C213,'Site-uri'!$A$2:$A$20,0))</f>
        <v>firmsfinder.eu</v>
      </c>
      <c r="E213" s="10" t="str">
        <f aca="false">INDEX('Site-uri'!$C$2:$C$20,MATCH(C213,'Site-uri'!$A$2:$A$20,0))</f>
        <v>/</v>
      </c>
      <c r="F213" s="10" t="str">
        <f aca="false">B213</f>
        <v>eu-112.eu</v>
      </c>
      <c r="G213" s="10" t="str">
        <f aca="false">Config!$B$5</f>
        <v>network</v>
      </c>
      <c r="H213" s="10" t="str">
        <f aca="false">Config!$B$3</f>
        <v>2610_ff_lansare</v>
      </c>
      <c r="I213" s="10" t="str">
        <f aca="false">Config!$B$4</f>
        <v>general</v>
      </c>
      <c r="J213" s="10" t="str">
        <f aca="false">"https://"&amp;D213&amp;E213&amp;"?utm_source="&amp;F213&amp;"&amp;utm_medium="&amp;G213&amp;"&amp;utm_campaign="&amp;H213&amp;"&amp;utm_content="&amp;I213</f>
        <v>https://firmsfinder.eu/?utm_source=eu-112.eu&amp;utm_medium=network&amp;utm_campaign=2610_ff_lansare&amp;utm_content=general</v>
      </c>
    </row>
    <row r="214" customFormat="false" ht="15" hidden="false" customHeight="false" outlineLevel="0" collapsed="false">
      <c r="A214" s="10" t="s">
        <v>78</v>
      </c>
      <c r="B214" s="10" t="str">
        <f aca="false">INDEX('Site-uri'!$B$2:$B$20,MATCH(A214,'Site-uri'!$A$2:$A$20,0))</f>
        <v>eu-112.eu</v>
      </c>
      <c r="C214" s="10" t="s">
        <v>89</v>
      </c>
      <c r="D214" s="10" t="str">
        <f aca="false">INDEX('Site-uri'!$B$2:$B$20,MATCH(C214,'Site-uri'!$A$2:$A$20,0))</f>
        <v>b2b-ai-library.org</v>
      </c>
      <c r="E214" s="10" t="str">
        <f aca="false">INDEX('Site-uri'!$C$2:$C$20,MATCH(C214,'Site-uri'!$A$2:$A$20,0))</f>
        <v>/</v>
      </c>
      <c r="F214" s="10" t="str">
        <f aca="false">B214</f>
        <v>eu-112.eu</v>
      </c>
      <c r="G214" s="10" t="str">
        <f aca="false">Config!$B$5</f>
        <v>network</v>
      </c>
      <c r="H214" s="10" t="str">
        <f aca="false">Config!$B$3</f>
        <v>2610_ff_lansare</v>
      </c>
      <c r="I214" s="10" t="str">
        <f aca="false">Config!$B$4</f>
        <v>general</v>
      </c>
      <c r="J214" s="10" t="str">
        <f aca="false">"https://"&amp;D214&amp;E214&amp;"?utm_source="&amp;F214&amp;"&amp;utm_medium="&amp;G214&amp;"&amp;utm_campaign="&amp;H214&amp;"&amp;utm_content="&amp;I214</f>
        <v>https://b2b-ai-library.org/?utm_source=eu-112.eu&amp;utm_medium=network&amp;utm_campaign=2610_ff_lansare&amp;utm_content=general</v>
      </c>
    </row>
    <row r="215" customFormat="false" ht="15" hidden="false" customHeight="false" outlineLevel="0" collapsed="false">
      <c r="A215" s="10" t="s">
        <v>78</v>
      </c>
      <c r="B215" s="10" t="str">
        <f aca="false">INDEX('Site-uri'!$B$2:$B$20,MATCH(A215,'Site-uri'!$A$2:$A$20,0))</f>
        <v>eu-112.eu</v>
      </c>
      <c r="C215" s="10" t="s">
        <v>91</v>
      </c>
      <c r="D215" s="10" t="str">
        <f aca="false">INDEX('Site-uri'!$B$2:$B$20,MATCH(C215,'Site-uri'!$A$2:$A$20,0))</f>
        <v>the3webs.com</v>
      </c>
      <c r="E215" s="10" t="str">
        <f aca="false">INDEX('Site-uri'!$C$2:$C$20,MATCH(C215,'Site-uri'!$A$2:$A$20,0))</f>
        <v>/</v>
      </c>
      <c r="F215" s="10" t="str">
        <f aca="false">B215</f>
        <v>eu-112.eu</v>
      </c>
      <c r="G215" s="10" t="str">
        <f aca="false">Config!$B$5</f>
        <v>network</v>
      </c>
      <c r="H215" s="10" t="str">
        <f aca="false">Config!$B$3</f>
        <v>2610_ff_lansare</v>
      </c>
      <c r="I215" s="10" t="str">
        <f aca="false">Config!$B$4</f>
        <v>general</v>
      </c>
      <c r="J215" s="10" t="str">
        <f aca="false">"https://"&amp;D215&amp;E215&amp;"?utm_source="&amp;F215&amp;"&amp;utm_medium="&amp;G215&amp;"&amp;utm_campaign="&amp;H215&amp;"&amp;utm_content="&amp;I215</f>
        <v>https://the3webs.com/?utm_source=eu-112.eu&amp;utm_medium=network&amp;utm_campaign=2610_ff_lansare&amp;utm_content=general</v>
      </c>
    </row>
    <row r="216" customFormat="false" ht="15" hidden="false" customHeight="false" outlineLevel="0" collapsed="false">
      <c r="A216" s="10" t="s">
        <v>78</v>
      </c>
      <c r="B216" s="10" t="str">
        <f aca="false">INDEX('Site-uri'!$B$2:$B$20,MATCH(A216,'Site-uri'!$A$2:$A$20,0))</f>
        <v>eu-112.eu</v>
      </c>
      <c r="C216" s="10" t="s">
        <v>94</v>
      </c>
      <c r="D216" s="10" t="str">
        <f aca="false">INDEX('Site-uri'!$B$2:$B$20,MATCH(C216,'Site-uri'!$A$2:$A$20,0))</f>
        <v>floride-e2.com</v>
      </c>
      <c r="E216" s="10" t="str">
        <f aca="false">INDEX('Site-uri'!$C$2:$C$20,MATCH(C216,'Site-uri'!$A$2:$A$20,0))</f>
        <v>/</v>
      </c>
      <c r="F216" s="10" t="str">
        <f aca="false">B216</f>
        <v>eu-112.eu</v>
      </c>
      <c r="G216" s="10" t="str">
        <f aca="false">Config!$B$5</f>
        <v>network</v>
      </c>
      <c r="H216" s="10" t="str">
        <f aca="false">Config!$B$3</f>
        <v>2610_ff_lansare</v>
      </c>
      <c r="I216" s="10" t="str">
        <f aca="false">Config!$B$4</f>
        <v>general</v>
      </c>
      <c r="J216" s="10" t="str">
        <f aca="false">"https://"&amp;D216&amp;E216&amp;"?utm_source="&amp;F216&amp;"&amp;utm_medium="&amp;G216&amp;"&amp;utm_campaign="&amp;H216&amp;"&amp;utm_content="&amp;I216</f>
        <v>https://floride-e2.com/?utm_source=eu-112.eu&amp;utm_medium=network&amp;utm_campaign=2610_ff_lansare&amp;utm_content=general</v>
      </c>
    </row>
    <row r="217" customFormat="false" ht="15" hidden="false" customHeight="false" outlineLevel="0" collapsed="false">
      <c r="A217" s="10" t="s">
        <v>78</v>
      </c>
      <c r="B217" s="10" t="str">
        <f aca="false">INDEX('Site-uri'!$B$2:$B$20,MATCH(A217,'Site-uri'!$A$2:$A$20,0))</f>
        <v>eu-112.eu</v>
      </c>
      <c r="C217" s="10" t="s">
        <v>96</v>
      </c>
      <c r="D217" s="10" t="str">
        <f aca="false">INDEX('Site-uri'!$B$2:$B$20,MATCH(C217,'Site-uri'!$A$2:$A$20,0))</f>
        <v>ecbtax.com</v>
      </c>
      <c r="E217" s="10" t="str">
        <f aca="false">INDEX('Site-uri'!$C$2:$C$20,MATCH(C217,'Site-uri'!$A$2:$A$20,0))</f>
        <v>/</v>
      </c>
      <c r="F217" s="10" t="str">
        <f aca="false">B217</f>
        <v>eu-112.eu</v>
      </c>
      <c r="G217" s="10" t="str">
        <f aca="false">Config!$B$5</f>
        <v>network</v>
      </c>
      <c r="H217" s="10" t="str">
        <f aca="false">Config!$B$3</f>
        <v>2610_ff_lansare</v>
      </c>
      <c r="I217" s="10" t="str">
        <f aca="false">Config!$B$4</f>
        <v>general</v>
      </c>
      <c r="J217" s="10" t="str">
        <f aca="false">"https://"&amp;D217&amp;E217&amp;"?utm_source="&amp;F217&amp;"&amp;utm_medium="&amp;G217&amp;"&amp;utm_campaign="&amp;H217&amp;"&amp;utm_content="&amp;I217</f>
        <v>https://ecbtax.com/?utm_source=eu-112.eu&amp;utm_medium=network&amp;utm_campaign=2610_ff_lansare&amp;utm_content=general</v>
      </c>
    </row>
    <row r="218" customFormat="false" ht="15" hidden="false" customHeight="false" outlineLevel="0" collapsed="false">
      <c r="A218" s="10" t="s">
        <v>81</v>
      </c>
      <c r="B218" s="10" t="str">
        <f aca="false">INDEX('Site-uri'!$B$2:$B$20,MATCH(A218,'Site-uri'!$A$2:$A$20,0))</f>
        <v>1clic-ia.eu</v>
      </c>
      <c r="C218" s="10" t="s">
        <v>45</v>
      </c>
      <c r="D218" s="10" t="str">
        <f aca="false">INDEX('Site-uri'!$B$2:$B$20,MATCH(C218,'Site-uri'!$A$2:$A$20,0))</f>
        <v>5thelement.ai</v>
      </c>
      <c r="E218" s="10" t="str">
        <f aca="false">INDEX('Site-uri'!$C$2:$C$20,MATCH(C218,'Site-uri'!$A$2:$A$20,0))</f>
        <v>/</v>
      </c>
      <c r="F218" s="10" t="str">
        <f aca="false">B218</f>
        <v>1clic-ia.eu</v>
      </c>
      <c r="G218" s="10" t="str">
        <f aca="false">Config!$B$5</f>
        <v>network</v>
      </c>
      <c r="H218" s="10" t="str">
        <f aca="false">Config!$B$3</f>
        <v>2610_ff_lansare</v>
      </c>
      <c r="I218" s="10" t="str">
        <f aca="false">Config!$B$4</f>
        <v>general</v>
      </c>
      <c r="J218" s="10" t="str">
        <f aca="false">"https://"&amp;D218&amp;E218&amp;"?utm_source="&amp;F218&amp;"&amp;utm_medium="&amp;G218&amp;"&amp;utm_campaign="&amp;H218&amp;"&amp;utm_content="&amp;I218</f>
        <v>https://5thelement.ai/?utm_source=1clic-ia.eu&amp;utm_medium=network&amp;utm_campaign=2610_ff_lansare&amp;utm_content=general</v>
      </c>
    </row>
    <row r="219" customFormat="false" ht="15" hidden="false" customHeight="false" outlineLevel="0" collapsed="false">
      <c r="A219" s="10" t="s">
        <v>81</v>
      </c>
      <c r="B219" s="10" t="str">
        <f aca="false">INDEX('Site-uri'!$B$2:$B$20,MATCH(A219,'Site-uri'!$A$2:$A$20,0))</f>
        <v>1clic-ia.eu</v>
      </c>
      <c r="C219" s="10" t="s">
        <v>49</v>
      </c>
      <c r="D219" s="10" t="str">
        <f aca="false">INDEX('Site-uri'!$B$2:$B$20,MATCH(C219,'Site-uri'!$A$2:$A$20,0))</f>
        <v>aiventure.ro</v>
      </c>
      <c r="E219" s="10" t="str">
        <f aca="false">INDEX('Site-uri'!$C$2:$C$20,MATCH(C219,'Site-uri'!$A$2:$A$20,0))</f>
        <v>/</v>
      </c>
      <c r="F219" s="10" t="str">
        <f aca="false">B219</f>
        <v>1clic-ia.eu</v>
      </c>
      <c r="G219" s="10" t="str">
        <f aca="false">Config!$B$5</f>
        <v>network</v>
      </c>
      <c r="H219" s="10" t="str">
        <f aca="false">Config!$B$3</f>
        <v>2610_ff_lansare</v>
      </c>
      <c r="I219" s="10" t="str">
        <f aca="false">Config!$B$4</f>
        <v>general</v>
      </c>
      <c r="J219" s="10" t="str">
        <f aca="false">"https://"&amp;D219&amp;E219&amp;"?utm_source="&amp;F219&amp;"&amp;utm_medium="&amp;G219&amp;"&amp;utm_campaign="&amp;H219&amp;"&amp;utm_content="&amp;I219</f>
        <v>https://aiventure.ro/?utm_source=1clic-ia.eu&amp;utm_medium=network&amp;utm_campaign=2610_ff_lansare&amp;utm_content=general</v>
      </c>
    </row>
    <row r="220" customFormat="false" ht="15" hidden="false" customHeight="false" outlineLevel="0" collapsed="false">
      <c r="A220" s="10" t="s">
        <v>81</v>
      </c>
      <c r="B220" s="10" t="str">
        <f aca="false">INDEX('Site-uri'!$B$2:$B$20,MATCH(A220,'Site-uri'!$A$2:$A$20,0))</f>
        <v>1clic-ia.eu</v>
      </c>
      <c r="C220" s="10" t="s">
        <v>52</v>
      </c>
      <c r="D220" s="10" t="str">
        <f aca="false">INDEX('Site-uri'!$B$2:$B$20,MATCH(C220,'Site-uri'!$A$2:$A$20,0))</f>
        <v>aiventure.uk</v>
      </c>
      <c r="E220" s="10" t="str">
        <f aca="false">INDEX('Site-uri'!$C$2:$C$20,MATCH(C220,'Site-uri'!$A$2:$A$20,0))</f>
        <v>/</v>
      </c>
      <c r="F220" s="10" t="str">
        <f aca="false">B220</f>
        <v>1clic-ia.eu</v>
      </c>
      <c r="G220" s="10" t="str">
        <f aca="false">Config!$B$5</f>
        <v>network</v>
      </c>
      <c r="H220" s="10" t="str">
        <f aca="false">Config!$B$3</f>
        <v>2610_ff_lansare</v>
      </c>
      <c r="I220" s="10" t="str">
        <f aca="false">Config!$B$4</f>
        <v>general</v>
      </c>
      <c r="J220" s="10" t="str">
        <f aca="false">"https://"&amp;D220&amp;E220&amp;"?utm_source="&amp;F220&amp;"&amp;utm_medium="&amp;G220&amp;"&amp;utm_campaign="&amp;H220&amp;"&amp;utm_content="&amp;I220</f>
        <v>https://aiventure.uk/?utm_source=1clic-ia.eu&amp;utm_medium=network&amp;utm_campaign=2610_ff_lansare&amp;utm_content=general</v>
      </c>
    </row>
    <row r="221" customFormat="false" ht="15" hidden="false" customHeight="false" outlineLevel="0" collapsed="false">
      <c r="A221" s="10" t="s">
        <v>81</v>
      </c>
      <c r="B221" s="10" t="str">
        <f aca="false">INDEX('Site-uri'!$B$2:$B$20,MATCH(A221,'Site-uri'!$A$2:$A$20,0))</f>
        <v>1clic-ia.eu</v>
      </c>
      <c r="C221" s="10" t="s">
        <v>55</v>
      </c>
      <c r="D221" s="10" t="str">
        <f aca="false">INDEX('Site-uri'!$B$2:$B$20,MATCH(C221,'Site-uri'!$A$2:$A$20,0))</f>
        <v>3webobs.com</v>
      </c>
      <c r="E221" s="10" t="str">
        <f aca="false">INDEX('Site-uri'!$C$2:$C$20,MATCH(C221,'Site-uri'!$A$2:$A$20,0))</f>
        <v>/</v>
      </c>
      <c r="F221" s="10" t="str">
        <f aca="false">B221</f>
        <v>1clic-ia.eu</v>
      </c>
      <c r="G221" s="10" t="str">
        <f aca="false">Config!$B$5</f>
        <v>network</v>
      </c>
      <c r="H221" s="10" t="str">
        <f aca="false">Config!$B$3</f>
        <v>2610_ff_lansare</v>
      </c>
      <c r="I221" s="10" t="str">
        <f aca="false">Config!$B$4</f>
        <v>general</v>
      </c>
      <c r="J221" s="10" t="str">
        <f aca="false">"https://"&amp;D221&amp;E221&amp;"?utm_source="&amp;F221&amp;"&amp;utm_medium="&amp;G221&amp;"&amp;utm_campaign="&amp;H221&amp;"&amp;utm_content="&amp;I221</f>
        <v>https://3webobs.com/?utm_source=1clic-ia.eu&amp;utm_medium=network&amp;utm_campaign=2610_ff_lansare&amp;utm_content=general</v>
      </c>
    </row>
    <row r="222" customFormat="false" ht="15" hidden="false" customHeight="false" outlineLevel="0" collapsed="false">
      <c r="A222" s="10" t="s">
        <v>81</v>
      </c>
      <c r="B222" s="10" t="str">
        <f aca="false">INDEX('Site-uri'!$B$2:$B$20,MATCH(A222,'Site-uri'!$A$2:$A$20,0))</f>
        <v>1clic-ia.eu</v>
      </c>
      <c r="C222" s="10" t="s">
        <v>58</v>
      </c>
      <c r="D222" s="10" t="str">
        <f aca="false">INDEX('Site-uri'!$B$2:$B$20,MATCH(C222,'Site-uri'!$A$2:$A$20,0))</f>
        <v>ai-lens.eu</v>
      </c>
      <c r="E222" s="10" t="str">
        <f aca="false">INDEX('Site-uri'!$C$2:$C$20,MATCH(C222,'Site-uri'!$A$2:$A$20,0))</f>
        <v>/</v>
      </c>
      <c r="F222" s="10" t="str">
        <f aca="false">B222</f>
        <v>1clic-ia.eu</v>
      </c>
      <c r="G222" s="10" t="str">
        <f aca="false">Config!$B$5</f>
        <v>network</v>
      </c>
      <c r="H222" s="10" t="str">
        <f aca="false">Config!$B$3</f>
        <v>2610_ff_lansare</v>
      </c>
      <c r="I222" s="10" t="str">
        <f aca="false">Config!$B$4</f>
        <v>general</v>
      </c>
      <c r="J222" s="10" t="str">
        <f aca="false">"https://"&amp;D222&amp;E222&amp;"?utm_source="&amp;F222&amp;"&amp;utm_medium="&amp;G222&amp;"&amp;utm_campaign="&amp;H222&amp;"&amp;utm_content="&amp;I222</f>
        <v>https://ai-lens.eu/?utm_source=1clic-ia.eu&amp;utm_medium=network&amp;utm_campaign=2610_ff_lansare&amp;utm_content=general</v>
      </c>
    </row>
    <row r="223" customFormat="false" ht="15" hidden="false" customHeight="false" outlineLevel="0" collapsed="false">
      <c r="A223" s="10" t="s">
        <v>81</v>
      </c>
      <c r="B223" s="10" t="str">
        <f aca="false">INDEX('Site-uri'!$B$2:$B$20,MATCH(A223,'Site-uri'!$A$2:$A$20,0))</f>
        <v>1clic-ia.eu</v>
      </c>
      <c r="C223" s="10" t="s">
        <v>61</v>
      </c>
      <c r="D223" s="10" t="str">
        <f aca="false">INDEX('Site-uri'!$B$2:$B$20,MATCH(C223,'Site-uri'!$A$2:$A$20,0))</f>
        <v>aireadyinjector.com</v>
      </c>
      <c r="E223" s="10" t="str">
        <f aca="false">INDEX('Site-uri'!$C$2:$C$20,MATCH(C223,'Site-uri'!$A$2:$A$20,0))</f>
        <v>/</v>
      </c>
      <c r="F223" s="10" t="str">
        <f aca="false">B223</f>
        <v>1clic-ia.eu</v>
      </c>
      <c r="G223" s="10" t="str">
        <f aca="false">Config!$B$5</f>
        <v>network</v>
      </c>
      <c r="H223" s="10" t="str">
        <f aca="false">Config!$B$3</f>
        <v>2610_ff_lansare</v>
      </c>
      <c r="I223" s="10" t="str">
        <f aca="false">Config!$B$4</f>
        <v>general</v>
      </c>
      <c r="J223" s="10" t="str">
        <f aca="false">"https://"&amp;D223&amp;E223&amp;"?utm_source="&amp;F223&amp;"&amp;utm_medium="&amp;G223&amp;"&amp;utm_campaign="&amp;H223&amp;"&amp;utm_content="&amp;I223</f>
        <v>https://aireadyinjector.com/?utm_source=1clic-ia.eu&amp;utm_medium=network&amp;utm_campaign=2610_ff_lansare&amp;utm_content=general</v>
      </c>
    </row>
    <row r="224" customFormat="false" ht="15" hidden="false" customHeight="false" outlineLevel="0" collapsed="false">
      <c r="A224" s="10" t="s">
        <v>81</v>
      </c>
      <c r="B224" s="10" t="str">
        <f aca="false">INDEX('Site-uri'!$B$2:$B$20,MATCH(A224,'Site-uri'!$A$2:$A$20,0))</f>
        <v>1clic-ia.eu</v>
      </c>
      <c r="C224" s="10" t="s">
        <v>64</v>
      </c>
      <c r="D224" s="10" t="str">
        <f aca="false">INDEX('Site-uri'!$B$2:$B$20,MATCH(C224,'Site-uri'!$A$2:$A$20,0))</f>
        <v>eu-ai-audit.eu</v>
      </c>
      <c r="E224" s="10" t="str">
        <f aca="false">INDEX('Site-uri'!$C$2:$C$20,MATCH(C224,'Site-uri'!$A$2:$A$20,0))</f>
        <v>/</v>
      </c>
      <c r="F224" s="10" t="str">
        <f aca="false">B224</f>
        <v>1clic-ia.eu</v>
      </c>
      <c r="G224" s="10" t="str">
        <f aca="false">Config!$B$5</f>
        <v>network</v>
      </c>
      <c r="H224" s="10" t="str">
        <f aca="false">Config!$B$3</f>
        <v>2610_ff_lansare</v>
      </c>
      <c r="I224" s="10" t="str">
        <f aca="false">Config!$B$4</f>
        <v>general</v>
      </c>
      <c r="J224" s="10" t="str">
        <f aca="false">"https://"&amp;D224&amp;E224&amp;"?utm_source="&amp;F224&amp;"&amp;utm_medium="&amp;G224&amp;"&amp;utm_campaign="&amp;H224&amp;"&amp;utm_content="&amp;I224</f>
        <v>https://eu-ai-audit.eu/?utm_source=1clic-ia.eu&amp;utm_medium=network&amp;utm_campaign=2610_ff_lansare&amp;utm_content=general</v>
      </c>
    </row>
    <row r="225" customFormat="false" ht="15" hidden="false" customHeight="false" outlineLevel="0" collapsed="false">
      <c r="A225" s="10" t="s">
        <v>81</v>
      </c>
      <c r="B225" s="10" t="str">
        <f aca="false">INDEX('Site-uri'!$B$2:$B$20,MATCH(A225,'Site-uri'!$A$2:$A$20,0))</f>
        <v>1clic-ia.eu</v>
      </c>
      <c r="C225" s="10" t="s">
        <v>67</v>
      </c>
      <c r="D225" s="10" t="str">
        <f aca="false">INDEX('Site-uri'!$B$2:$B$20,MATCH(C225,'Site-uri'!$A$2:$A$20,0))</f>
        <v>eu-ai-ready.eu</v>
      </c>
      <c r="E225" s="10" t="str">
        <f aca="false">INDEX('Site-uri'!$C$2:$C$20,MATCH(C225,'Site-uri'!$A$2:$A$20,0))</f>
        <v>/</v>
      </c>
      <c r="F225" s="10" t="str">
        <f aca="false">B225</f>
        <v>1clic-ia.eu</v>
      </c>
      <c r="G225" s="10" t="str">
        <f aca="false">Config!$B$5</f>
        <v>network</v>
      </c>
      <c r="H225" s="10" t="str">
        <f aca="false">Config!$B$3</f>
        <v>2610_ff_lansare</v>
      </c>
      <c r="I225" s="10" t="str">
        <f aca="false">Config!$B$4</f>
        <v>general</v>
      </c>
      <c r="J225" s="10" t="str">
        <f aca="false">"https://"&amp;D225&amp;E225&amp;"?utm_source="&amp;F225&amp;"&amp;utm_medium="&amp;G225&amp;"&amp;utm_campaign="&amp;H225&amp;"&amp;utm_content="&amp;I225</f>
        <v>https://eu-ai-ready.eu/?utm_source=1clic-ia.eu&amp;utm_medium=network&amp;utm_campaign=2610_ff_lansare&amp;utm_content=general</v>
      </c>
    </row>
    <row r="226" customFormat="false" ht="15" hidden="false" customHeight="false" outlineLevel="0" collapsed="false">
      <c r="A226" s="10" t="s">
        <v>81</v>
      </c>
      <c r="B226" s="10" t="str">
        <f aca="false">INDEX('Site-uri'!$B$2:$B$20,MATCH(A226,'Site-uri'!$A$2:$A$20,0))</f>
        <v>1clic-ia.eu</v>
      </c>
      <c r="C226" s="10" t="s">
        <v>69</v>
      </c>
      <c r="D226" s="10" t="str">
        <f aca="false">INDEX('Site-uri'!$B$2:$B$20,MATCH(C226,'Site-uri'!$A$2:$A$20,0))</f>
        <v>eu-ai-act.ro</v>
      </c>
      <c r="E226" s="10" t="str">
        <f aca="false">INDEX('Site-uri'!$C$2:$C$20,MATCH(C226,'Site-uri'!$A$2:$A$20,0))</f>
        <v>/</v>
      </c>
      <c r="F226" s="10" t="str">
        <f aca="false">B226</f>
        <v>1clic-ia.eu</v>
      </c>
      <c r="G226" s="10" t="str">
        <f aca="false">Config!$B$5</f>
        <v>network</v>
      </c>
      <c r="H226" s="10" t="str">
        <f aca="false">Config!$B$3</f>
        <v>2610_ff_lansare</v>
      </c>
      <c r="I226" s="10" t="str">
        <f aca="false">Config!$B$4</f>
        <v>general</v>
      </c>
      <c r="J226" s="10" t="str">
        <f aca="false">"https://"&amp;D226&amp;E226&amp;"?utm_source="&amp;F226&amp;"&amp;utm_medium="&amp;G226&amp;"&amp;utm_campaign="&amp;H226&amp;"&amp;utm_content="&amp;I226</f>
        <v>https://eu-ai-act.ro/?utm_source=1clic-ia.eu&amp;utm_medium=network&amp;utm_campaign=2610_ff_lansare&amp;utm_content=general</v>
      </c>
    </row>
    <row r="227" customFormat="false" ht="15" hidden="false" customHeight="false" outlineLevel="0" collapsed="false">
      <c r="A227" s="10" t="s">
        <v>81</v>
      </c>
      <c r="B227" s="10" t="str">
        <f aca="false">INDEX('Site-uri'!$B$2:$B$20,MATCH(A227,'Site-uri'!$A$2:$A$20,0))</f>
        <v>1clic-ia.eu</v>
      </c>
      <c r="C227" s="10" t="s">
        <v>72</v>
      </c>
      <c r="D227" s="10" t="str">
        <f aca="false">INDEX('Site-uri'!$B$2:$B$20,MATCH(C227,'Site-uri'!$A$2:$A$20,0))</f>
        <v>eu-ai-act-ready.eu</v>
      </c>
      <c r="E227" s="10" t="str">
        <f aca="false">INDEX('Site-uri'!$C$2:$C$20,MATCH(C227,'Site-uri'!$A$2:$A$20,0))</f>
        <v>/</v>
      </c>
      <c r="F227" s="10" t="str">
        <f aca="false">B227</f>
        <v>1clic-ia.eu</v>
      </c>
      <c r="G227" s="10" t="str">
        <f aca="false">Config!$B$5</f>
        <v>network</v>
      </c>
      <c r="H227" s="10" t="str">
        <f aca="false">Config!$B$3</f>
        <v>2610_ff_lansare</v>
      </c>
      <c r="I227" s="10" t="str">
        <f aca="false">Config!$B$4</f>
        <v>general</v>
      </c>
      <c r="J227" s="10" t="str">
        <f aca="false">"https://"&amp;D227&amp;E227&amp;"?utm_source="&amp;F227&amp;"&amp;utm_medium="&amp;G227&amp;"&amp;utm_campaign="&amp;H227&amp;"&amp;utm_content="&amp;I227</f>
        <v>https://eu-ai-act-ready.eu/?utm_source=1clic-ia.eu&amp;utm_medium=network&amp;utm_campaign=2610_ff_lansare&amp;utm_content=general</v>
      </c>
    </row>
    <row r="228" customFormat="false" ht="15" hidden="false" customHeight="false" outlineLevel="0" collapsed="false">
      <c r="A228" s="10" t="s">
        <v>81</v>
      </c>
      <c r="B228" s="10" t="str">
        <f aca="false">INDEX('Site-uri'!$B$2:$B$20,MATCH(A228,'Site-uri'!$A$2:$A$20,0))</f>
        <v>1clic-ia.eu</v>
      </c>
      <c r="C228" s="10" t="s">
        <v>75</v>
      </c>
      <c r="D228" s="10" t="str">
        <f aca="false">INDEX('Site-uri'!$B$2:$B$20,MATCH(C228,'Site-uri'!$A$2:$A$20,0))</f>
        <v>eu-112.ro</v>
      </c>
      <c r="E228" s="10" t="str">
        <f aca="false">INDEX('Site-uri'!$C$2:$C$20,MATCH(C228,'Site-uri'!$A$2:$A$20,0))</f>
        <v>/</v>
      </c>
      <c r="F228" s="10" t="str">
        <f aca="false">B228</f>
        <v>1clic-ia.eu</v>
      </c>
      <c r="G228" s="10" t="str">
        <f aca="false">Config!$B$5</f>
        <v>network</v>
      </c>
      <c r="H228" s="10" t="str">
        <f aca="false">Config!$B$3</f>
        <v>2610_ff_lansare</v>
      </c>
      <c r="I228" s="10" t="str">
        <f aca="false">Config!$B$4</f>
        <v>general</v>
      </c>
      <c r="J228" s="10" t="str">
        <f aca="false">"https://"&amp;D228&amp;E228&amp;"?utm_source="&amp;F228&amp;"&amp;utm_medium="&amp;G228&amp;"&amp;utm_campaign="&amp;H228&amp;"&amp;utm_content="&amp;I228</f>
        <v>https://eu-112.ro/?utm_source=1clic-ia.eu&amp;utm_medium=network&amp;utm_campaign=2610_ff_lansare&amp;utm_content=general</v>
      </c>
    </row>
    <row r="229" customFormat="false" ht="15" hidden="false" customHeight="false" outlineLevel="0" collapsed="false">
      <c r="A229" s="10" t="s">
        <v>81</v>
      </c>
      <c r="B229" s="10" t="str">
        <f aca="false">INDEX('Site-uri'!$B$2:$B$20,MATCH(A229,'Site-uri'!$A$2:$A$20,0))</f>
        <v>1clic-ia.eu</v>
      </c>
      <c r="C229" s="10" t="s">
        <v>78</v>
      </c>
      <c r="D229" s="10" t="str">
        <f aca="false">INDEX('Site-uri'!$B$2:$B$20,MATCH(C229,'Site-uri'!$A$2:$A$20,0))</f>
        <v>eu-112.eu</v>
      </c>
      <c r="E229" s="10" t="str">
        <f aca="false">INDEX('Site-uri'!$C$2:$C$20,MATCH(C229,'Site-uri'!$A$2:$A$20,0))</f>
        <v>/</v>
      </c>
      <c r="F229" s="10" t="str">
        <f aca="false">B229</f>
        <v>1clic-ia.eu</v>
      </c>
      <c r="G229" s="10" t="str">
        <f aca="false">Config!$B$5</f>
        <v>network</v>
      </c>
      <c r="H229" s="10" t="str">
        <f aca="false">Config!$B$3</f>
        <v>2610_ff_lansare</v>
      </c>
      <c r="I229" s="10" t="str">
        <f aca="false">Config!$B$4</f>
        <v>general</v>
      </c>
      <c r="J229" s="10" t="str">
        <f aca="false">"https://"&amp;D229&amp;E229&amp;"?utm_source="&amp;F229&amp;"&amp;utm_medium="&amp;G229&amp;"&amp;utm_campaign="&amp;H229&amp;"&amp;utm_content="&amp;I229</f>
        <v>https://eu-112.eu/?utm_source=1clic-ia.eu&amp;utm_medium=network&amp;utm_campaign=2610_ff_lansare&amp;utm_content=general</v>
      </c>
    </row>
    <row r="230" customFormat="false" ht="15" hidden="false" customHeight="false" outlineLevel="0" collapsed="false">
      <c r="A230" s="10" t="s">
        <v>81</v>
      </c>
      <c r="B230" s="10" t="str">
        <f aca="false">INDEX('Site-uri'!$B$2:$B$20,MATCH(A230,'Site-uri'!$A$2:$A$20,0))</f>
        <v>1clic-ia.eu</v>
      </c>
      <c r="C230" s="10" t="s">
        <v>84</v>
      </c>
      <c r="D230" s="10" t="str">
        <f aca="false">INDEX('Site-uri'!$B$2:$B$20,MATCH(C230,'Site-uri'!$A$2:$A$20,0))</f>
        <v>1clic-ia.fr</v>
      </c>
      <c r="E230" s="10" t="str">
        <f aca="false">INDEX('Site-uri'!$C$2:$C$20,MATCH(C230,'Site-uri'!$A$2:$A$20,0))</f>
        <v>/</v>
      </c>
      <c r="F230" s="10" t="str">
        <f aca="false">B230</f>
        <v>1clic-ia.eu</v>
      </c>
      <c r="G230" s="10" t="str">
        <f aca="false">Config!$B$5</f>
        <v>network</v>
      </c>
      <c r="H230" s="10" t="str">
        <f aca="false">Config!$B$3</f>
        <v>2610_ff_lansare</v>
      </c>
      <c r="I230" s="10" t="str">
        <f aca="false">Config!$B$4</f>
        <v>general</v>
      </c>
      <c r="J230" s="10" t="str">
        <f aca="false">"https://"&amp;D230&amp;E230&amp;"?utm_source="&amp;F230&amp;"&amp;utm_medium="&amp;G230&amp;"&amp;utm_campaign="&amp;H230&amp;"&amp;utm_content="&amp;I230</f>
        <v>https://1clic-ia.fr/?utm_source=1clic-ia.eu&amp;utm_medium=network&amp;utm_campaign=2610_ff_lansare&amp;utm_content=general</v>
      </c>
    </row>
    <row r="231" customFormat="false" ht="15" hidden="false" customHeight="false" outlineLevel="0" collapsed="false">
      <c r="A231" s="10" t="s">
        <v>81</v>
      </c>
      <c r="B231" s="10" t="str">
        <f aca="false">INDEX('Site-uri'!$B$2:$B$20,MATCH(A231,'Site-uri'!$A$2:$A$20,0))</f>
        <v>1clic-ia.eu</v>
      </c>
      <c r="C231" s="10" t="s">
        <v>86</v>
      </c>
      <c r="D231" s="10" t="str">
        <f aca="false">INDEX('Site-uri'!$B$2:$B$20,MATCH(C231,'Site-uri'!$A$2:$A$20,0))</f>
        <v>firmsfinder.eu</v>
      </c>
      <c r="E231" s="10" t="str">
        <f aca="false">INDEX('Site-uri'!$C$2:$C$20,MATCH(C231,'Site-uri'!$A$2:$A$20,0))</f>
        <v>/</v>
      </c>
      <c r="F231" s="10" t="str">
        <f aca="false">B231</f>
        <v>1clic-ia.eu</v>
      </c>
      <c r="G231" s="10" t="str">
        <f aca="false">Config!$B$5</f>
        <v>network</v>
      </c>
      <c r="H231" s="10" t="str">
        <f aca="false">Config!$B$3</f>
        <v>2610_ff_lansare</v>
      </c>
      <c r="I231" s="10" t="str">
        <f aca="false">Config!$B$4</f>
        <v>general</v>
      </c>
      <c r="J231" s="10" t="str">
        <f aca="false">"https://"&amp;D231&amp;E231&amp;"?utm_source="&amp;F231&amp;"&amp;utm_medium="&amp;G231&amp;"&amp;utm_campaign="&amp;H231&amp;"&amp;utm_content="&amp;I231</f>
        <v>https://firmsfinder.eu/?utm_source=1clic-ia.eu&amp;utm_medium=network&amp;utm_campaign=2610_ff_lansare&amp;utm_content=general</v>
      </c>
    </row>
    <row r="232" customFormat="false" ht="15" hidden="false" customHeight="false" outlineLevel="0" collapsed="false">
      <c r="A232" s="10" t="s">
        <v>81</v>
      </c>
      <c r="B232" s="10" t="str">
        <f aca="false">INDEX('Site-uri'!$B$2:$B$20,MATCH(A232,'Site-uri'!$A$2:$A$20,0))</f>
        <v>1clic-ia.eu</v>
      </c>
      <c r="C232" s="10" t="s">
        <v>89</v>
      </c>
      <c r="D232" s="10" t="str">
        <f aca="false">INDEX('Site-uri'!$B$2:$B$20,MATCH(C232,'Site-uri'!$A$2:$A$20,0))</f>
        <v>b2b-ai-library.org</v>
      </c>
      <c r="E232" s="10" t="str">
        <f aca="false">INDEX('Site-uri'!$C$2:$C$20,MATCH(C232,'Site-uri'!$A$2:$A$20,0))</f>
        <v>/</v>
      </c>
      <c r="F232" s="10" t="str">
        <f aca="false">B232</f>
        <v>1clic-ia.eu</v>
      </c>
      <c r="G232" s="10" t="str">
        <f aca="false">Config!$B$5</f>
        <v>network</v>
      </c>
      <c r="H232" s="10" t="str">
        <f aca="false">Config!$B$3</f>
        <v>2610_ff_lansare</v>
      </c>
      <c r="I232" s="10" t="str">
        <f aca="false">Config!$B$4</f>
        <v>general</v>
      </c>
      <c r="J232" s="10" t="str">
        <f aca="false">"https://"&amp;D232&amp;E232&amp;"?utm_source="&amp;F232&amp;"&amp;utm_medium="&amp;G232&amp;"&amp;utm_campaign="&amp;H232&amp;"&amp;utm_content="&amp;I232</f>
        <v>https://b2b-ai-library.org/?utm_source=1clic-ia.eu&amp;utm_medium=network&amp;utm_campaign=2610_ff_lansare&amp;utm_content=general</v>
      </c>
    </row>
    <row r="233" customFormat="false" ht="15" hidden="false" customHeight="false" outlineLevel="0" collapsed="false">
      <c r="A233" s="10" t="s">
        <v>81</v>
      </c>
      <c r="B233" s="10" t="str">
        <f aca="false">INDEX('Site-uri'!$B$2:$B$20,MATCH(A233,'Site-uri'!$A$2:$A$20,0))</f>
        <v>1clic-ia.eu</v>
      </c>
      <c r="C233" s="10" t="s">
        <v>91</v>
      </c>
      <c r="D233" s="10" t="str">
        <f aca="false">INDEX('Site-uri'!$B$2:$B$20,MATCH(C233,'Site-uri'!$A$2:$A$20,0))</f>
        <v>the3webs.com</v>
      </c>
      <c r="E233" s="10" t="str">
        <f aca="false">INDEX('Site-uri'!$C$2:$C$20,MATCH(C233,'Site-uri'!$A$2:$A$20,0))</f>
        <v>/</v>
      </c>
      <c r="F233" s="10" t="str">
        <f aca="false">B233</f>
        <v>1clic-ia.eu</v>
      </c>
      <c r="G233" s="10" t="str">
        <f aca="false">Config!$B$5</f>
        <v>network</v>
      </c>
      <c r="H233" s="10" t="str">
        <f aca="false">Config!$B$3</f>
        <v>2610_ff_lansare</v>
      </c>
      <c r="I233" s="10" t="str">
        <f aca="false">Config!$B$4</f>
        <v>general</v>
      </c>
      <c r="J233" s="10" t="str">
        <f aca="false">"https://"&amp;D233&amp;E233&amp;"?utm_source="&amp;F233&amp;"&amp;utm_medium="&amp;G233&amp;"&amp;utm_campaign="&amp;H233&amp;"&amp;utm_content="&amp;I233</f>
        <v>https://the3webs.com/?utm_source=1clic-ia.eu&amp;utm_medium=network&amp;utm_campaign=2610_ff_lansare&amp;utm_content=general</v>
      </c>
    </row>
    <row r="234" customFormat="false" ht="15" hidden="false" customHeight="false" outlineLevel="0" collapsed="false">
      <c r="A234" s="10" t="s">
        <v>81</v>
      </c>
      <c r="B234" s="10" t="str">
        <f aca="false">INDEX('Site-uri'!$B$2:$B$20,MATCH(A234,'Site-uri'!$A$2:$A$20,0))</f>
        <v>1clic-ia.eu</v>
      </c>
      <c r="C234" s="10" t="s">
        <v>94</v>
      </c>
      <c r="D234" s="10" t="str">
        <f aca="false">INDEX('Site-uri'!$B$2:$B$20,MATCH(C234,'Site-uri'!$A$2:$A$20,0))</f>
        <v>floride-e2.com</v>
      </c>
      <c r="E234" s="10" t="str">
        <f aca="false">INDEX('Site-uri'!$C$2:$C$20,MATCH(C234,'Site-uri'!$A$2:$A$20,0))</f>
        <v>/</v>
      </c>
      <c r="F234" s="10" t="str">
        <f aca="false">B234</f>
        <v>1clic-ia.eu</v>
      </c>
      <c r="G234" s="10" t="str">
        <f aca="false">Config!$B$5</f>
        <v>network</v>
      </c>
      <c r="H234" s="10" t="str">
        <f aca="false">Config!$B$3</f>
        <v>2610_ff_lansare</v>
      </c>
      <c r="I234" s="10" t="str">
        <f aca="false">Config!$B$4</f>
        <v>general</v>
      </c>
      <c r="J234" s="10" t="str">
        <f aca="false">"https://"&amp;D234&amp;E234&amp;"?utm_source="&amp;F234&amp;"&amp;utm_medium="&amp;G234&amp;"&amp;utm_campaign="&amp;H234&amp;"&amp;utm_content="&amp;I234</f>
        <v>https://floride-e2.com/?utm_source=1clic-ia.eu&amp;utm_medium=network&amp;utm_campaign=2610_ff_lansare&amp;utm_content=general</v>
      </c>
    </row>
    <row r="235" customFormat="false" ht="15" hidden="false" customHeight="false" outlineLevel="0" collapsed="false">
      <c r="A235" s="10" t="s">
        <v>81</v>
      </c>
      <c r="B235" s="10" t="str">
        <f aca="false">INDEX('Site-uri'!$B$2:$B$20,MATCH(A235,'Site-uri'!$A$2:$A$20,0))</f>
        <v>1clic-ia.eu</v>
      </c>
      <c r="C235" s="10" t="s">
        <v>96</v>
      </c>
      <c r="D235" s="10" t="str">
        <f aca="false">INDEX('Site-uri'!$B$2:$B$20,MATCH(C235,'Site-uri'!$A$2:$A$20,0))</f>
        <v>ecbtax.com</v>
      </c>
      <c r="E235" s="10" t="str">
        <f aca="false">INDEX('Site-uri'!$C$2:$C$20,MATCH(C235,'Site-uri'!$A$2:$A$20,0))</f>
        <v>/</v>
      </c>
      <c r="F235" s="10" t="str">
        <f aca="false">B235</f>
        <v>1clic-ia.eu</v>
      </c>
      <c r="G235" s="10" t="str">
        <f aca="false">Config!$B$5</f>
        <v>network</v>
      </c>
      <c r="H235" s="10" t="str">
        <f aca="false">Config!$B$3</f>
        <v>2610_ff_lansare</v>
      </c>
      <c r="I235" s="10" t="str">
        <f aca="false">Config!$B$4</f>
        <v>general</v>
      </c>
      <c r="J235" s="10" t="str">
        <f aca="false">"https://"&amp;D235&amp;E235&amp;"?utm_source="&amp;F235&amp;"&amp;utm_medium="&amp;G235&amp;"&amp;utm_campaign="&amp;H235&amp;"&amp;utm_content="&amp;I235</f>
        <v>https://ecbtax.com/?utm_source=1clic-ia.eu&amp;utm_medium=network&amp;utm_campaign=2610_ff_lansare&amp;utm_content=general</v>
      </c>
    </row>
    <row r="236" customFormat="false" ht="15" hidden="false" customHeight="false" outlineLevel="0" collapsed="false">
      <c r="A236" s="10" t="s">
        <v>84</v>
      </c>
      <c r="B236" s="10" t="str">
        <f aca="false">INDEX('Site-uri'!$B$2:$B$20,MATCH(A236,'Site-uri'!$A$2:$A$20,0))</f>
        <v>1clic-ia.fr</v>
      </c>
      <c r="C236" s="10" t="s">
        <v>45</v>
      </c>
      <c r="D236" s="10" t="str">
        <f aca="false">INDEX('Site-uri'!$B$2:$B$20,MATCH(C236,'Site-uri'!$A$2:$A$20,0))</f>
        <v>5thelement.ai</v>
      </c>
      <c r="E236" s="10" t="str">
        <f aca="false">INDEX('Site-uri'!$C$2:$C$20,MATCH(C236,'Site-uri'!$A$2:$A$20,0))</f>
        <v>/</v>
      </c>
      <c r="F236" s="10" t="str">
        <f aca="false">B236</f>
        <v>1clic-ia.fr</v>
      </c>
      <c r="G236" s="10" t="str">
        <f aca="false">Config!$B$5</f>
        <v>network</v>
      </c>
      <c r="H236" s="10" t="str">
        <f aca="false">Config!$B$3</f>
        <v>2610_ff_lansare</v>
      </c>
      <c r="I236" s="10" t="str">
        <f aca="false">Config!$B$4</f>
        <v>general</v>
      </c>
      <c r="J236" s="10" t="str">
        <f aca="false">"https://"&amp;D236&amp;E236&amp;"?utm_source="&amp;F236&amp;"&amp;utm_medium="&amp;G236&amp;"&amp;utm_campaign="&amp;H236&amp;"&amp;utm_content="&amp;I236</f>
        <v>https://5thelement.ai/?utm_source=1clic-ia.fr&amp;utm_medium=network&amp;utm_campaign=2610_ff_lansare&amp;utm_content=general</v>
      </c>
    </row>
    <row r="237" customFormat="false" ht="15" hidden="false" customHeight="false" outlineLevel="0" collapsed="false">
      <c r="A237" s="10" t="s">
        <v>84</v>
      </c>
      <c r="B237" s="10" t="str">
        <f aca="false">INDEX('Site-uri'!$B$2:$B$20,MATCH(A237,'Site-uri'!$A$2:$A$20,0))</f>
        <v>1clic-ia.fr</v>
      </c>
      <c r="C237" s="10" t="s">
        <v>49</v>
      </c>
      <c r="D237" s="10" t="str">
        <f aca="false">INDEX('Site-uri'!$B$2:$B$20,MATCH(C237,'Site-uri'!$A$2:$A$20,0))</f>
        <v>aiventure.ro</v>
      </c>
      <c r="E237" s="10" t="str">
        <f aca="false">INDEX('Site-uri'!$C$2:$C$20,MATCH(C237,'Site-uri'!$A$2:$A$20,0))</f>
        <v>/</v>
      </c>
      <c r="F237" s="10" t="str">
        <f aca="false">B237</f>
        <v>1clic-ia.fr</v>
      </c>
      <c r="G237" s="10" t="str">
        <f aca="false">Config!$B$5</f>
        <v>network</v>
      </c>
      <c r="H237" s="10" t="str">
        <f aca="false">Config!$B$3</f>
        <v>2610_ff_lansare</v>
      </c>
      <c r="I237" s="10" t="str">
        <f aca="false">Config!$B$4</f>
        <v>general</v>
      </c>
      <c r="J237" s="10" t="str">
        <f aca="false">"https://"&amp;D237&amp;E237&amp;"?utm_source="&amp;F237&amp;"&amp;utm_medium="&amp;G237&amp;"&amp;utm_campaign="&amp;H237&amp;"&amp;utm_content="&amp;I237</f>
        <v>https://aiventure.ro/?utm_source=1clic-ia.fr&amp;utm_medium=network&amp;utm_campaign=2610_ff_lansare&amp;utm_content=general</v>
      </c>
    </row>
    <row r="238" customFormat="false" ht="15" hidden="false" customHeight="false" outlineLevel="0" collapsed="false">
      <c r="A238" s="10" t="s">
        <v>84</v>
      </c>
      <c r="B238" s="10" t="str">
        <f aca="false">INDEX('Site-uri'!$B$2:$B$20,MATCH(A238,'Site-uri'!$A$2:$A$20,0))</f>
        <v>1clic-ia.fr</v>
      </c>
      <c r="C238" s="10" t="s">
        <v>52</v>
      </c>
      <c r="D238" s="10" t="str">
        <f aca="false">INDEX('Site-uri'!$B$2:$B$20,MATCH(C238,'Site-uri'!$A$2:$A$20,0))</f>
        <v>aiventure.uk</v>
      </c>
      <c r="E238" s="10" t="str">
        <f aca="false">INDEX('Site-uri'!$C$2:$C$20,MATCH(C238,'Site-uri'!$A$2:$A$20,0))</f>
        <v>/</v>
      </c>
      <c r="F238" s="10" t="str">
        <f aca="false">B238</f>
        <v>1clic-ia.fr</v>
      </c>
      <c r="G238" s="10" t="str">
        <f aca="false">Config!$B$5</f>
        <v>network</v>
      </c>
      <c r="H238" s="10" t="str">
        <f aca="false">Config!$B$3</f>
        <v>2610_ff_lansare</v>
      </c>
      <c r="I238" s="10" t="str">
        <f aca="false">Config!$B$4</f>
        <v>general</v>
      </c>
      <c r="J238" s="10" t="str">
        <f aca="false">"https://"&amp;D238&amp;E238&amp;"?utm_source="&amp;F238&amp;"&amp;utm_medium="&amp;G238&amp;"&amp;utm_campaign="&amp;H238&amp;"&amp;utm_content="&amp;I238</f>
        <v>https://aiventure.uk/?utm_source=1clic-ia.fr&amp;utm_medium=network&amp;utm_campaign=2610_ff_lansare&amp;utm_content=general</v>
      </c>
    </row>
    <row r="239" customFormat="false" ht="15" hidden="false" customHeight="false" outlineLevel="0" collapsed="false">
      <c r="A239" s="10" t="s">
        <v>84</v>
      </c>
      <c r="B239" s="10" t="str">
        <f aca="false">INDEX('Site-uri'!$B$2:$B$20,MATCH(A239,'Site-uri'!$A$2:$A$20,0))</f>
        <v>1clic-ia.fr</v>
      </c>
      <c r="C239" s="10" t="s">
        <v>55</v>
      </c>
      <c r="D239" s="10" t="str">
        <f aca="false">INDEX('Site-uri'!$B$2:$B$20,MATCH(C239,'Site-uri'!$A$2:$A$20,0))</f>
        <v>3webobs.com</v>
      </c>
      <c r="E239" s="10" t="str">
        <f aca="false">INDEX('Site-uri'!$C$2:$C$20,MATCH(C239,'Site-uri'!$A$2:$A$20,0))</f>
        <v>/</v>
      </c>
      <c r="F239" s="10" t="str">
        <f aca="false">B239</f>
        <v>1clic-ia.fr</v>
      </c>
      <c r="G239" s="10" t="str">
        <f aca="false">Config!$B$5</f>
        <v>network</v>
      </c>
      <c r="H239" s="10" t="str">
        <f aca="false">Config!$B$3</f>
        <v>2610_ff_lansare</v>
      </c>
      <c r="I239" s="10" t="str">
        <f aca="false">Config!$B$4</f>
        <v>general</v>
      </c>
      <c r="J239" s="10" t="str">
        <f aca="false">"https://"&amp;D239&amp;E239&amp;"?utm_source="&amp;F239&amp;"&amp;utm_medium="&amp;G239&amp;"&amp;utm_campaign="&amp;H239&amp;"&amp;utm_content="&amp;I239</f>
        <v>https://3webobs.com/?utm_source=1clic-ia.fr&amp;utm_medium=network&amp;utm_campaign=2610_ff_lansare&amp;utm_content=general</v>
      </c>
    </row>
    <row r="240" customFormat="false" ht="15" hidden="false" customHeight="false" outlineLevel="0" collapsed="false">
      <c r="A240" s="10" t="s">
        <v>84</v>
      </c>
      <c r="B240" s="10" t="str">
        <f aca="false">INDEX('Site-uri'!$B$2:$B$20,MATCH(A240,'Site-uri'!$A$2:$A$20,0))</f>
        <v>1clic-ia.fr</v>
      </c>
      <c r="C240" s="10" t="s">
        <v>58</v>
      </c>
      <c r="D240" s="10" t="str">
        <f aca="false">INDEX('Site-uri'!$B$2:$B$20,MATCH(C240,'Site-uri'!$A$2:$A$20,0))</f>
        <v>ai-lens.eu</v>
      </c>
      <c r="E240" s="10" t="str">
        <f aca="false">INDEX('Site-uri'!$C$2:$C$20,MATCH(C240,'Site-uri'!$A$2:$A$20,0))</f>
        <v>/</v>
      </c>
      <c r="F240" s="10" t="str">
        <f aca="false">B240</f>
        <v>1clic-ia.fr</v>
      </c>
      <c r="G240" s="10" t="str">
        <f aca="false">Config!$B$5</f>
        <v>network</v>
      </c>
      <c r="H240" s="10" t="str">
        <f aca="false">Config!$B$3</f>
        <v>2610_ff_lansare</v>
      </c>
      <c r="I240" s="10" t="str">
        <f aca="false">Config!$B$4</f>
        <v>general</v>
      </c>
      <c r="J240" s="10" t="str">
        <f aca="false">"https://"&amp;D240&amp;E240&amp;"?utm_source="&amp;F240&amp;"&amp;utm_medium="&amp;G240&amp;"&amp;utm_campaign="&amp;H240&amp;"&amp;utm_content="&amp;I240</f>
        <v>https://ai-lens.eu/?utm_source=1clic-ia.fr&amp;utm_medium=network&amp;utm_campaign=2610_ff_lansare&amp;utm_content=general</v>
      </c>
    </row>
    <row r="241" customFormat="false" ht="15" hidden="false" customHeight="false" outlineLevel="0" collapsed="false">
      <c r="A241" s="10" t="s">
        <v>84</v>
      </c>
      <c r="B241" s="10" t="str">
        <f aca="false">INDEX('Site-uri'!$B$2:$B$20,MATCH(A241,'Site-uri'!$A$2:$A$20,0))</f>
        <v>1clic-ia.fr</v>
      </c>
      <c r="C241" s="10" t="s">
        <v>61</v>
      </c>
      <c r="D241" s="10" t="str">
        <f aca="false">INDEX('Site-uri'!$B$2:$B$20,MATCH(C241,'Site-uri'!$A$2:$A$20,0))</f>
        <v>aireadyinjector.com</v>
      </c>
      <c r="E241" s="10" t="str">
        <f aca="false">INDEX('Site-uri'!$C$2:$C$20,MATCH(C241,'Site-uri'!$A$2:$A$20,0))</f>
        <v>/</v>
      </c>
      <c r="F241" s="10" t="str">
        <f aca="false">B241</f>
        <v>1clic-ia.fr</v>
      </c>
      <c r="G241" s="10" t="str">
        <f aca="false">Config!$B$5</f>
        <v>network</v>
      </c>
      <c r="H241" s="10" t="str">
        <f aca="false">Config!$B$3</f>
        <v>2610_ff_lansare</v>
      </c>
      <c r="I241" s="10" t="str">
        <f aca="false">Config!$B$4</f>
        <v>general</v>
      </c>
      <c r="J241" s="10" t="str">
        <f aca="false">"https://"&amp;D241&amp;E241&amp;"?utm_source="&amp;F241&amp;"&amp;utm_medium="&amp;G241&amp;"&amp;utm_campaign="&amp;H241&amp;"&amp;utm_content="&amp;I241</f>
        <v>https://aireadyinjector.com/?utm_source=1clic-ia.fr&amp;utm_medium=network&amp;utm_campaign=2610_ff_lansare&amp;utm_content=general</v>
      </c>
    </row>
    <row r="242" customFormat="false" ht="15" hidden="false" customHeight="false" outlineLevel="0" collapsed="false">
      <c r="A242" s="10" t="s">
        <v>84</v>
      </c>
      <c r="B242" s="10" t="str">
        <f aca="false">INDEX('Site-uri'!$B$2:$B$20,MATCH(A242,'Site-uri'!$A$2:$A$20,0))</f>
        <v>1clic-ia.fr</v>
      </c>
      <c r="C242" s="10" t="s">
        <v>64</v>
      </c>
      <c r="D242" s="10" t="str">
        <f aca="false">INDEX('Site-uri'!$B$2:$B$20,MATCH(C242,'Site-uri'!$A$2:$A$20,0))</f>
        <v>eu-ai-audit.eu</v>
      </c>
      <c r="E242" s="10" t="str">
        <f aca="false">INDEX('Site-uri'!$C$2:$C$20,MATCH(C242,'Site-uri'!$A$2:$A$20,0))</f>
        <v>/</v>
      </c>
      <c r="F242" s="10" t="str">
        <f aca="false">B242</f>
        <v>1clic-ia.fr</v>
      </c>
      <c r="G242" s="10" t="str">
        <f aca="false">Config!$B$5</f>
        <v>network</v>
      </c>
      <c r="H242" s="10" t="str">
        <f aca="false">Config!$B$3</f>
        <v>2610_ff_lansare</v>
      </c>
      <c r="I242" s="10" t="str">
        <f aca="false">Config!$B$4</f>
        <v>general</v>
      </c>
      <c r="J242" s="10" t="str">
        <f aca="false">"https://"&amp;D242&amp;E242&amp;"?utm_source="&amp;F242&amp;"&amp;utm_medium="&amp;G242&amp;"&amp;utm_campaign="&amp;H242&amp;"&amp;utm_content="&amp;I242</f>
        <v>https://eu-ai-audit.eu/?utm_source=1clic-ia.fr&amp;utm_medium=network&amp;utm_campaign=2610_ff_lansare&amp;utm_content=general</v>
      </c>
    </row>
    <row r="243" customFormat="false" ht="15" hidden="false" customHeight="false" outlineLevel="0" collapsed="false">
      <c r="A243" s="10" t="s">
        <v>84</v>
      </c>
      <c r="B243" s="10" t="str">
        <f aca="false">INDEX('Site-uri'!$B$2:$B$20,MATCH(A243,'Site-uri'!$A$2:$A$20,0))</f>
        <v>1clic-ia.fr</v>
      </c>
      <c r="C243" s="10" t="s">
        <v>67</v>
      </c>
      <c r="D243" s="10" t="str">
        <f aca="false">INDEX('Site-uri'!$B$2:$B$20,MATCH(C243,'Site-uri'!$A$2:$A$20,0))</f>
        <v>eu-ai-ready.eu</v>
      </c>
      <c r="E243" s="10" t="str">
        <f aca="false">INDEX('Site-uri'!$C$2:$C$20,MATCH(C243,'Site-uri'!$A$2:$A$20,0))</f>
        <v>/</v>
      </c>
      <c r="F243" s="10" t="str">
        <f aca="false">B243</f>
        <v>1clic-ia.fr</v>
      </c>
      <c r="G243" s="10" t="str">
        <f aca="false">Config!$B$5</f>
        <v>network</v>
      </c>
      <c r="H243" s="10" t="str">
        <f aca="false">Config!$B$3</f>
        <v>2610_ff_lansare</v>
      </c>
      <c r="I243" s="10" t="str">
        <f aca="false">Config!$B$4</f>
        <v>general</v>
      </c>
      <c r="J243" s="10" t="str">
        <f aca="false">"https://"&amp;D243&amp;E243&amp;"?utm_source="&amp;F243&amp;"&amp;utm_medium="&amp;G243&amp;"&amp;utm_campaign="&amp;H243&amp;"&amp;utm_content="&amp;I243</f>
        <v>https://eu-ai-ready.eu/?utm_source=1clic-ia.fr&amp;utm_medium=network&amp;utm_campaign=2610_ff_lansare&amp;utm_content=general</v>
      </c>
    </row>
    <row r="244" customFormat="false" ht="15" hidden="false" customHeight="false" outlineLevel="0" collapsed="false">
      <c r="A244" s="10" t="s">
        <v>84</v>
      </c>
      <c r="B244" s="10" t="str">
        <f aca="false">INDEX('Site-uri'!$B$2:$B$20,MATCH(A244,'Site-uri'!$A$2:$A$20,0))</f>
        <v>1clic-ia.fr</v>
      </c>
      <c r="C244" s="10" t="s">
        <v>69</v>
      </c>
      <c r="D244" s="10" t="str">
        <f aca="false">INDEX('Site-uri'!$B$2:$B$20,MATCH(C244,'Site-uri'!$A$2:$A$20,0))</f>
        <v>eu-ai-act.ro</v>
      </c>
      <c r="E244" s="10" t="str">
        <f aca="false">INDEX('Site-uri'!$C$2:$C$20,MATCH(C244,'Site-uri'!$A$2:$A$20,0))</f>
        <v>/</v>
      </c>
      <c r="F244" s="10" t="str">
        <f aca="false">B244</f>
        <v>1clic-ia.fr</v>
      </c>
      <c r="G244" s="10" t="str">
        <f aca="false">Config!$B$5</f>
        <v>network</v>
      </c>
      <c r="H244" s="10" t="str">
        <f aca="false">Config!$B$3</f>
        <v>2610_ff_lansare</v>
      </c>
      <c r="I244" s="10" t="str">
        <f aca="false">Config!$B$4</f>
        <v>general</v>
      </c>
      <c r="J244" s="10" t="str">
        <f aca="false">"https://"&amp;D244&amp;E244&amp;"?utm_source="&amp;F244&amp;"&amp;utm_medium="&amp;G244&amp;"&amp;utm_campaign="&amp;H244&amp;"&amp;utm_content="&amp;I244</f>
        <v>https://eu-ai-act.ro/?utm_source=1clic-ia.fr&amp;utm_medium=network&amp;utm_campaign=2610_ff_lansare&amp;utm_content=general</v>
      </c>
    </row>
    <row r="245" customFormat="false" ht="15" hidden="false" customHeight="false" outlineLevel="0" collapsed="false">
      <c r="A245" s="10" t="s">
        <v>84</v>
      </c>
      <c r="B245" s="10" t="str">
        <f aca="false">INDEX('Site-uri'!$B$2:$B$20,MATCH(A245,'Site-uri'!$A$2:$A$20,0))</f>
        <v>1clic-ia.fr</v>
      </c>
      <c r="C245" s="10" t="s">
        <v>72</v>
      </c>
      <c r="D245" s="10" t="str">
        <f aca="false">INDEX('Site-uri'!$B$2:$B$20,MATCH(C245,'Site-uri'!$A$2:$A$20,0))</f>
        <v>eu-ai-act-ready.eu</v>
      </c>
      <c r="E245" s="10" t="str">
        <f aca="false">INDEX('Site-uri'!$C$2:$C$20,MATCH(C245,'Site-uri'!$A$2:$A$20,0))</f>
        <v>/</v>
      </c>
      <c r="F245" s="10" t="str">
        <f aca="false">B245</f>
        <v>1clic-ia.fr</v>
      </c>
      <c r="G245" s="10" t="str">
        <f aca="false">Config!$B$5</f>
        <v>network</v>
      </c>
      <c r="H245" s="10" t="str">
        <f aca="false">Config!$B$3</f>
        <v>2610_ff_lansare</v>
      </c>
      <c r="I245" s="10" t="str">
        <f aca="false">Config!$B$4</f>
        <v>general</v>
      </c>
      <c r="J245" s="10" t="str">
        <f aca="false">"https://"&amp;D245&amp;E245&amp;"?utm_source="&amp;F245&amp;"&amp;utm_medium="&amp;G245&amp;"&amp;utm_campaign="&amp;H245&amp;"&amp;utm_content="&amp;I245</f>
        <v>https://eu-ai-act-ready.eu/?utm_source=1clic-ia.fr&amp;utm_medium=network&amp;utm_campaign=2610_ff_lansare&amp;utm_content=general</v>
      </c>
    </row>
    <row r="246" customFormat="false" ht="15" hidden="false" customHeight="false" outlineLevel="0" collapsed="false">
      <c r="A246" s="10" t="s">
        <v>84</v>
      </c>
      <c r="B246" s="10" t="str">
        <f aca="false">INDEX('Site-uri'!$B$2:$B$20,MATCH(A246,'Site-uri'!$A$2:$A$20,0))</f>
        <v>1clic-ia.fr</v>
      </c>
      <c r="C246" s="10" t="s">
        <v>75</v>
      </c>
      <c r="D246" s="10" t="str">
        <f aca="false">INDEX('Site-uri'!$B$2:$B$20,MATCH(C246,'Site-uri'!$A$2:$A$20,0))</f>
        <v>eu-112.ro</v>
      </c>
      <c r="E246" s="10" t="str">
        <f aca="false">INDEX('Site-uri'!$C$2:$C$20,MATCH(C246,'Site-uri'!$A$2:$A$20,0))</f>
        <v>/</v>
      </c>
      <c r="F246" s="10" t="str">
        <f aca="false">B246</f>
        <v>1clic-ia.fr</v>
      </c>
      <c r="G246" s="10" t="str">
        <f aca="false">Config!$B$5</f>
        <v>network</v>
      </c>
      <c r="H246" s="10" t="str">
        <f aca="false">Config!$B$3</f>
        <v>2610_ff_lansare</v>
      </c>
      <c r="I246" s="10" t="str">
        <f aca="false">Config!$B$4</f>
        <v>general</v>
      </c>
      <c r="J246" s="10" t="str">
        <f aca="false">"https://"&amp;D246&amp;E246&amp;"?utm_source="&amp;F246&amp;"&amp;utm_medium="&amp;G246&amp;"&amp;utm_campaign="&amp;H246&amp;"&amp;utm_content="&amp;I246</f>
        <v>https://eu-112.ro/?utm_source=1clic-ia.fr&amp;utm_medium=network&amp;utm_campaign=2610_ff_lansare&amp;utm_content=general</v>
      </c>
    </row>
    <row r="247" customFormat="false" ht="15" hidden="false" customHeight="false" outlineLevel="0" collapsed="false">
      <c r="A247" s="10" t="s">
        <v>84</v>
      </c>
      <c r="B247" s="10" t="str">
        <f aca="false">INDEX('Site-uri'!$B$2:$B$20,MATCH(A247,'Site-uri'!$A$2:$A$20,0))</f>
        <v>1clic-ia.fr</v>
      </c>
      <c r="C247" s="10" t="s">
        <v>78</v>
      </c>
      <c r="D247" s="10" t="str">
        <f aca="false">INDEX('Site-uri'!$B$2:$B$20,MATCH(C247,'Site-uri'!$A$2:$A$20,0))</f>
        <v>eu-112.eu</v>
      </c>
      <c r="E247" s="10" t="str">
        <f aca="false">INDEX('Site-uri'!$C$2:$C$20,MATCH(C247,'Site-uri'!$A$2:$A$20,0))</f>
        <v>/</v>
      </c>
      <c r="F247" s="10" t="str">
        <f aca="false">B247</f>
        <v>1clic-ia.fr</v>
      </c>
      <c r="G247" s="10" t="str">
        <f aca="false">Config!$B$5</f>
        <v>network</v>
      </c>
      <c r="H247" s="10" t="str">
        <f aca="false">Config!$B$3</f>
        <v>2610_ff_lansare</v>
      </c>
      <c r="I247" s="10" t="str">
        <f aca="false">Config!$B$4</f>
        <v>general</v>
      </c>
      <c r="J247" s="10" t="str">
        <f aca="false">"https://"&amp;D247&amp;E247&amp;"?utm_source="&amp;F247&amp;"&amp;utm_medium="&amp;G247&amp;"&amp;utm_campaign="&amp;H247&amp;"&amp;utm_content="&amp;I247</f>
        <v>https://eu-112.eu/?utm_source=1clic-ia.fr&amp;utm_medium=network&amp;utm_campaign=2610_ff_lansare&amp;utm_content=general</v>
      </c>
    </row>
    <row r="248" customFormat="false" ht="15" hidden="false" customHeight="false" outlineLevel="0" collapsed="false">
      <c r="A248" s="10" t="s">
        <v>84</v>
      </c>
      <c r="B248" s="10" t="str">
        <f aca="false">INDEX('Site-uri'!$B$2:$B$20,MATCH(A248,'Site-uri'!$A$2:$A$20,0))</f>
        <v>1clic-ia.fr</v>
      </c>
      <c r="C248" s="10" t="s">
        <v>81</v>
      </c>
      <c r="D248" s="10" t="str">
        <f aca="false">INDEX('Site-uri'!$B$2:$B$20,MATCH(C248,'Site-uri'!$A$2:$A$20,0))</f>
        <v>1clic-ia.eu</v>
      </c>
      <c r="E248" s="10" t="str">
        <f aca="false">INDEX('Site-uri'!$C$2:$C$20,MATCH(C248,'Site-uri'!$A$2:$A$20,0))</f>
        <v>/</v>
      </c>
      <c r="F248" s="10" t="str">
        <f aca="false">B248</f>
        <v>1clic-ia.fr</v>
      </c>
      <c r="G248" s="10" t="str">
        <f aca="false">Config!$B$5</f>
        <v>network</v>
      </c>
      <c r="H248" s="10" t="str">
        <f aca="false">Config!$B$3</f>
        <v>2610_ff_lansare</v>
      </c>
      <c r="I248" s="10" t="str">
        <f aca="false">Config!$B$4</f>
        <v>general</v>
      </c>
      <c r="J248" s="10" t="str">
        <f aca="false">"https://"&amp;D248&amp;E248&amp;"?utm_source="&amp;F248&amp;"&amp;utm_medium="&amp;G248&amp;"&amp;utm_campaign="&amp;H248&amp;"&amp;utm_content="&amp;I248</f>
        <v>https://1clic-ia.eu/?utm_source=1clic-ia.fr&amp;utm_medium=network&amp;utm_campaign=2610_ff_lansare&amp;utm_content=general</v>
      </c>
    </row>
    <row r="249" customFormat="false" ht="15" hidden="false" customHeight="false" outlineLevel="0" collapsed="false">
      <c r="A249" s="10" t="s">
        <v>84</v>
      </c>
      <c r="B249" s="10" t="str">
        <f aca="false">INDEX('Site-uri'!$B$2:$B$20,MATCH(A249,'Site-uri'!$A$2:$A$20,0))</f>
        <v>1clic-ia.fr</v>
      </c>
      <c r="C249" s="10" t="s">
        <v>86</v>
      </c>
      <c r="D249" s="10" t="str">
        <f aca="false">INDEX('Site-uri'!$B$2:$B$20,MATCH(C249,'Site-uri'!$A$2:$A$20,0))</f>
        <v>firmsfinder.eu</v>
      </c>
      <c r="E249" s="10" t="str">
        <f aca="false">INDEX('Site-uri'!$C$2:$C$20,MATCH(C249,'Site-uri'!$A$2:$A$20,0))</f>
        <v>/</v>
      </c>
      <c r="F249" s="10" t="str">
        <f aca="false">B249</f>
        <v>1clic-ia.fr</v>
      </c>
      <c r="G249" s="10" t="str">
        <f aca="false">Config!$B$5</f>
        <v>network</v>
      </c>
      <c r="H249" s="10" t="str">
        <f aca="false">Config!$B$3</f>
        <v>2610_ff_lansare</v>
      </c>
      <c r="I249" s="10" t="str">
        <f aca="false">Config!$B$4</f>
        <v>general</v>
      </c>
      <c r="J249" s="10" t="str">
        <f aca="false">"https://"&amp;D249&amp;E249&amp;"?utm_source="&amp;F249&amp;"&amp;utm_medium="&amp;G249&amp;"&amp;utm_campaign="&amp;H249&amp;"&amp;utm_content="&amp;I249</f>
        <v>https://firmsfinder.eu/?utm_source=1clic-ia.fr&amp;utm_medium=network&amp;utm_campaign=2610_ff_lansare&amp;utm_content=general</v>
      </c>
    </row>
    <row r="250" customFormat="false" ht="15" hidden="false" customHeight="false" outlineLevel="0" collapsed="false">
      <c r="A250" s="10" t="s">
        <v>84</v>
      </c>
      <c r="B250" s="10" t="str">
        <f aca="false">INDEX('Site-uri'!$B$2:$B$20,MATCH(A250,'Site-uri'!$A$2:$A$20,0))</f>
        <v>1clic-ia.fr</v>
      </c>
      <c r="C250" s="10" t="s">
        <v>89</v>
      </c>
      <c r="D250" s="10" t="str">
        <f aca="false">INDEX('Site-uri'!$B$2:$B$20,MATCH(C250,'Site-uri'!$A$2:$A$20,0))</f>
        <v>b2b-ai-library.org</v>
      </c>
      <c r="E250" s="10" t="str">
        <f aca="false">INDEX('Site-uri'!$C$2:$C$20,MATCH(C250,'Site-uri'!$A$2:$A$20,0))</f>
        <v>/</v>
      </c>
      <c r="F250" s="10" t="str">
        <f aca="false">B250</f>
        <v>1clic-ia.fr</v>
      </c>
      <c r="G250" s="10" t="str">
        <f aca="false">Config!$B$5</f>
        <v>network</v>
      </c>
      <c r="H250" s="10" t="str">
        <f aca="false">Config!$B$3</f>
        <v>2610_ff_lansare</v>
      </c>
      <c r="I250" s="10" t="str">
        <f aca="false">Config!$B$4</f>
        <v>general</v>
      </c>
      <c r="J250" s="10" t="str">
        <f aca="false">"https://"&amp;D250&amp;E250&amp;"?utm_source="&amp;F250&amp;"&amp;utm_medium="&amp;G250&amp;"&amp;utm_campaign="&amp;H250&amp;"&amp;utm_content="&amp;I250</f>
        <v>https://b2b-ai-library.org/?utm_source=1clic-ia.fr&amp;utm_medium=network&amp;utm_campaign=2610_ff_lansare&amp;utm_content=general</v>
      </c>
    </row>
    <row r="251" customFormat="false" ht="15" hidden="false" customHeight="false" outlineLevel="0" collapsed="false">
      <c r="A251" s="10" t="s">
        <v>84</v>
      </c>
      <c r="B251" s="10" t="str">
        <f aca="false">INDEX('Site-uri'!$B$2:$B$20,MATCH(A251,'Site-uri'!$A$2:$A$20,0))</f>
        <v>1clic-ia.fr</v>
      </c>
      <c r="C251" s="10" t="s">
        <v>91</v>
      </c>
      <c r="D251" s="10" t="str">
        <f aca="false">INDEX('Site-uri'!$B$2:$B$20,MATCH(C251,'Site-uri'!$A$2:$A$20,0))</f>
        <v>the3webs.com</v>
      </c>
      <c r="E251" s="10" t="str">
        <f aca="false">INDEX('Site-uri'!$C$2:$C$20,MATCH(C251,'Site-uri'!$A$2:$A$20,0))</f>
        <v>/</v>
      </c>
      <c r="F251" s="10" t="str">
        <f aca="false">B251</f>
        <v>1clic-ia.fr</v>
      </c>
      <c r="G251" s="10" t="str">
        <f aca="false">Config!$B$5</f>
        <v>network</v>
      </c>
      <c r="H251" s="10" t="str">
        <f aca="false">Config!$B$3</f>
        <v>2610_ff_lansare</v>
      </c>
      <c r="I251" s="10" t="str">
        <f aca="false">Config!$B$4</f>
        <v>general</v>
      </c>
      <c r="J251" s="10" t="str">
        <f aca="false">"https://"&amp;D251&amp;E251&amp;"?utm_source="&amp;F251&amp;"&amp;utm_medium="&amp;G251&amp;"&amp;utm_campaign="&amp;H251&amp;"&amp;utm_content="&amp;I251</f>
        <v>https://the3webs.com/?utm_source=1clic-ia.fr&amp;utm_medium=network&amp;utm_campaign=2610_ff_lansare&amp;utm_content=general</v>
      </c>
    </row>
    <row r="252" customFormat="false" ht="15" hidden="false" customHeight="false" outlineLevel="0" collapsed="false">
      <c r="A252" s="10" t="s">
        <v>84</v>
      </c>
      <c r="B252" s="10" t="str">
        <f aca="false">INDEX('Site-uri'!$B$2:$B$20,MATCH(A252,'Site-uri'!$A$2:$A$20,0))</f>
        <v>1clic-ia.fr</v>
      </c>
      <c r="C252" s="10" t="s">
        <v>94</v>
      </c>
      <c r="D252" s="10" t="str">
        <f aca="false">INDEX('Site-uri'!$B$2:$B$20,MATCH(C252,'Site-uri'!$A$2:$A$20,0))</f>
        <v>floride-e2.com</v>
      </c>
      <c r="E252" s="10" t="str">
        <f aca="false">INDEX('Site-uri'!$C$2:$C$20,MATCH(C252,'Site-uri'!$A$2:$A$20,0))</f>
        <v>/</v>
      </c>
      <c r="F252" s="10" t="str">
        <f aca="false">B252</f>
        <v>1clic-ia.fr</v>
      </c>
      <c r="G252" s="10" t="str">
        <f aca="false">Config!$B$5</f>
        <v>network</v>
      </c>
      <c r="H252" s="10" t="str">
        <f aca="false">Config!$B$3</f>
        <v>2610_ff_lansare</v>
      </c>
      <c r="I252" s="10" t="str">
        <f aca="false">Config!$B$4</f>
        <v>general</v>
      </c>
      <c r="J252" s="10" t="str">
        <f aca="false">"https://"&amp;D252&amp;E252&amp;"?utm_source="&amp;F252&amp;"&amp;utm_medium="&amp;G252&amp;"&amp;utm_campaign="&amp;H252&amp;"&amp;utm_content="&amp;I252</f>
        <v>https://floride-e2.com/?utm_source=1clic-ia.fr&amp;utm_medium=network&amp;utm_campaign=2610_ff_lansare&amp;utm_content=general</v>
      </c>
    </row>
    <row r="253" customFormat="false" ht="15" hidden="false" customHeight="false" outlineLevel="0" collapsed="false">
      <c r="A253" s="10" t="s">
        <v>84</v>
      </c>
      <c r="B253" s="10" t="str">
        <f aca="false">INDEX('Site-uri'!$B$2:$B$20,MATCH(A253,'Site-uri'!$A$2:$A$20,0))</f>
        <v>1clic-ia.fr</v>
      </c>
      <c r="C253" s="10" t="s">
        <v>96</v>
      </c>
      <c r="D253" s="10" t="str">
        <f aca="false">INDEX('Site-uri'!$B$2:$B$20,MATCH(C253,'Site-uri'!$A$2:$A$20,0))</f>
        <v>ecbtax.com</v>
      </c>
      <c r="E253" s="10" t="str">
        <f aca="false">INDEX('Site-uri'!$C$2:$C$20,MATCH(C253,'Site-uri'!$A$2:$A$20,0))</f>
        <v>/</v>
      </c>
      <c r="F253" s="10" t="str">
        <f aca="false">B253</f>
        <v>1clic-ia.fr</v>
      </c>
      <c r="G253" s="10" t="str">
        <f aca="false">Config!$B$5</f>
        <v>network</v>
      </c>
      <c r="H253" s="10" t="str">
        <f aca="false">Config!$B$3</f>
        <v>2610_ff_lansare</v>
      </c>
      <c r="I253" s="10" t="str">
        <f aca="false">Config!$B$4</f>
        <v>general</v>
      </c>
      <c r="J253" s="10" t="str">
        <f aca="false">"https://"&amp;D253&amp;E253&amp;"?utm_source="&amp;F253&amp;"&amp;utm_medium="&amp;G253&amp;"&amp;utm_campaign="&amp;H253&amp;"&amp;utm_content="&amp;I253</f>
        <v>https://ecbtax.com/?utm_source=1clic-ia.fr&amp;utm_medium=network&amp;utm_campaign=2610_ff_lansare&amp;utm_content=general</v>
      </c>
    </row>
    <row r="254" customFormat="false" ht="15" hidden="false" customHeight="false" outlineLevel="0" collapsed="false">
      <c r="A254" s="10" t="s">
        <v>86</v>
      </c>
      <c r="B254" s="10" t="str">
        <f aca="false">INDEX('Site-uri'!$B$2:$B$20,MATCH(A254,'Site-uri'!$A$2:$A$20,0))</f>
        <v>firmsfinder.eu</v>
      </c>
      <c r="C254" s="10" t="s">
        <v>45</v>
      </c>
      <c r="D254" s="10" t="str">
        <f aca="false">INDEX('Site-uri'!$B$2:$B$20,MATCH(C254,'Site-uri'!$A$2:$A$20,0))</f>
        <v>5thelement.ai</v>
      </c>
      <c r="E254" s="10" t="str">
        <f aca="false">INDEX('Site-uri'!$C$2:$C$20,MATCH(C254,'Site-uri'!$A$2:$A$20,0))</f>
        <v>/</v>
      </c>
      <c r="F254" s="10" t="str">
        <f aca="false">B254</f>
        <v>firmsfinder.eu</v>
      </c>
      <c r="G254" s="10" t="str">
        <f aca="false">Config!$B$5</f>
        <v>network</v>
      </c>
      <c r="H254" s="10" t="str">
        <f aca="false">Config!$B$3</f>
        <v>2610_ff_lansare</v>
      </c>
      <c r="I254" s="10" t="str">
        <f aca="false">Config!$B$4</f>
        <v>general</v>
      </c>
      <c r="J254" s="10" t="str">
        <f aca="false">"https://"&amp;D254&amp;E254&amp;"?utm_source="&amp;F254&amp;"&amp;utm_medium="&amp;G254&amp;"&amp;utm_campaign="&amp;H254&amp;"&amp;utm_content="&amp;I254</f>
        <v>https://5thelement.ai/?utm_source=firmsfinder.eu&amp;utm_medium=network&amp;utm_campaign=2610_ff_lansare&amp;utm_content=general</v>
      </c>
    </row>
    <row r="255" customFormat="false" ht="15" hidden="false" customHeight="false" outlineLevel="0" collapsed="false">
      <c r="A255" s="10" t="s">
        <v>86</v>
      </c>
      <c r="B255" s="10" t="str">
        <f aca="false">INDEX('Site-uri'!$B$2:$B$20,MATCH(A255,'Site-uri'!$A$2:$A$20,0))</f>
        <v>firmsfinder.eu</v>
      </c>
      <c r="C255" s="10" t="s">
        <v>49</v>
      </c>
      <c r="D255" s="10" t="str">
        <f aca="false">INDEX('Site-uri'!$B$2:$B$20,MATCH(C255,'Site-uri'!$A$2:$A$20,0))</f>
        <v>aiventure.ro</v>
      </c>
      <c r="E255" s="10" t="str">
        <f aca="false">INDEX('Site-uri'!$C$2:$C$20,MATCH(C255,'Site-uri'!$A$2:$A$20,0))</f>
        <v>/</v>
      </c>
      <c r="F255" s="10" t="str">
        <f aca="false">B255</f>
        <v>firmsfinder.eu</v>
      </c>
      <c r="G255" s="10" t="str">
        <f aca="false">Config!$B$5</f>
        <v>network</v>
      </c>
      <c r="H255" s="10" t="str">
        <f aca="false">Config!$B$3</f>
        <v>2610_ff_lansare</v>
      </c>
      <c r="I255" s="10" t="str">
        <f aca="false">Config!$B$4</f>
        <v>general</v>
      </c>
      <c r="J255" s="10" t="str">
        <f aca="false">"https://"&amp;D255&amp;E255&amp;"?utm_source="&amp;F255&amp;"&amp;utm_medium="&amp;G255&amp;"&amp;utm_campaign="&amp;H255&amp;"&amp;utm_content="&amp;I255</f>
        <v>https://aiventure.ro/?utm_source=firmsfinder.eu&amp;utm_medium=network&amp;utm_campaign=2610_ff_lansare&amp;utm_content=general</v>
      </c>
    </row>
    <row r="256" customFormat="false" ht="15" hidden="false" customHeight="false" outlineLevel="0" collapsed="false">
      <c r="A256" s="10" t="s">
        <v>86</v>
      </c>
      <c r="B256" s="10" t="str">
        <f aca="false">INDEX('Site-uri'!$B$2:$B$20,MATCH(A256,'Site-uri'!$A$2:$A$20,0))</f>
        <v>firmsfinder.eu</v>
      </c>
      <c r="C256" s="10" t="s">
        <v>52</v>
      </c>
      <c r="D256" s="10" t="str">
        <f aca="false">INDEX('Site-uri'!$B$2:$B$20,MATCH(C256,'Site-uri'!$A$2:$A$20,0))</f>
        <v>aiventure.uk</v>
      </c>
      <c r="E256" s="10" t="str">
        <f aca="false">INDEX('Site-uri'!$C$2:$C$20,MATCH(C256,'Site-uri'!$A$2:$A$20,0))</f>
        <v>/</v>
      </c>
      <c r="F256" s="10" t="str">
        <f aca="false">B256</f>
        <v>firmsfinder.eu</v>
      </c>
      <c r="G256" s="10" t="str">
        <f aca="false">Config!$B$5</f>
        <v>network</v>
      </c>
      <c r="H256" s="10" t="str">
        <f aca="false">Config!$B$3</f>
        <v>2610_ff_lansare</v>
      </c>
      <c r="I256" s="10" t="str">
        <f aca="false">Config!$B$4</f>
        <v>general</v>
      </c>
      <c r="J256" s="10" t="str">
        <f aca="false">"https://"&amp;D256&amp;E256&amp;"?utm_source="&amp;F256&amp;"&amp;utm_medium="&amp;G256&amp;"&amp;utm_campaign="&amp;H256&amp;"&amp;utm_content="&amp;I256</f>
        <v>https://aiventure.uk/?utm_source=firmsfinder.eu&amp;utm_medium=network&amp;utm_campaign=2610_ff_lansare&amp;utm_content=general</v>
      </c>
    </row>
    <row r="257" customFormat="false" ht="15" hidden="false" customHeight="false" outlineLevel="0" collapsed="false">
      <c r="A257" s="10" t="s">
        <v>86</v>
      </c>
      <c r="B257" s="10" t="str">
        <f aca="false">INDEX('Site-uri'!$B$2:$B$20,MATCH(A257,'Site-uri'!$A$2:$A$20,0))</f>
        <v>firmsfinder.eu</v>
      </c>
      <c r="C257" s="10" t="s">
        <v>55</v>
      </c>
      <c r="D257" s="10" t="str">
        <f aca="false">INDEX('Site-uri'!$B$2:$B$20,MATCH(C257,'Site-uri'!$A$2:$A$20,0))</f>
        <v>3webobs.com</v>
      </c>
      <c r="E257" s="10" t="str">
        <f aca="false">INDEX('Site-uri'!$C$2:$C$20,MATCH(C257,'Site-uri'!$A$2:$A$20,0))</f>
        <v>/</v>
      </c>
      <c r="F257" s="10" t="str">
        <f aca="false">B257</f>
        <v>firmsfinder.eu</v>
      </c>
      <c r="G257" s="10" t="str">
        <f aca="false">Config!$B$5</f>
        <v>network</v>
      </c>
      <c r="H257" s="10" t="str">
        <f aca="false">Config!$B$3</f>
        <v>2610_ff_lansare</v>
      </c>
      <c r="I257" s="10" t="str">
        <f aca="false">Config!$B$4</f>
        <v>general</v>
      </c>
      <c r="J257" s="10" t="str">
        <f aca="false">"https://"&amp;D257&amp;E257&amp;"?utm_source="&amp;F257&amp;"&amp;utm_medium="&amp;G257&amp;"&amp;utm_campaign="&amp;H257&amp;"&amp;utm_content="&amp;I257</f>
        <v>https://3webobs.com/?utm_source=firmsfinder.eu&amp;utm_medium=network&amp;utm_campaign=2610_ff_lansare&amp;utm_content=general</v>
      </c>
    </row>
    <row r="258" customFormat="false" ht="15" hidden="false" customHeight="false" outlineLevel="0" collapsed="false">
      <c r="A258" s="10" t="s">
        <v>86</v>
      </c>
      <c r="B258" s="10" t="str">
        <f aca="false">INDEX('Site-uri'!$B$2:$B$20,MATCH(A258,'Site-uri'!$A$2:$A$20,0))</f>
        <v>firmsfinder.eu</v>
      </c>
      <c r="C258" s="10" t="s">
        <v>58</v>
      </c>
      <c r="D258" s="10" t="str">
        <f aca="false">INDEX('Site-uri'!$B$2:$B$20,MATCH(C258,'Site-uri'!$A$2:$A$20,0))</f>
        <v>ai-lens.eu</v>
      </c>
      <c r="E258" s="10" t="str">
        <f aca="false">INDEX('Site-uri'!$C$2:$C$20,MATCH(C258,'Site-uri'!$A$2:$A$20,0))</f>
        <v>/</v>
      </c>
      <c r="F258" s="10" t="str">
        <f aca="false">B258</f>
        <v>firmsfinder.eu</v>
      </c>
      <c r="G258" s="10" t="str">
        <f aca="false">Config!$B$5</f>
        <v>network</v>
      </c>
      <c r="H258" s="10" t="str">
        <f aca="false">Config!$B$3</f>
        <v>2610_ff_lansare</v>
      </c>
      <c r="I258" s="10" t="str">
        <f aca="false">Config!$B$4</f>
        <v>general</v>
      </c>
      <c r="J258" s="10" t="str">
        <f aca="false">"https://"&amp;D258&amp;E258&amp;"?utm_source="&amp;F258&amp;"&amp;utm_medium="&amp;G258&amp;"&amp;utm_campaign="&amp;H258&amp;"&amp;utm_content="&amp;I258</f>
        <v>https://ai-lens.eu/?utm_source=firmsfinder.eu&amp;utm_medium=network&amp;utm_campaign=2610_ff_lansare&amp;utm_content=general</v>
      </c>
    </row>
    <row r="259" customFormat="false" ht="15" hidden="false" customHeight="false" outlineLevel="0" collapsed="false">
      <c r="A259" s="10" t="s">
        <v>86</v>
      </c>
      <c r="B259" s="10" t="str">
        <f aca="false">INDEX('Site-uri'!$B$2:$B$20,MATCH(A259,'Site-uri'!$A$2:$A$20,0))</f>
        <v>firmsfinder.eu</v>
      </c>
      <c r="C259" s="10" t="s">
        <v>61</v>
      </c>
      <c r="D259" s="10" t="str">
        <f aca="false">INDEX('Site-uri'!$B$2:$B$20,MATCH(C259,'Site-uri'!$A$2:$A$20,0))</f>
        <v>aireadyinjector.com</v>
      </c>
      <c r="E259" s="10" t="str">
        <f aca="false">INDEX('Site-uri'!$C$2:$C$20,MATCH(C259,'Site-uri'!$A$2:$A$20,0))</f>
        <v>/</v>
      </c>
      <c r="F259" s="10" t="str">
        <f aca="false">B259</f>
        <v>firmsfinder.eu</v>
      </c>
      <c r="G259" s="10" t="str">
        <f aca="false">Config!$B$5</f>
        <v>network</v>
      </c>
      <c r="H259" s="10" t="str">
        <f aca="false">Config!$B$3</f>
        <v>2610_ff_lansare</v>
      </c>
      <c r="I259" s="10" t="str">
        <f aca="false">Config!$B$4</f>
        <v>general</v>
      </c>
      <c r="J259" s="10" t="str">
        <f aca="false">"https://"&amp;D259&amp;E259&amp;"?utm_source="&amp;F259&amp;"&amp;utm_medium="&amp;G259&amp;"&amp;utm_campaign="&amp;H259&amp;"&amp;utm_content="&amp;I259</f>
        <v>https://aireadyinjector.com/?utm_source=firmsfinder.eu&amp;utm_medium=network&amp;utm_campaign=2610_ff_lansare&amp;utm_content=general</v>
      </c>
    </row>
    <row r="260" customFormat="false" ht="15" hidden="false" customHeight="false" outlineLevel="0" collapsed="false">
      <c r="A260" s="10" t="s">
        <v>86</v>
      </c>
      <c r="B260" s="10" t="str">
        <f aca="false">INDEX('Site-uri'!$B$2:$B$20,MATCH(A260,'Site-uri'!$A$2:$A$20,0))</f>
        <v>firmsfinder.eu</v>
      </c>
      <c r="C260" s="10" t="s">
        <v>64</v>
      </c>
      <c r="D260" s="10" t="str">
        <f aca="false">INDEX('Site-uri'!$B$2:$B$20,MATCH(C260,'Site-uri'!$A$2:$A$20,0))</f>
        <v>eu-ai-audit.eu</v>
      </c>
      <c r="E260" s="10" t="str">
        <f aca="false">INDEX('Site-uri'!$C$2:$C$20,MATCH(C260,'Site-uri'!$A$2:$A$20,0))</f>
        <v>/</v>
      </c>
      <c r="F260" s="10" t="str">
        <f aca="false">B260</f>
        <v>firmsfinder.eu</v>
      </c>
      <c r="G260" s="10" t="str">
        <f aca="false">Config!$B$5</f>
        <v>network</v>
      </c>
      <c r="H260" s="10" t="str">
        <f aca="false">Config!$B$3</f>
        <v>2610_ff_lansare</v>
      </c>
      <c r="I260" s="10" t="str">
        <f aca="false">Config!$B$4</f>
        <v>general</v>
      </c>
      <c r="J260" s="10" t="str">
        <f aca="false">"https://"&amp;D260&amp;E260&amp;"?utm_source="&amp;F260&amp;"&amp;utm_medium="&amp;G260&amp;"&amp;utm_campaign="&amp;H260&amp;"&amp;utm_content="&amp;I260</f>
        <v>https://eu-ai-audit.eu/?utm_source=firmsfinder.eu&amp;utm_medium=network&amp;utm_campaign=2610_ff_lansare&amp;utm_content=general</v>
      </c>
    </row>
    <row r="261" customFormat="false" ht="15" hidden="false" customHeight="false" outlineLevel="0" collapsed="false">
      <c r="A261" s="10" t="s">
        <v>86</v>
      </c>
      <c r="B261" s="10" t="str">
        <f aca="false">INDEX('Site-uri'!$B$2:$B$20,MATCH(A261,'Site-uri'!$A$2:$A$20,0))</f>
        <v>firmsfinder.eu</v>
      </c>
      <c r="C261" s="10" t="s">
        <v>67</v>
      </c>
      <c r="D261" s="10" t="str">
        <f aca="false">INDEX('Site-uri'!$B$2:$B$20,MATCH(C261,'Site-uri'!$A$2:$A$20,0))</f>
        <v>eu-ai-ready.eu</v>
      </c>
      <c r="E261" s="10" t="str">
        <f aca="false">INDEX('Site-uri'!$C$2:$C$20,MATCH(C261,'Site-uri'!$A$2:$A$20,0))</f>
        <v>/</v>
      </c>
      <c r="F261" s="10" t="str">
        <f aca="false">B261</f>
        <v>firmsfinder.eu</v>
      </c>
      <c r="G261" s="10" t="str">
        <f aca="false">Config!$B$5</f>
        <v>network</v>
      </c>
      <c r="H261" s="10" t="str">
        <f aca="false">Config!$B$3</f>
        <v>2610_ff_lansare</v>
      </c>
      <c r="I261" s="10" t="str">
        <f aca="false">Config!$B$4</f>
        <v>general</v>
      </c>
      <c r="J261" s="10" t="str">
        <f aca="false">"https://"&amp;D261&amp;E261&amp;"?utm_source="&amp;F261&amp;"&amp;utm_medium="&amp;G261&amp;"&amp;utm_campaign="&amp;H261&amp;"&amp;utm_content="&amp;I261</f>
        <v>https://eu-ai-ready.eu/?utm_source=firmsfinder.eu&amp;utm_medium=network&amp;utm_campaign=2610_ff_lansare&amp;utm_content=general</v>
      </c>
    </row>
    <row r="262" customFormat="false" ht="15" hidden="false" customHeight="false" outlineLevel="0" collapsed="false">
      <c r="A262" s="10" t="s">
        <v>86</v>
      </c>
      <c r="B262" s="10" t="str">
        <f aca="false">INDEX('Site-uri'!$B$2:$B$20,MATCH(A262,'Site-uri'!$A$2:$A$20,0))</f>
        <v>firmsfinder.eu</v>
      </c>
      <c r="C262" s="10" t="s">
        <v>69</v>
      </c>
      <c r="D262" s="10" t="str">
        <f aca="false">INDEX('Site-uri'!$B$2:$B$20,MATCH(C262,'Site-uri'!$A$2:$A$20,0))</f>
        <v>eu-ai-act.ro</v>
      </c>
      <c r="E262" s="10" t="str">
        <f aca="false">INDEX('Site-uri'!$C$2:$C$20,MATCH(C262,'Site-uri'!$A$2:$A$20,0))</f>
        <v>/</v>
      </c>
      <c r="F262" s="10" t="str">
        <f aca="false">B262</f>
        <v>firmsfinder.eu</v>
      </c>
      <c r="G262" s="10" t="str">
        <f aca="false">Config!$B$5</f>
        <v>network</v>
      </c>
      <c r="H262" s="10" t="str">
        <f aca="false">Config!$B$3</f>
        <v>2610_ff_lansare</v>
      </c>
      <c r="I262" s="10" t="str">
        <f aca="false">Config!$B$4</f>
        <v>general</v>
      </c>
      <c r="J262" s="10" t="str">
        <f aca="false">"https://"&amp;D262&amp;E262&amp;"?utm_source="&amp;F262&amp;"&amp;utm_medium="&amp;G262&amp;"&amp;utm_campaign="&amp;H262&amp;"&amp;utm_content="&amp;I262</f>
        <v>https://eu-ai-act.ro/?utm_source=firmsfinder.eu&amp;utm_medium=network&amp;utm_campaign=2610_ff_lansare&amp;utm_content=general</v>
      </c>
    </row>
    <row r="263" customFormat="false" ht="15" hidden="false" customHeight="false" outlineLevel="0" collapsed="false">
      <c r="A263" s="10" t="s">
        <v>86</v>
      </c>
      <c r="B263" s="10" t="str">
        <f aca="false">INDEX('Site-uri'!$B$2:$B$20,MATCH(A263,'Site-uri'!$A$2:$A$20,0))</f>
        <v>firmsfinder.eu</v>
      </c>
      <c r="C263" s="10" t="s">
        <v>72</v>
      </c>
      <c r="D263" s="10" t="str">
        <f aca="false">INDEX('Site-uri'!$B$2:$B$20,MATCH(C263,'Site-uri'!$A$2:$A$20,0))</f>
        <v>eu-ai-act-ready.eu</v>
      </c>
      <c r="E263" s="10" t="str">
        <f aca="false">INDEX('Site-uri'!$C$2:$C$20,MATCH(C263,'Site-uri'!$A$2:$A$20,0))</f>
        <v>/</v>
      </c>
      <c r="F263" s="10" t="str">
        <f aca="false">B263</f>
        <v>firmsfinder.eu</v>
      </c>
      <c r="G263" s="10" t="str">
        <f aca="false">Config!$B$5</f>
        <v>network</v>
      </c>
      <c r="H263" s="10" t="str">
        <f aca="false">Config!$B$3</f>
        <v>2610_ff_lansare</v>
      </c>
      <c r="I263" s="10" t="str">
        <f aca="false">Config!$B$4</f>
        <v>general</v>
      </c>
      <c r="J263" s="10" t="str">
        <f aca="false">"https://"&amp;D263&amp;E263&amp;"?utm_source="&amp;F263&amp;"&amp;utm_medium="&amp;G263&amp;"&amp;utm_campaign="&amp;H263&amp;"&amp;utm_content="&amp;I263</f>
        <v>https://eu-ai-act-ready.eu/?utm_source=firmsfinder.eu&amp;utm_medium=network&amp;utm_campaign=2610_ff_lansare&amp;utm_content=general</v>
      </c>
    </row>
    <row r="264" customFormat="false" ht="15" hidden="false" customHeight="false" outlineLevel="0" collapsed="false">
      <c r="A264" s="10" t="s">
        <v>86</v>
      </c>
      <c r="B264" s="10" t="str">
        <f aca="false">INDEX('Site-uri'!$B$2:$B$20,MATCH(A264,'Site-uri'!$A$2:$A$20,0))</f>
        <v>firmsfinder.eu</v>
      </c>
      <c r="C264" s="10" t="s">
        <v>75</v>
      </c>
      <c r="D264" s="10" t="str">
        <f aca="false">INDEX('Site-uri'!$B$2:$B$20,MATCH(C264,'Site-uri'!$A$2:$A$20,0))</f>
        <v>eu-112.ro</v>
      </c>
      <c r="E264" s="10" t="str">
        <f aca="false">INDEX('Site-uri'!$C$2:$C$20,MATCH(C264,'Site-uri'!$A$2:$A$20,0))</f>
        <v>/</v>
      </c>
      <c r="F264" s="10" t="str">
        <f aca="false">B264</f>
        <v>firmsfinder.eu</v>
      </c>
      <c r="G264" s="10" t="str">
        <f aca="false">Config!$B$5</f>
        <v>network</v>
      </c>
      <c r="H264" s="10" t="str">
        <f aca="false">Config!$B$3</f>
        <v>2610_ff_lansare</v>
      </c>
      <c r="I264" s="10" t="str">
        <f aca="false">Config!$B$4</f>
        <v>general</v>
      </c>
      <c r="J264" s="10" t="str">
        <f aca="false">"https://"&amp;D264&amp;E264&amp;"?utm_source="&amp;F264&amp;"&amp;utm_medium="&amp;G264&amp;"&amp;utm_campaign="&amp;H264&amp;"&amp;utm_content="&amp;I264</f>
        <v>https://eu-112.ro/?utm_source=firmsfinder.eu&amp;utm_medium=network&amp;utm_campaign=2610_ff_lansare&amp;utm_content=general</v>
      </c>
    </row>
    <row r="265" customFormat="false" ht="15" hidden="false" customHeight="false" outlineLevel="0" collapsed="false">
      <c r="A265" s="10" t="s">
        <v>86</v>
      </c>
      <c r="B265" s="10" t="str">
        <f aca="false">INDEX('Site-uri'!$B$2:$B$20,MATCH(A265,'Site-uri'!$A$2:$A$20,0))</f>
        <v>firmsfinder.eu</v>
      </c>
      <c r="C265" s="10" t="s">
        <v>78</v>
      </c>
      <c r="D265" s="10" t="str">
        <f aca="false">INDEX('Site-uri'!$B$2:$B$20,MATCH(C265,'Site-uri'!$A$2:$A$20,0))</f>
        <v>eu-112.eu</v>
      </c>
      <c r="E265" s="10" t="str">
        <f aca="false">INDEX('Site-uri'!$C$2:$C$20,MATCH(C265,'Site-uri'!$A$2:$A$20,0))</f>
        <v>/</v>
      </c>
      <c r="F265" s="10" t="str">
        <f aca="false">B265</f>
        <v>firmsfinder.eu</v>
      </c>
      <c r="G265" s="10" t="str">
        <f aca="false">Config!$B$5</f>
        <v>network</v>
      </c>
      <c r="H265" s="10" t="str">
        <f aca="false">Config!$B$3</f>
        <v>2610_ff_lansare</v>
      </c>
      <c r="I265" s="10" t="str">
        <f aca="false">Config!$B$4</f>
        <v>general</v>
      </c>
      <c r="J265" s="10" t="str">
        <f aca="false">"https://"&amp;D265&amp;E265&amp;"?utm_source="&amp;F265&amp;"&amp;utm_medium="&amp;G265&amp;"&amp;utm_campaign="&amp;H265&amp;"&amp;utm_content="&amp;I265</f>
        <v>https://eu-112.eu/?utm_source=firmsfinder.eu&amp;utm_medium=network&amp;utm_campaign=2610_ff_lansare&amp;utm_content=general</v>
      </c>
    </row>
    <row r="266" customFormat="false" ht="15" hidden="false" customHeight="false" outlineLevel="0" collapsed="false">
      <c r="A266" s="10" t="s">
        <v>86</v>
      </c>
      <c r="B266" s="10" t="str">
        <f aca="false">INDEX('Site-uri'!$B$2:$B$20,MATCH(A266,'Site-uri'!$A$2:$A$20,0))</f>
        <v>firmsfinder.eu</v>
      </c>
      <c r="C266" s="10" t="s">
        <v>81</v>
      </c>
      <c r="D266" s="10" t="str">
        <f aca="false">INDEX('Site-uri'!$B$2:$B$20,MATCH(C266,'Site-uri'!$A$2:$A$20,0))</f>
        <v>1clic-ia.eu</v>
      </c>
      <c r="E266" s="10" t="str">
        <f aca="false">INDEX('Site-uri'!$C$2:$C$20,MATCH(C266,'Site-uri'!$A$2:$A$20,0))</f>
        <v>/</v>
      </c>
      <c r="F266" s="10" t="str">
        <f aca="false">B266</f>
        <v>firmsfinder.eu</v>
      </c>
      <c r="G266" s="10" t="str">
        <f aca="false">Config!$B$5</f>
        <v>network</v>
      </c>
      <c r="H266" s="10" t="str">
        <f aca="false">Config!$B$3</f>
        <v>2610_ff_lansare</v>
      </c>
      <c r="I266" s="10" t="str">
        <f aca="false">Config!$B$4</f>
        <v>general</v>
      </c>
      <c r="J266" s="10" t="str">
        <f aca="false">"https://"&amp;D266&amp;E266&amp;"?utm_source="&amp;F266&amp;"&amp;utm_medium="&amp;G266&amp;"&amp;utm_campaign="&amp;H266&amp;"&amp;utm_content="&amp;I266</f>
        <v>https://1clic-ia.eu/?utm_source=firmsfinder.eu&amp;utm_medium=network&amp;utm_campaign=2610_ff_lansare&amp;utm_content=general</v>
      </c>
    </row>
    <row r="267" customFormat="false" ht="15" hidden="false" customHeight="false" outlineLevel="0" collapsed="false">
      <c r="A267" s="10" t="s">
        <v>86</v>
      </c>
      <c r="B267" s="10" t="str">
        <f aca="false">INDEX('Site-uri'!$B$2:$B$20,MATCH(A267,'Site-uri'!$A$2:$A$20,0))</f>
        <v>firmsfinder.eu</v>
      </c>
      <c r="C267" s="10" t="s">
        <v>84</v>
      </c>
      <c r="D267" s="10" t="str">
        <f aca="false">INDEX('Site-uri'!$B$2:$B$20,MATCH(C267,'Site-uri'!$A$2:$A$20,0))</f>
        <v>1clic-ia.fr</v>
      </c>
      <c r="E267" s="10" t="str">
        <f aca="false">INDEX('Site-uri'!$C$2:$C$20,MATCH(C267,'Site-uri'!$A$2:$A$20,0))</f>
        <v>/</v>
      </c>
      <c r="F267" s="10" t="str">
        <f aca="false">B267</f>
        <v>firmsfinder.eu</v>
      </c>
      <c r="G267" s="10" t="str">
        <f aca="false">Config!$B$5</f>
        <v>network</v>
      </c>
      <c r="H267" s="10" t="str">
        <f aca="false">Config!$B$3</f>
        <v>2610_ff_lansare</v>
      </c>
      <c r="I267" s="10" t="str">
        <f aca="false">Config!$B$4</f>
        <v>general</v>
      </c>
      <c r="J267" s="10" t="str">
        <f aca="false">"https://"&amp;D267&amp;E267&amp;"?utm_source="&amp;F267&amp;"&amp;utm_medium="&amp;G267&amp;"&amp;utm_campaign="&amp;H267&amp;"&amp;utm_content="&amp;I267</f>
        <v>https://1clic-ia.fr/?utm_source=firmsfinder.eu&amp;utm_medium=network&amp;utm_campaign=2610_ff_lansare&amp;utm_content=general</v>
      </c>
    </row>
    <row r="268" customFormat="false" ht="15" hidden="false" customHeight="false" outlineLevel="0" collapsed="false">
      <c r="A268" s="10" t="s">
        <v>86</v>
      </c>
      <c r="B268" s="10" t="str">
        <f aca="false">INDEX('Site-uri'!$B$2:$B$20,MATCH(A268,'Site-uri'!$A$2:$A$20,0))</f>
        <v>firmsfinder.eu</v>
      </c>
      <c r="C268" s="10" t="s">
        <v>89</v>
      </c>
      <c r="D268" s="10" t="str">
        <f aca="false">INDEX('Site-uri'!$B$2:$B$20,MATCH(C268,'Site-uri'!$A$2:$A$20,0))</f>
        <v>b2b-ai-library.org</v>
      </c>
      <c r="E268" s="10" t="str">
        <f aca="false">INDEX('Site-uri'!$C$2:$C$20,MATCH(C268,'Site-uri'!$A$2:$A$20,0))</f>
        <v>/</v>
      </c>
      <c r="F268" s="10" t="str">
        <f aca="false">B268</f>
        <v>firmsfinder.eu</v>
      </c>
      <c r="G268" s="10" t="str">
        <f aca="false">Config!$B$5</f>
        <v>network</v>
      </c>
      <c r="H268" s="10" t="str">
        <f aca="false">Config!$B$3</f>
        <v>2610_ff_lansare</v>
      </c>
      <c r="I268" s="10" t="str">
        <f aca="false">Config!$B$4</f>
        <v>general</v>
      </c>
      <c r="J268" s="10" t="str">
        <f aca="false">"https://"&amp;D268&amp;E268&amp;"?utm_source="&amp;F268&amp;"&amp;utm_medium="&amp;G268&amp;"&amp;utm_campaign="&amp;H268&amp;"&amp;utm_content="&amp;I268</f>
        <v>https://b2b-ai-library.org/?utm_source=firmsfinder.eu&amp;utm_medium=network&amp;utm_campaign=2610_ff_lansare&amp;utm_content=general</v>
      </c>
    </row>
    <row r="269" customFormat="false" ht="15" hidden="false" customHeight="false" outlineLevel="0" collapsed="false">
      <c r="A269" s="10" t="s">
        <v>86</v>
      </c>
      <c r="B269" s="10" t="str">
        <f aca="false">INDEX('Site-uri'!$B$2:$B$20,MATCH(A269,'Site-uri'!$A$2:$A$20,0))</f>
        <v>firmsfinder.eu</v>
      </c>
      <c r="C269" s="10" t="s">
        <v>91</v>
      </c>
      <c r="D269" s="10" t="str">
        <f aca="false">INDEX('Site-uri'!$B$2:$B$20,MATCH(C269,'Site-uri'!$A$2:$A$20,0))</f>
        <v>the3webs.com</v>
      </c>
      <c r="E269" s="10" t="str">
        <f aca="false">INDEX('Site-uri'!$C$2:$C$20,MATCH(C269,'Site-uri'!$A$2:$A$20,0))</f>
        <v>/</v>
      </c>
      <c r="F269" s="10" t="str">
        <f aca="false">B269</f>
        <v>firmsfinder.eu</v>
      </c>
      <c r="G269" s="10" t="str">
        <f aca="false">Config!$B$5</f>
        <v>network</v>
      </c>
      <c r="H269" s="10" t="str">
        <f aca="false">Config!$B$3</f>
        <v>2610_ff_lansare</v>
      </c>
      <c r="I269" s="10" t="str">
        <f aca="false">Config!$B$4</f>
        <v>general</v>
      </c>
      <c r="J269" s="10" t="str">
        <f aca="false">"https://"&amp;D269&amp;E269&amp;"?utm_source="&amp;F269&amp;"&amp;utm_medium="&amp;G269&amp;"&amp;utm_campaign="&amp;H269&amp;"&amp;utm_content="&amp;I269</f>
        <v>https://the3webs.com/?utm_source=firmsfinder.eu&amp;utm_medium=network&amp;utm_campaign=2610_ff_lansare&amp;utm_content=general</v>
      </c>
    </row>
    <row r="270" customFormat="false" ht="15" hidden="false" customHeight="false" outlineLevel="0" collapsed="false">
      <c r="A270" s="10" t="s">
        <v>86</v>
      </c>
      <c r="B270" s="10" t="str">
        <f aca="false">INDEX('Site-uri'!$B$2:$B$20,MATCH(A270,'Site-uri'!$A$2:$A$20,0))</f>
        <v>firmsfinder.eu</v>
      </c>
      <c r="C270" s="10" t="s">
        <v>94</v>
      </c>
      <c r="D270" s="10" t="str">
        <f aca="false">INDEX('Site-uri'!$B$2:$B$20,MATCH(C270,'Site-uri'!$A$2:$A$20,0))</f>
        <v>floride-e2.com</v>
      </c>
      <c r="E270" s="10" t="str">
        <f aca="false">INDEX('Site-uri'!$C$2:$C$20,MATCH(C270,'Site-uri'!$A$2:$A$20,0))</f>
        <v>/</v>
      </c>
      <c r="F270" s="10" t="str">
        <f aca="false">B270</f>
        <v>firmsfinder.eu</v>
      </c>
      <c r="G270" s="10" t="str">
        <f aca="false">Config!$B$5</f>
        <v>network</v>
      </c>
      <c r="H270" s="10" t="str">
        <f aca="false">Config!$B$3</f>
        <v>2610_ff_lansare</v>
      </c>
      <c r="I270" s="10" t="str">
        <f aca="false">Config!$B$4</f>
        <v>general</v>
      </c>
      <c r="J270" s="10" t="str">
        <f aca="false">"https://"&amp;D270&amp;E270&amp;"?utm_source="&amp;F270&amp;"&amp;utm_medium="&amp;G270&amp;"&amp;utm_campaign="&amp;H270&amp;"&amp;utm_content="&amp;I270</f>
        <v>https://floride-e2.com/?utm_source=firmsfinder.eu&amp;utm_medium=network&amp;utm_campaign=2610_ff_lansare&amp;utm_content=general</v>
      </c>
    </row>
    <row r="271" customFormat="false" ht="15" hidden="false" customHeight="false" outlineLevel="0" collapsed="false">
      <c r="A271" s="10" t="s">
        <v>86</v>
      </c>
      <c r="B271" s="10" t="str">
        <f aca="false">INDEX('Site-uri'!$B$2:$B$20,MATCH(A271,'Site-uri'!$A$2:$A$20,0))</f>
        <v>firmsfinder.eu</v>
      </c>
      <c r="C271" s="10" t="s">
        <v>96</v>
      </c>
      <c r="D271" s="10" t="str">
        <f aca="false">INDEX('Site-uri'!$B$2:$B$20,MATCH(C271,'Site-uri'!$A$2:$A$20,0))</f>
        <v>ecbtax.com</v>
      </c>
      <c r="E271" s="10" t="str">
        <f aca="false">INDEX('Site-uri'!$C$2:$C$20,MATCH(C271,'Site-uri'!$A$2:$A$20,0))</f>
        <v>/</v>
      </c>
      <c r="F271" s="10" t="str">
        <f aca="false">B271</f>
        <v>firmsfinder.eu</v>
      </c>
      <c r="G271" s="10" t="str">
        <f aca="false">Config!$B$5</f>
        <v>network</v>
      </c>
      <c r="H271" s="10" t="str">
        <f aca="false">Config!$B$3</f>
        <v>2610_ff_lansare</v>
      </c>
      <c r="I271" s="10" t="str">
        <f aca="false">Config!$B$4</f>
        <v>general</v>
      </c>
      <c r="J271" s="10" t="str">
        <f aca="false">"https://"&amp;D271&amp;E271&amp;"?utm_source="&amp;F271&amp;"&amp;utm_medium="&amp;G271&amp;"&amp;utm_campaign="&amp;H271&amp;"&amp;utm_content="&amp;I271</f>
        <v>https://ecbtax.com/?utm_source=firmsfinder.eu&amp;utm_medium=network&amp;utm_campaign=2610_ff_lansare&amp;utm_content=general</v>
      </c>
    </row>
    <row r="272" customFormat="false" ht="15" hidden="false" customHeight="false" outlineLevel="0" collapsed="false">
      <c r="A272" s="10" t="s">
        <v>89</v>
      </c>
      <c r="B272" s="10" t="str">
        <f aca="false">INDEX('Site-uri'!$B$2:$B$20,MATCH(A272,'Site-uri'!$A$2:$A$20,0))</f>
        <v>b2b-ai-library.org</v>
      </c>
      <c r="C272" s="10" t="s">
        <v>45</v>
      </c>
      <c r="D272" s="10" t="str">
        <f aca="false">INDEX('Site-uri'!$B$2:$B$20,MATCH(C272,'Site-uri'!$A$2:$A$20,0))</f>
        <v>5thelement.ai</v>
      </c>
      <c r="E272" s="10" t="str">
        <f aca="false">INDEX('Site-uri'!$C$2:$C$20,MATCH(C272,'Site-uri'!$A$2:$A$20,0))</f>
        <v>/</v>
      </c>
      <c r="F272" s="10" t="str">
        <f aca="false">B272</f>
        <v>b2b-ai-library.org</v>
      </c>
      <c r="G272" s="10" t="str">
        <f aca="false">Config!$B$5</f>
        <v>network</v>
      </c>
      <c r="H272" s="10" t="str">
        <f aca="false">Config!$B$3</f>
        <v>2610_ff_lansare</v>
      </c>
      <c r="I272" s="10" t="str">
        <f aca="false">Config!$B$4</f>
        <v>general</v>
      </c>
      <c r="J272" s="10" t="str">
        <f aca="false">"https://"&amp;D272&amp;E272&amp;"?utm_source="&amp;F272&amp;"&amp;utm_medium="&amp;G272&amp;"&amp;utm_campaign="&amp;H272&amp;"&amp;utm_content="&amp;I272</f>
        <v>https://5thelement.ai/?utm_source=b2b-ai-library.org&amp;utm_medium=network&amp;utm_campaign=2610_ff_lansare&amp;utm_content=general</v>
      </c>
    </row>
    <row r="273" customFormat="false" ht="15" hidden="false" customHeight="false" outlineLevel="0" collapsed="false">
      <c r="A273" s="10" t="s">
        <v>89</v>
      </c>
      <c r="B273" s="10" t="str">
        <f aca="false">INDEX('Site-uri'!$B$2:$B$20,MATCH(A273,'Site-uri'!$A$2:$A$20,0))</f>
        <v>b2b-ai-library.org</v>
      </c>
      <c r="C273" s="10" t="s">
        <v>49</v>
      </c>
      <c r="D273" s="10" t="str">
        <f aca="false">INDEX('Site-uri'!$B$2:$B$20,MATCH(C273,'Site-uri'!$A$2:$A$20,0))</f>
        <v>aiventure.ro</v>
      </c>
      <c r="E273" s="10" t="str">
        <f aca="false">INDEX('Site-uri'!$C$2:$C$20,MATCH(C273,'Site-uri'!$A$2:$A$20,0))</f>
        <v>/</v>
      </c>
      <c r="F273" s="10" t="str">
        <f aca="false">B273</f>
        <v>b2b-ai-library.org</v>
      </c>
      <c r="G273" s="10" t="str">
        <f aca="false">Config!$B$5</f>
        <v>network</v>
      </c>
      <c r="H273" s="10" t="str">
        <f aca="false">Config!$B$3</f>
        <v>2610_ff_lansare</v>
      </c>
      <c r="I273" s="10" t="str">
        <f aca="false">Config!$B$4</f>
        <v>general</v>
      </c>
      <c r="J273" s="10" t="str">
        <f aca="false">"https://"&amp;D273&amp;E273&amp;"?utm_source="&amp;F273&amp;"&amp;utm_medium="&amp;G273&amp;"&amp;utm_campaign="&amp;H273&amp;"&amp;utm_content="&amp;I273</f>
        <v>https://aiventure.ro/?utm_source=b2b-ai-library.org&amp;utm_medium=network&amp;utm_campaign=2610_ff_lansare&amp;utm_content=general</v>
      </c>
    </row>
    <row r="274" customFormat="false" ht="15" hidden="false" customHeight="false" outlineLevel="0" collapsed="false">
      <c r="A274" s="10" t="s">
        <v>89</v>
      </c>
      <c r="B274" s="10" t="str">
        <f aca="false">INDEX('Site-uri'!$B$2:$B$20,MATCH(A274,'Site-uri'!$A$2:$A$20,0))</f>
        <v>b2b-ai-library.org</v>
      </c>
      <c r="C274" s="10" t="s">
        <v>52</v>
      </c>
      <c r="D274" s="10" t="str">
        <f aca="false">INDEX('Site-uri'!$B$2:$B$20,MATCH(C274,'Site-uri'!$A$2:$A$20,0))</f>
        <v>aiventure.uk</v>
      </c>
      <c r="E274" s="10" t="str">
        <f aca="false">INDEX('Site-uri'!$C$2:$C$20,MATCH(C274,'Site-uri'!$A$2:$A$20,0))</f>
        <v>/</v>
      </c>
      <c r="F274" s="10" t="str">
        <f aca="false">B274</f>
        <v>b2b-ai-library.org</v>
      </c>
      <c r="G274" s="10" t="str">
        <f aca="false">Config!$B$5</f>
        <v>network</v>
      </c>
      <c r="H274" s="10" t="str">
        <f aca="false">Config!$B$3</f>
        <v>2610_ff_lansare</v>
      </c>
      <c r="I274" s="10" t="str">
        <f aca="false">Config!$B$4</f>
        <v>general</v>
      </c>
      <c r="J274" s="10" t="str">
        <f aca="false">"https://"&amp;D274&amp;E274&amp;"?utm_source="&amp;F274&amp;"&amp;utm_medium="&amp;G274&amp;"&amp;utm_campaign="&amp;H274&amp;"&amp;utm_content="&amp;I274</f>
        <v>https://aiventure.uk/?utm_source=b2b-ai-library.org&amp;utm_medium=network&amp;utm_campaign=2610_ff_lansare&amp;utm_content=general</v>
      </c>
    </row>
    <row r="275" customFormat="false" ht="15" hidden="false" customHeight="false" outlineLevel="0" collapsed="false">
      <c r="A275" s="10" t="s">
        <v>89</v>
      </c>
      <c r="B275" s="10" t="str">
        <f aca="false">INDEX('Site-uri'!$B$2:$B$20,MATCH(A275,'Site-uri'!$A$2:$A$20,0))</f>
        <v>b2b-ai-library.org</v>
      </c>
      <c r="C275" s="10" t="s">
        <v>55</v>
      </c>
      <c r="D275" s="10" t="str">
        <f aca="false">INDEX('Site-uri'!$B$2:$B$20,MATCH(C275,'Site-uri'!$A$2:$A$20,0))</f>
        <v>3webobs.com</v>
      </c>
      <c r="E275" s="10" t="str">
        <f aca="false">INDEX('Site-uri'!$C$2:$C$20,MATCH(C275,'Site-uri'!$A$2:$A$20,0))</f>
        <v>/</v>
      </c>
      <c r="F275" s="10" t="str">
        <f aca="false">B275</f>
        <v>b2b-ai-library.org</v>
      </c>
      <c r="G275" s="10" t="str">
        <f aca="false">Config!$B$5</f>
        <v>network</v>
      </c>
      <c r="H275" s="10" t="str">
        <f aca="false">Config!$B$3</f>
        <v>2610_ff_lansare</v>
      </c>
      <c r="I275" s="10" t="str">
        <f aca="false">Config!$B$4</f>
        <v>general</v>
      </c>
      <c r="J275" s="10" t="str">
        <f aca="false">"https://"&amp;D275&amp;E275&amp;"?utm_source="&amp;F275&amp;"&amp;utm_medium="&amp;G275&amp;"&amp;utm_campaign="&amp;H275&amp;"&amp;utm_content="&amp;I275</f>
        <v>https://3webobs.com/?utm_source=b2b-ai-library.org&amp;utm_medium=network&amp;utm_campaign=2610_ff_lansare&amp;utm_content=general</v>
      </c>
    </row>
    <row r="276" customFormat="false" ht="15" hidden="false" customHeight="false" outlineLevel="0" collapsed="false">
      <c r="A276" s="10" t="s">
        <v>89</v>
      </c>
      <c r="B276" s="10" t="str">
        <f aca="false">INDEX('Site-uri'!$B$2:$B$20,MATCH(A276,'Site-uri'!$A$2:$A$20,0))</f>
        <v>b2b-ai-library.org</v>
      </c>
      <c r="C276" s="10" t="s">
        <v>58</v>
      </c>
      <c r="D276" s="10" t="str">
        <f aca="false">INDEX('Site-uri'!$B$2:$B$20,MATCH(C276,'Site-uri'!$A$2:$A$20,0))</f>
        <v>ai-lens.eu</v>
      </c>
      <c r="E276" s="10" t="str">
        <f aca="false">INDEX('Site-uri'!$C$2:$C$20,MATCH(C276,'Site-uri'!$A$2:$A$20,0))</f>
        <v>/</v>
      </c>
      <c r="F276" s="10" t="str">
        <f aca="false">B276</f>
        <v>b2b-ai-library.org</v>
      </c>
      <c r="G276" s="10" t="str">
        <f aca="false">Config!$B$5</f>
        <v>network</v>
      </c>
      <c r="H276" s="10" t="str">
        <f aca="false">Config!$B$3</f>
        <v>2610_ff_lansare</v>
      </c>
      <c r="I276" s="10" t="str">
        <f aca="false">Config!$B$4</f>
        <v>general</v>
      </c>
      <c r="J276" s="10" t="str">
        <f aca="false">"https://"&amp;D276&amp;E276&amp;"?utm_source="&amp;F276&amp;"&amp;utm_medium="&amp;G276&amp;"&amp;utm_campaign="&amp;H276&amp;"&amp;utm_content="&amp;I276</f>
        <v>https://ai-lens.eu/?utm_source=b2b-ai-library.org&amp;utm_medium=network&amp;utm_campaign=2610_ff_lansare&amp;utm_content=general</v>
      </c>
    </row>
    <row r="277" customFormat="false" ht="15" hidden="false" customHeight="false" outlineLevel="0" collapsed="false">
      <c r="A277" s="10" t="s">
        <v>89</v>
      </c>
      <c r="B277" s="10" t="str">
        <f aca="false">INDEX('Site-uri'!$B$2:$B$20,MATCH(A277,'Site-uri'!$A$2:$A$20,0))</f>
        <v>b2b-ai-library.org</v>
      </c>
      <c r="C277" s="10" t="s">
        <v>61</v>
      </c>
      <c r="D277" s="10" t="str">
        <f aca="false">INDEX('Site-uri'!$B$2:$B$20,MATCH(C277,'Site-uri'!$A$2:$A$20,0))</f>
        <v>aireadyinjector.com</v>
      </c>
      <c r="E277" s="10" t="str">
        <f aca="false">INDEX('Site-uri'!$C$2:$C$20,MATCH(C277,'Site-uri'!$A$2:$A$20,0))</f>
        <v>/</v>
      </c>
      <c r="F277" s="10" t="str">
        <f aca="false">B277</f>
        <v>b2b-ai-library.org</v>
      </c>
      <c r="G277" s="10" t="str">
        <f aca="false">Config!$B$5</f>
        <v>network</v>
      </c>
      <c r="H277" s="10" t="str">
        <f aca="false">Config!$B$3</f>
        <v>2610_ff_lansare</v>
      </c>
      <c r="I277" s="10" t="str">
        <f aca="false">Config!$B$4</f>
        <v>general</v>
      </c>
      <c r="J277" s="10" t="str">
        <f aca="false">"https://"&amp;D277&amp;E277&amp;"?utm_source="&amp;F277&amp;"&amp;utm_medium="&amp;G277&amp;"&amp;utm_campaign="&amp;H277&amp;"&amp;utm_content="&amp;I277</f>
        <v>https://aireadyinjector.com/?utm_source=b2b-ai-library.org&amp;utm_medium=network&amp;utm_campaign=2610_ff_lansare&amp;utm_content=general</v>
      </c>
    </row>
    <row r="278" customFormat="false" ht="15" hidden="false" customHeight="false" outlineLevel="0" collapsed="false">
      <c r="A278" s="10" t="s">
        <v>89</v>
      </c>
      <c r="B278" s="10" t="str">
        <f aca="false">INDEX('Site-uri'!$B$2:$B$20,MATCH(A278,'Site-uri'!$A$2:$A$20,0))</f>
        <v>b2b-ai-library.org</v>
      </c>
      <c r="C278" s="10" t="s">
        <v>64</v>
      </c>
      <c r="D278" s="10" t="str">
        <f aca="false">INDEX('Site-uri'!$B$2:$B$20,MATCH(C278,'Site-uri'!$A$2:$A$20,0))</f>
        <v>eu-ai-audit.eu</v>
      </c>
      <c r="E278" s="10" t="str">
        <f aca="false">INDEX('Site-uri'!$C$2:$C$20,MATCH(C278,'Site-uri'!$A$2:$A$20,0))</f>
        <v>/</v>
      </c>
      <c r="F278" s="10" t="str">
        <f aca="false">B278</f>
        <v>b2b-ai-library.org</v>
      </c>
      <c r="G278" s="10" t="str">
        <f aca="false">Config!$B$5</f>
        <v>network</v>
      </c>
      <c r="H278" s="10" t="str">
        <f aca="false">Config!$B$3</f>
        <v>2610_ff_lansare</v>
      </c>
      <c r="I278" s="10" t="str">
        <f aca="false">Config!$B$4</f>
        <v>general</v>
      </c>
      <c r="J278" s="10" t="str">
        <f aca="false">"https://"&amp;D278&amp;E278&amp;"?utm_source="&amp;F278&amp;"&amp;utm_medium="&amp;G278&amp;"&amp;utm_campaign="&amp;H278&amp;"&amp;utm_content="&amp;I278</f>
        <v>https://eu-ai-audit.eu/?utm_source=b2b-ai-library.org&amp;utm_medium=network&amp;utm_campaign=2610_ff_lansare&amp;utm_content=general</v>
      </c>
    </row>
    <row r="279" customFormat="false" ht="15" hidden="false" customHeight="false" outlineLevel="0" collapsed="false">
      <c r="A279" s="10" t="s">
        <v>89</v>
      </c>
      <c r="B279" s="10" t="str">
        <f aca="false">INDEX('Site-uri'!$B$2:$B$20,MATCH(A279,'Site-uri'!$A$2:$A$20,0))</f>
        <v>b2b-ai-library.org</v>
      </c>
      <c r="C279" s="10" t="s">
        <v>67</v>
      </c>
      <c r="D279" s="10" t="str">
        <f aca="false">INDEX('Site-uri'!$B$2:$B$20,MATCH(C279,'Site-uri'!$A$2:$A$20,0))</f>
        <v>eu-ai-ready.eu</v>
      </c>
      <c r="E279" s="10" t="str">
        <f aca="false">INDEX('Site-uri'!$C$2:$C$20,MATCH(C279,'Site-uri'!$A$2:$A$20,0))</f>
        <v>/</v>
      </c>
      <c r="F279" s="10" t="str">
        <f aca="false">B279</f>
        <v>b2b-ai-library.org</v>
      </c>
      <c r="G279" s="10" t="str">
        <f aca="false">Config!$B$5</f>
        <v>network</v>
      </c>
      <c r="H279" s="10" t="str">
        <f aca="false">Config!$B$3</f>
        <v>2610_ff_lansare</v>
      </c>
      <c r="I279" s="10" t="str">
        <f aca="false">Config!$B$4</f>
        <v>general</v>
      </c>
      <c r="J279" s="10" t="str">
        <f aca="false">"https://"&amp;D279&amp;E279&amp;"?utm_source="&amp;F279&amp;"&amp;utm_medium="&amp;G279&amp;"&amp;utm_campaign="&amp;H279&amp;"&amp;utm_content="&amp;I279</f>
        <v>https://eu-ai-ready.eu/?utm_source=b2b-ai-library.org&amp;utm_medium=network&amp;utm_campaign=2610_ff_lansare&amp;utm_content=general</v>
      </c>
    </row>
    <row r="280" customFormat="false" ht="15" hidden="false" customHeight="false" outlineLevel="0" collapsed="false">
      <c r="A280" s="10" t="s">
        <v>89</v>
      </c>
      <c r="B280" s="10" t="str">
        <f aca="false">INDEX('Site-uri'!$B$2:$B$20,MATCH(A280,'Site-uri'!$A$2:$A$20,0))</f>
        <v>b2b-ai-library.org</v>
      </c>
      <c r="C280" s="10" t="s">
        <v>69</v>
      </c>
      <c r="D280" s="10" t="str">
        <f aca="false">INDEX('Site-uri'!$B$2:$B$20,MATCH(C280,'Site-uri'!$A$2:$A$20,0))</f>
        <v>eu-ai-act.ro</v>
      </c>
      <c r="E280" s="10" t="str">
        <f aca="false">INDEX('Site-uri'!$C$2:$C$20,MATCH(C280,'Site-uri'!$A$2:$A$20,0))</f>
        <v>/</v>
      </c>
      <c r="F280" s="10" t="str">
        <f aca="false">B280</f>
        <v>b2b-ai-library.org</v>
      </c>
      <c r="G280" s="10" t="str">
        <f aca="false">Config!$B$5</f>
        <v>network</v>
      </c>
      <c r="H280" s="10" t="str">
        <f aca="false">Config!$B$3</f>
        <v>2610_ff_lansare</v>
      </c>
      <c r="I280" s="10" t="str">
        <f aca="false">Config!$B$4</f>
        <v>general</v>
      </c>
      <c r="J280" s="10" t="str">
        <f aca="false">"https://"&amp;D280&amp;E280&amp;"?utm_source="&amp;F280&amp;"&amp;utm_medium="&amp;G280&amp;"&amp;utm_campaign="&amp;H280&amp;"&amp;utm_content="&amp;I280</f>
        <v>https://eu-ai-act.ro/?utm_source=b2b-ai-library.org&amp;utm_medium=network&amp;utm_campaign=2610_ff_lansare&amp;utm_content=general</v>
      </c>
    </row>
    <row r="281" customFormat="false" ht="15" hidden="false" customHeight="false" outlineLevel="0" collapsed="false">
      <c r="A281" s="10" t="s">
        <v>89</v>
      </c>
      <c r="B281" s="10" t="str">
        <f aca="false">INDEX('Site-uri'!$B$2:$B$20,MATCH(A281,'Site-uri'!$A$2:$A$20,0))</f>
        <v>b2b-ai-library.org</v>
      </c>
      <c r="C281" s="10" t="s">
        <v>72</v>
      </c>
      <c r="D281" s="10" t="str">
        <f aca="false">INDEX('Site-uri'!$B$2:$B$20,MATCH(C281,'Site-uri'!$A$2:$A$20,0))</f>
        <v>eu-ai-act-ready.eu</v>
      </c>
      <c r="E281" s="10" t="str">
        <f aca="false">INDEX('Site-uri'!$C$2:$C$20,MATCH(C281,'Site-uri'!$A$2:$A$20,0))</f>
        <v>/</v>
      </c>
      <c r="F281" s="10" t="str">
        <f aca="false">B281</f>
        <v>b2b-ai-library.org</v>
      </c>
      <c r="G281" s="10" t="str">
        <f aca="false">Config!$B$5</f>
        <v>network</v>
      </c>
      <c r="H281" s="10" t="str">
        <f aca="false">Config!$B$3</f>
        <v>2610_ff_lansare</v>
      </c>
      <c r="I281" s="10" t="str">
        <f aca="false">Config!$B$4</f>
        <v>general</v>
      </c>
      <c r="J281" s="10" t="str">
        <f aca="false">"https://"&amp;D281&amp;E281&amp;"?utm_source="&amp;F281&amp;"&amp;utm_medium="&amp;G281&amp;"&amp;utm_campaign="&amp;H281&amp;"&amp;utm_content="&amp;I281</f>
        <v>https://eu-ai-act-ready.eu/?utm_source=b2b-ai-library.org&amp;utm_medium=network&amp;utm_campaign=2610_ff_lansare&amp;utm_content=general</v>
      </c>
    </row>
    <row r="282" customFormat="false" ht="15" hidden="false" customHeight="false" outlineLevel="0" collapsed="false">
      <c r="A282" s="10" t="s">
        <v>89</v>
      </c>
      <c r="B282" s="10" t="str">
        <f aca="false">INDEX('Site-uri'!$B$2:$B$20,MATCH(A282,'Site-uri'!$A$2:$A$20,0))</f>
        <v>b2b-ai-library.org</v>
      </c>
      <c r="C282" s="10" t="s">
        <v>75</v>
      </c>
      <c r="D282" s="10" t="str">
        <f aca="false">INDEX('Site-uri'!$B$2:$B$20,MATCH(C282,'Site-uri'!$A$2:$A$20,0))</f>
        <v>eu-112.ro</v>
      </c>
      <c r="E282" s="10" t="str">
        <f aca="false">INDEX('Site-uri'!$C$2:$C$20,MATCH(C282,'Site-uri'!$A$2:$A$20,0))</f>
        <v>/</v>
      </c>
      <c r="F282" s="10" t="str">
        <f aca="false">B282</f>
        <v>b2b-ai-library.org</v>
      </c>
      <c r="G282" s="10" t="str">
        <f aca="false">Config!$B$5</f>
        <v>network</v>
      </c>
      <c r="H282" s="10" t="str">
        <f aca="false">Config!$B$3</f>
        <v>2610_ff_lansare</v>
      </c>
      <c r="I282" s="10" t="str">
        <f aca="false">Config!$B$4</f>
        <v>general</v>
      </c>
      <c r="J282" s="10" t="str">
        <f aca="false">"https://"&amp;D282&amp;E282&amp;"?utm_source="&amp;F282&amp;"&amp;utm_medium="&amp;G282&amp;"&amp;utm_campaign="&amp;H282&amp;"&amp;utm_content="&amp;I282</f>
        <v>https://eu-112.ro/?utm_source=b2b-ai-library.org&amp;utm_medium=network&amp;utm_campaign=2610_ff_lansare&amp;utm_content=general</v>
      </c>
    </row>
    <row r="283" customFormat="false" ht="15" hidden="false" customHeight="false" outlineLevel="0" collapsed="false">
      <c r="A283" s="10" t="s">
        <v>89</v>
      </c>
      <c r="B283" s="10" t="str">
        <f aca="false">INDEX('Site-uri'!$B$2:$B$20,MATCH(A283,'Site-uri'!$A$2:$A$20,0))</f>
        <v>b2b-ai-library.org</v>
      </c>
      <c r="C283" s="10" t="s">
        <v>78</v>
      </c>
      <c r="D283" s="10" t="str">
        <f aca="false">INDEX('Site-uri'!$B$2:$B$20,MATCH(C283,'Site-uri'!$A$2:$A$20,0))</f>
        <v>eu-112.eu</v>
      </c>
      <c r="E283" s="10" t="str">
        <f aca="false">INDEX('Site-uri'!$C$2:$C$20,MATCH(C283,'Site-uri'!$A$2:$A$20,0))</f>
        <v>/</v>
      </c>
      <c r="F283" s="10" t="str">
        <f aca="false">B283</f>
        <v>b2b-ai-library.org</v>
      </c>
      <c r="G283" s="10" t="str">
        <f aca="false">Config!$B$5</f>
        <v>network</v>
      </c>
      <c r="H283" s="10" t="str">
        <f aca="false">Config!$B$3</f>
        <v>2610_ff_lansare</v>
      </c>
      <c r="I283" s="10" t="str">
        <f aca="false">Config!$B$4</f>
        <v>general</v>
      </c>
      <c r="J283" s="10" t="str">
        <f aca="false">"https://"&amp;D283&amp;E283&amp;"?utm_source="&amp;F283&amp;"&amp;utm_medium="&amp;G283&amp;"&amp;utm_campaign="&amp;H283&amp;"&amp;utm_content="&amp;I283</f>
        <v>https://eu-112.eu/?utm_source=b2b-ai-library.org&amp;utm_medium=network&amp;utm_campaign=2610_ff_lansare&amp;utm_content=general</v>
      </c>
    </row>
    <row r="284" customFormat="false" ht="15" hidden="false" customHeight="false" outlineLevel="0" collapsed="false">
      <c r="A284" s="10" t="s">
        <v>89</v>
      </c>
      <c r="B284" s="10" t="str">
        <f aca="false">INDEX('Site-uri'!$B$2:$B$20,MATCH(A284,'Site-uri'!$A$2:$A$20,0))</f>
        <v>b2b-ai-library.org</v>
      </c>
      <c r="C284" s="10" t="s">
        <v>81</v>
      </c>
      <c r="D284" s="10" t="str">
        <f aca="false">INDEX('Site-uri'!$B$2:$B$20,MATCH(C284,'Site-uri'!$A$2:$A$20,0))</f>
        <v>1clic-ia.eu</v>
      </c>
      <c r="E284" s="10" t="str">
        <f aca="false">INDEX('Site-uri'!$C$2:$C$20,MATCH(C284,'Site-uri'!$A$2:$A$20,0))</f>
        <v>/</v>
      </c>
      <c r="F284" s="10" t="str">
        <f aca="false">B284</f>
        <v>b2b-ai-library.org</v>
      </c>
      <c r="G284" s="10" t="str">
        <f aca="false">Config!$B$5</f>
        <v>network</v>
      </c>
      <c r="H284" s="10" t="str">
        <f aca="false">Config!$B$3</f>
        <v>2610_ff_lansare</v>
      </c>
      <c r="I284" s="10" t="str">
        <f aca="false">Config!$B$4</f>
        <v>general</v>
      </c>
      <c r="J284" s="10" t="str">
        <f aca="false">"https://"&amp;D284&amp;E284&amp;"?utm_source="&amp;F284&amp;"&amp;utm_medium="&amp;G284&amp;"&amp;utm_campaign="&amp;H284&amp;"&amp;utm_content="&amp;I284</f>
        <v>https://1clic-ia.eu/?utm_source=b2b-ai-library.org&amp;utm_medium=network&amp;utm_campaign=2610_ff_lansare&amp;utm_content=general</v>
      </c>
    </row>
    <row r="285" customFormat="false" ht="15" hidden="false" customHeight="false" outlineLevel="0" collapsed="false">
      <c r="A285" s="10" t="s">
        <v>89</v>
      </c>
      <c r="B285" s="10" t="str">
        <f aca="false">INDEX('Site-uri'!$B$2:$B$20,MATCH(A285,'Site-uri'!$A$2:$A$20,0))</f>
        <v>b2b-ai-library.org</v>
      </c>
      <c r="C285" s="10" t="s">
        <v>84</v>
      </c>
      <c r="D285" s="10" t="str">
        <f aca="false">INDEX('Site-uri'!$B$2:$B$20,MATCH(C285,'Site-uri'!$A$2:$A$20,0))</f>
        <v>1clic-ia.fr</v>
      </c>
      <c r="E285" s="10" t="str">
        <f aca="false">INDEX('Site-uri'!$C$2:$C$20,MATCH(C285,'Site-uri'!$A$2:$A$20,0))</f>
        <v>/</v>
      </c>
      <c r="F285" s="10" t="str">
        <f aca="false">B285</f>
        <v>b2b-ai-library.org</v>
      </c>
      <c r="G285" s="10" t="str">
        <f aca="false">Config!$B$5</f>
        <v>network</v>
      </c>
      <c r="H285" s="10" t="str">
        <f aca="false">Config!$B$3</f>
        <v>2610_ff_lansare</v>
      </c>
      <c r="I285" s="10" t="str">
        <f aca="false">Config!$B$4</f>
        <v>general</v>
      </c>
      <c r="J285" s="10" t="str">
        <f aca="false">"https://"&amp;D285&amp;E285&amp;"?utm_source="&amp;F285&amp;"&amp;utm_medium="&amp;G285&amp;"&amp;utm_campaign="&amp;H285&amp;"&amp;utm_content="&amp;I285</f>
        <v>https://1clic-ia.fr/?utm_source=b2b-ai-library.org&amp;utm_medium=network&amp;utm_campaign=2610_ff_lansare&amp;utm_content=general</v>
      </c>
    </row>
    <row r="286" customFormat="false" ht="15" hidden="false" customHeight="false" outlineLevel="0" collapsed="false">
      <c r="A286" s="10" t="s">
        <v>89</v>
      </c>
      <c r="B286" s="10" t="str">
        <f aca="false">INDEX('Site-uri'!$B$2:$B$20,MATCH(A286,'Site-uri'!$A$2:$A$20,0))</f>
        <v>b2b-ai-library.org</v>
      </c>
      <c r="C286" s="10" t="s">
        <v>86</v>
      </c>
      <c r="D286" s="10" t="str">
        <f aca="false">INDEX('Site-uri'!$B$2:$B$20,MATCH(C286,'Site-uri'!$A$2:$A$20,0))</f>
        <v>firmsfinder.eu</v>
      </c>
      <c r="E286" s="10" t="str">
        <f aca="false">INDEX('Site-uri'!$C$2:$C$20,MATCH(C286,'Site-uri'!$A$2:$A$20,0))</f>
        <v>/</v>
      </c>
      <c r="F286" s="10" t="str">
        <f aca="false">B286</f>
        <v>b2b-ai-library.org</v>
      </c>
      <c r="G286" s="10" t="str">
        <f aca="false">Config!$B$5</f>
        <v>network</v>
      </c>
      <c r="H286" s="10" t="str">
        <f aca="false">Config!$B$3</f>
        <v>2610_ff_lansare</v>
      </c>
      <c r="I286" s="10" t="str">
        <f aca="false">Config!$B$4</f>
        <v>general</v>
      </c>
      <c r="J286" s="10" t="str">
        <f aca="false">"https://"&amp;D286&amp;E286&amp;"?utm_source="&amp;F286&amp;"&amp;utm_medium="&amp;G286&amp;"&amp;utm_campaign="&amp;H286&amp;"&amp;utm_content="&amp;I286</f>
        <v>https://firmsfinder.eu/?utm_source=b2b-ai-library.org&amp;utm_medium=network&amp;utm_campaign=2610_ff_lansare&amp;utm_content=general</v>
      </c>
    </row>
    <row r="287" customFormat="false" ht="15" hidden="false" customHeight="false" outlineLevel="0" collapsed="false">
      <c r="A287" s="10" t="s">
        <v>89</v>
      </c>
      <c r="B287" s="10" t="str">
        <f aca="false">INDEX('Site-uri'!$B$2:$B$20,MATCH(A287,'Site-uri'!$A$2:$A$20,0))</f>
        <v>b2b-ai-library.org</v>
      </c>
      <c r="C287" s="10" t="s">
        <v>91</v>
      </c>
      <c r="D287" s="10" t="str">
        <f aca="false">INDEX('Site-uri'!$B$2:$B$20,MATCH(C287,'Site-uri'!$A$2:$A$20,0))</f>
        <v>the3webs.com</v>
      </c>
      <c r="E287" s="10" t="str">
        <f aca="false">INDEX('Site-uri'!$C$2:$C$20,MATCH(C287,'Site-uri'!$A$2:$A$20,0))</f>
        <v>/</v>
      </c>
      <c r="F287" s="10" t="str">
        <f aca="false">B287</f>
        <v>b2b-ai-library.org</v>
      </c>
      <c r="G287" s="10" t="str">
        <f aca="false">Config!$B$5</f>
        <v>network</v>
      </c>
      <c r="H287" s="10" t="str">
        <f aca="false">Config!$B$3</f>
        <v>2610_ff_lansare</v>
      </c>
      <c r="I287" s="10" t="str">
        <f aca="false">Config!$B$4</f>
        <v>general</v>
      </c>
      <c r="J287" s="10" t="str">
        <f aca="false">"https://"&amp;D287&amp;E287&amp;"?utm_source="&amp;F287&amp;"&amp;utm_medium="&amp;G287&amp;"&amp;utm_campaign="&amp;H287&amp;"&amp;utm_content="&amp;I287</f>
        <v>https://the3webs.com/?utm_source=b2b-ai-library.org&amp;utm_medium=network&amp;utm_campaign=2610_ff_lansare&amp;utm_content=general</v>
      </c>
    </row>
    <row r="288" customFormat="false" ht="15" hidden="false" customHeight="false" outlineLevel="0" collapsed="false">
      <c r="A288" s="10" t="s">
        <v>89</v>
      </c>
      <c r="B288" s="10" t="str">
        <f aca="false">INDEX('Site-uri'!$B$2:$B$20,MATCH(A288,'Site-uri'!$A$2:$A$20,0))</f>
        <v>b2b-ai-library.org</v>
      </c>
      <c r="C288" s="10" t="s">
        <v>94</v>
      </c>
      <c r="D288" s="10" t="str">
        <f aca="false">INDEX('Site-uri'!$B$2:$B$20,MATCH(C288,'Site-uri'!$A$2:$A$20,0))</f>
        <v>floride-e2.com</v>
      </c>
      <c r="E288" s="10" t="str">
        <f aca="false">INDEX('Site-uri'!$C$2:$C$20,MATCH(C288,'Site-uri'!$A$2:$A$20,0))</f>
        <v>/</v>
      </c>
      <c r="F288" s="10" t="str">
        <f aca="false">B288</f>
        <v>b2b-ai-library.org</v>
      </c>
      <c r="G288" s="10" t="str">
        <f aca="false">Config!$B$5</f>
        <v>network</v>
      </c>
      <c r="H288" s="10" t="str">
        <f aca="false">Config!$B$3</f>
        <v>2610_ff_lansare</v>
      </c>
      <c r="I288" s="10" t="str">
        <f aca="false">Config!$B$4</f>
        <v>general</v>
      </c>
      <c r="J288" s="10" t="str">
        <f aca="false">"https://"&amp;D288&amp;E288&amp;"?utm_source="&amp;F288&amp;"&amp;utm_medium="&amp;G288&amp;"&amp;utm_campaign="&amp;H288&amp;"&amp;utm_content="&amp;I288</f>
        <v>https://floride-e2.com/?utm_source=b2b-ai-library.org&amp;utm_medium=network&amp;utm_campaign=2610_ff_lansare&amp;utm_content=general</v>
      </c>
    </row>
    <row r="289" customFormat="false" ht="15" hidden="false" customHeight="false" outlineLevel="0" collapsed="false">
      <c r="A289" s="10" t="s">
        <v>89</v>
      </c>
      <c r="B289" s="10" t="str">
        <f aca="false">INDEX('Site-uri'!$B$2:$B$20,MATCH(A289,'Site-uri'!$A$2:$A$20,0))</f>
        <v>b2b-ai-library.org</v>
      </c>
      <c r="C289" s="10" t="s">
        <v>96</v>
      </c>
      <c r="D289" s="10" t="str">
        <f aca="false">INDEX('Site-uri'!$B$2:$B$20,MATCH(C289,'Site-uri'!$A$2:$A$20,0))</f>
        <v>ecbtax.com</v>
      </c>
      <c r="E289" s="10" t="str">
        <f aca="false">INDEX('Site-uri'!$C$2:$C$20,MATCH(C289,'Site-uri'!$A$2:$A$20,0))</f>
        <v>/</v>
      </c>
      <c r="F289" s="10" t="str">
        <f aca="false">B289</f>
        <v>b2b-ai-library.org</v>
      </c>
      <c r="G289" s="10" t="str">
        <f aca="false">Config!$B$5</f>
        <v>network</v>
      </c>
      <c r="H289" s="10" t="str">
        <f aca="false">Config!$B$3</f>
        <v>2610_ff_lansare</v>
      </c>
      <c r="I289" s="10" t="str">
        <f aca="false">Config!$B$4</f>
        <v>general</v>
      </c>
      <c r="J289" s="10" t="str">
        <f aca="false">"https://"&amp;D289&amp;E289&amp;"?utm_source="&amp;F289&amp;"&amp;utm_medium="&amp;G289&amp;"&amp;utm_campaign="&amp;H289&amp;"&amp;utm_content="&amp;I289</f>
        <v>https://ecbtax.com/?utm_source=b2b-ai-library.org&amp;utm_medium=network&amp;utm_campaign=2610_ff_lansare&amp;utm_content=general</v>
      </c>
    </row>
    <row r="290" customFormat="false" ht="15" hidden="false" customHeight="false" outlineLevel="0" collapsed="false">
      <c r="A290" s="10" t="s">
        <v>91</v>
      </c>
      <c r="B290" s="10" t="str">
        <f aca="false">INDEX('Site-uri'!$B$2:$B$20,MATCH(A290,'Site-uri'!$A$2:$A$20,0))</f>
        <v>the3webs.com</v>
      </c>
      <c r="C290" s="10" t="s">
        <v>45</v>
      </c>
      <c r="D290" s="10" t="str">
        <f aca="false">INDEX('Site-uri'!$B$2:$B$20,MATCH(C290,'Site-uri'!$A$2:$A$20,0))</f>
        <v>5thelement.ai</v>
      </c>
      <c r="E290" s="10" t="str">
        <f aca="false">INDEX('Site-uri'!$C$2:$C$20,MATCH(C290,'Site-uri'!$A$2:$A$20,0))</f>
        <v>/</v>
      </c>
      <c r="F290" s="10" t="str">
        <f aca="false">B290</f>
        <v>the3webs.com</v>
      </c>
      <c r="G290" s="10" t="str">
        <f aca="false">Config!$B$5</f>
        <v>network</v>
      </c>
      <c r="H290" s="10" t="str">
        <f aca="false">Config!$B$3</f>
        <v>2610_ff_lansare</v>
      </c>
      <c r="I290" s="10" t="str">
        <f aca="false">Config!$B$4</f>
        <v>general</v>
      </c>
      <c r="J290" s="10" t="str">
        <f aca="false">"https://"&amp;D290&amp;E290&amp;"?utm_source="&amp;F290&amp;"&amp;utm_medium="&amp;G290&amp;"&amp;utm_campaign="&amp;H290&amp;"&amp;utm_content="&amp;I290</f>
        <v>https://5thelement.ai/?utm_source=the3webs.com&amp;utm_medium=network&amp;utm_campaign=2610_ff_lansare&amp;utm_content=general</v>
      </c>
    </row>
    <row r="291" customFormat="false" ht="15" hidden="false" customHeight="false" outlineLevel="0" collapsed="false">
      <c r="A291" s="10" t="s">
        <v>91</v>
      </c>
      <c r="B291" s="10" t="str">
        <f aca="false">INDEX('Site-uri'!$B$2:$B$20,MATCH(A291,'Site-uri'!$A$2:$A$20,0))</f>
        <v>the3webs.com</v>
      </c>
      <c r="C291" s="10" t="s">
        <v>49</v>
      </c>
      <c r="D291" s="10" t="str">
        <f aca="false">INDEX('Site-uri'!$B$2:$B$20,MATCH(C291,'Site-uri'!$A$2:$A$20,0))</f>
        <v>aiventure.ro</v>
      </c>
      <c r="E291" s="10" t="str">
        <f aca="false">INDEX('Site-uri'!$C$2:$C$20,MATCH(C291,'Site-uri'!$A$2:$A$20,0))</f>
        <v>/</v>
      </c>
      <c r="F291" s="10" t="str">
        <f aca="false">B291</f>
        <v>the3webs.com</v>
      </c>
      <c r="G291" s="10" t="str">
        <f aca="false">Config!$B$5</f>
        <v>network</v>
      </c>
      <c r="H291" s="10" t="str">
        <f aca="false">Config!$B$3</f>
        <v>2610_ff_lansare</v>
      </c>
      <c r="I291" s="10" t="str">
        <f aca="false">Config!$B$4</f>
        <v>general</v>
      </c>
      <c r="J291" s="10" t="str">
        <f aca="false">"https://"&amp;D291&amp;E291&amp;"?utm_source="&amp;F291&amp;"&amp;utm_medium="&amp;G291&amp;"&amp;utm_campaign="&amp;H291&amp;"&amp;utm_content="&amp;I291</f>
        <v>https://aiventure.ro/?utm_source=the3webs.com&amp;utm_medium=network&amp;utm_campaign=2610_ff_lansare&amp;utm_content=general</v>
      </c>
    </row>
    <row r="292" customFormat="false" ht="15" hidden="false" customHeight="false" outlineLevel="0" collapsed="false">
      <c r="A292" s="10" t="s">
        <v>91</v>
      </c>
      <c r="B292" s="10" t="str">
        <f aca="false">INDEX('Site-uri'!$B$2:$B$20,MATCH(A292,'Site-uri'!$A$2:$A$20,0))</f>
        <v>the3webs.com</v>
      </c>
      <c r="C292" s="10" t="s">
        <v>52</v>
      </c>
      <c r="D292" s="10" t="str">
        <f aca="false">INDEX('Site-uri'!$B$2:$B$20,MATCH(C292,'Site-uri'!$A$2:$A$20,0))</f>
        <v>aiventure.uk</v>
      </c>
      <c r="E292" s="10" t="str">
        <f aca="false">INDEX('Site-uri'!$C$2:$C$20,MATCH(C292,'Site-uri'!$A$2:$A$20,0))</f>
        <v>/</v>
      </c>
      <c r="F292" s="10" t="str">
        <f aca="false">B292</f>
        <v>the3webs.com</v>
      </c>
      <c r="G292" s="10" t="str">
        <f aca="false">Config!$B$5</f>
        <v>network</v>
      </c>
      <c r="H292" s="10" t="str">
        <f aca="false">Config!$B$3</f>
        <v>2610_ff_lansare</v>
      </c>
      <c r="I292" s="10" t="str">
        <f aca="false">Config!$B$4</f>
        <v>general</v>
      </c>
      <c r="J292" s="10" t="str">
        <f aca="false">"https://"&amp;D292&amp;E292&amp;"?utm_source="&amp;F292&amp;"&amp;utm_medium="&amp;G292&amp;"&amp;utm_campaign="&amp;H292&amp;"&amp;utm_content="&amp;I292</f>
        <v>https://aiventure.uk/?utm_source=the3webs.com&amp;utm_medium=network&amp;utm_campaign=2610_ff_lansare&amp;utm_content=general</v>
      </c>
    </row>
    <row r="293" customFormat="false" ht="15" hidden="false" customHeight="false" outlineLevel="0" collapsed="false">
      <c r="A293" s="10" t="s">
        <v>91</v>
      </c>
      <c r="B293" s="10" t="str">
        <f aca="false">INDEX('Site-uri'!$B$2:$B$20,MATCH(A293,'Site-uri'!$A$2:$A$20,0))</f>
        <v>the3webs.com</v>
      </c>
      <c r="C293" s="10" t="s">
        <v>55</v>
      </c>
      <c r="D293" s="10" t="str">
        <f aca="false">INDEX('Site-uri'!$B$2:$B$20,MATCH(C293,'Site-uri'!$A$2:$A$20,0))</f>
        <v>3webobs.com</v>
      </c>
      <c r="E293" s="10" t="str">
        <f aca="false">INDEX('Site-uri'!$C$2:$C$20,MATCH(C293,'Site-uri'!$A$2:$A$20,0))</f>
        <v>/</v>
      </c>
      <c r="F293" s="10" t="str">
        <f aca="false">B293</f>
        <v>the3webs.com</v>
      </c>
      <c r="G293" s="10" t="str">
        <f aca="false">Config!$B$5</f>
        <v>network</v>
      </c>
      <c r="H293" s="10" t="str">
        <f aca="false">Config!$B$3</f>
        <v>2610_ff_lansare</v>
      </c>
      <c r="I293" s="10" t="str">
        <f aca="false">Config!$B$4</f>
        <v>general</v>
      </c>
      <c r="J293" s="10" t="str">
        <f aca="false">"https://"&amp;D293&amp;E293&amp;"?utm_source="&amp;F293&amp;"&amp;utm_medium="&amp;G293&amp;"&amp;utm_campaign="&amp;H293&amp;"&amp;utm_content="&amp;I293</f>
        <v>https://3webobs.com/?utm_source=the3webs.com&amp;utm_medium=network&amp;utm_campaign=2610_ff_lansare&amp;utm_content=general</v>
      </c>
    </row>
    <row r="294" customFormat="false" ht="15" hidden="false" customHeight="false" outlineLevel="0" collapsed="false">
      <c r="A294" s="10" t="s">
        <v>91</v>
      </c>
      <c r="B294" s="10" t="str">
        <f aca="false">INDEX('Site-uri'!$B$2:$B$20,MATCH(A294,'Site-uri'!$A$2:$A$20,0))</f>
        <v>the3webs.com</v>
      </c>
      <c r="C294" s="10" t="s">
        <v>58</v>
      </c>
      <c r="D294" s="10" t="str">
        <f aca="false">INDEX('Site-uri'!$B$2:$B$20,MATCH(C294,'Site-uri'!$A$2:$A$20,0))</f>
        <v>ai-lens.eu</v>
      </c>
      <c r="E294" s="10" t="str">
        <f aca="false">INDEX('Site-uri'!$C$2:$C$20,MATCH(C294,'Site-uri'!$A$2:$A$20,0))</f>
        <v>/</v>
      </c>
      <c r="F294" s="10" t="str">
        <f aca="false">B294</f>
        <v>the3webs.com</v>
      </c>
      <c r="G294" s="10" t="str">
        <f aca="false">Config!$B$5</f>
        <v>network</v>
      </c>
      <c r="H294" s="10" t="str">
        <f aca="false">Config!$B$3</f>
        <v>2610_ff_lansare</v>
      </c>
      <c r="I294" s="10" t="str">
        <f aca="false">Config!$B$4</f>
        <v>general</v>
      </c>
      <c r="J294" s="10" t="str">
        <f aca="false">"https://"&amp;D294&amp;E294&amp;"?utm_source="&amp;F294&amp;"&amp;utm_medium="&amp;G294&amp;"&amp;utm_campaign="&amp;H294&amp;"&amp;utm_content="&amp;I294</f>
        <v>https://ai-lens.eu/?utm_source=the3webs.com&amp;utm_medium=network&amp;utm_campaign=2610_ff_lansare&amp;utm_content=general</v>
      </c>
    </row>
    <row r="295" customFormat="false" ht="15" hidden="false" customHeight="false" outlineLevel="0" collapsed="false">
      <c r="A295" s="10" t="s">
        <v>91</v>
      </c>
      <c r="B295" s="10" t="str">
        <f aca="false">INDEX('Site-uri'!$B$2:$B$20,MATCH(A295,'Site-uri'!$A$2:$A$20,0))</f>
        <v>the3webs.com</v>
      </c>
      <c r="C295" s="10" t="s">
        <v>61</v>
      </c>
      <c r="D295" s="10" t="str">
        <f aca="false">INDEX('Site-uri'!$B$2:$B$20,MATCH(C295,'Site-uri'!$A$2:$A$20,0))</f>
        <v>aireadyinjector.com</v>
      </c>
      <c r="E295" s="10" t="str">
        <f aca="false">INDEX('Site-uri'!$C$2:$C$20,MATCH(C295,'Site-uri'!$A$2:$A$20,0))</f>
        <v>/</v>
      </c>
      <c r="F295" s="10" t="str">
        <f aca="false">B295</f>
        <v>the3webs.com</v>
      </c>
      <c r="G295" s="10" t="str">
        <f aca="false">Config!$B$5</f>
        <v>network</v>
      </c>
      <c r="H295" s="10" t="str">
        <f aca="false">Config!$B$3</f>
        <v>2610_ff_lansare</v>
      </c>
      <c r="I295" s="10" t="str">
        <f aca="false">Config!$B$4</f>
        <v>general</v>
      </c>
      <c r="J295" s="10" t="str">
        <f aca="false">"https://"&amp;D295&amp;E295&amp;"?utm_source="&amp;F295&amp;"&amp;utm_medium="&amp;G295&amp;"&amp;utm_campaign="&amp;H295&amp;"&amp;utm_content="&amp;I295</f>
        <v>https://aireadyinjector.com/?utm_source=the3webs.com&amp;utm_medium=network&amp;utm_campaign=2610_ff_lansare&amp;utm_content=general</v>
      </c>
    </row>
    <row r="296" customFormat="false" ht="15" hidden="false" customHeight="false" outlineLevel="0" collapsed="false">
      <c r="A296" s="10" t="s">
        <v>91</v>
      </c>
      <c r="B296" s="10" t="str">
        <f aca="false">INDEX('Site-uri'!$B$2:$B$20,MATCH(A296,'Site-uri'!$A$2:$A$20,0))</f>
        <v>the3webs.com</v>
      </c>
      <c r="C296" s="10" t="s">
        <v>64</v>
      </c>
      <c r="D296" s="10" t="str">
        <f aca="false">INDEX('Site-uri'!$B$2:$B$20,MATCH(C296,'Site-uri'!$A$2:$A$20,0))</f>
        <v>eu-ai-audit.eu</v>
      </c>
      <c r="E296" s="10" t="str">
        <f aca="false">INDEX('Site-uri'!$C$2:$C$20,MATCH(C296,'Site-uri'!$A$2:$A$20,0))</f>
        <v>/</v>
      </c>
      <c r="F296" s="10" t="str">
        <f aca="false">B296</f>
        <v>the3webs.com</v>
      </c>
      <c r="G296" s="10" t="str">
        <f aca="false">Config!$B$5</f>
        <v>network</v>
      </c>
      <c r="H296" s="10" t="str">
        <f aca="false">Config!$B$3</f>
        <v>2610_ff_lansare</v>
      </c>
      <c r="I296" s="10" t="str">
        <f aca="false">Config!$B$4</f>
        <v>general</v>
      </c>
      <c r="J296" s="10" t="str">
        <f aca="false">"https://"&amp;D296&amp;E296&amp;"?utm_source="&amp;F296&amp;"&amp;utm_medium="&amp;G296&amp;"&amp;utm_campaign="&amp;H296&amp;"&amp;utm_content="&amp;I296</f>
        <v>https://eu-ai-audit.eu/?utm_source=the3webs.com&amp;utm_medium=network&amp;utm_campaign=2610_ff_lansare&amp;utm_content=general</v>
      </c>
    </row>
    <row r="297" customFormat="false" ht="15" hidden="false" customHeight="false" outlineLevel="0" collapsed="false">
      <c r="A297" s="10" t="s">
        <v>91</v>
      </c>
      <c r="B297" s="10" t="str">
        <f aca="false">INDEX('Site-uri'!$B$2:$B$20,MATCH(A297,'Site-uri'!$A$2:$A$20,0))</f>
        <v>the3webs.com</v>
      </c>
      <c r="C297" s="10" t="s">
        <v>67</v>
      </c>
      <c r="D297" s="10" t="str">
        <f aca="false">INDEX('Site-uri'!$B$2:$B$20,MATCH(C297,'Site-uri'!$A$2:$A$20,0))</f>
        <v>eu-ai-ready.eu</v>
      </c>
      <c r="E297" s="10" t="str">
        <f aca="false">INDEX('Site-uri'!$C$2:$C$20,MATCH(C297,'Site-uri'!$A$2:$A$20,0))</f>
        <v>/</v>
      </c>
      <c r="F297" s="10" t="str">
        <f aca="false">B297</f>
        <v>the3webs.com</v>
      </c>
      <c r="G297" s="10" t="str">
        <f aca="false">Config!$B$5</f>
        <v>network</v>
      </c>
      <c r="H297" s="10" t="str">
        <f aca="false">Config!$B$3</f>
        <v>2610_ff_lansare</v>
      </c>
      <c r="I297" s="10" t="str">
        <f aca="false">Config!$B$4</f>
        <v>general</v>
      </c>
      <c r="J297" s="10" t="str">
        <f aca="false">"https://"&amp;D297&amp;E297&amp;"?utm_source="&amp;F297&amp;"&amp;utm_medium="&amp;G297&amp;"&amp;utm_campaign="&amp;H297&amp;"&amp;utm_content="&amp;I297</f>
        <v>https://eu-ai-ready.eu/?utm_source=the3webs.com&amp;utm_medium=network&amp;utm_campaign=2610_ff_lansare&amp;utm_content=general</v>
      </c>
    </row>
    <row r="298" customFormat="false" ht="15" hidden="false" customHeight="false" outlineLevel="0" collapsed="false">
      <c r="A298" s="10" t="s">
        <v>91</v>
      </c>
      <c r="B298" s="10" t="str">
        <f aca="false">INDEX('Site-uri'!$B$2:$B$20,MATCH(A298,'Site-uri'!$A$2:$A$20,0))</f>
        <v>the3webs.com</v>
      </c>
      <c r="C298" s="10" t="s">
        <v>69</v>
      </c>
      <c r="D298" s="10" t="str">
        <f aca="false">INDEX('Site-uri'!$B$2:$B$20,MATCH(C298,'Site-uri'!$A$2:$A$20,0))</f>
        <v>eu-ai-act.ro</v>
      </c>
      <c r="E298" s="10" t="str">
        <f aca="false">INDEX('Site-uri'!$C$2:$C$20,MATCH(C298,'Site-uri'!$A$2:$A$20,0))</f>
        <v>/</v>
      </c>
      <c r="F298" s="10" t="str">
        <f aca="false">B298</f>
        <v>the3webs.com</v>
      </c>
      <c r="G298" s="10" t="str">
        <f aca="false">Config!$B$5</f>
        <v>network</v>
      </c>
      <c r="H298" s="10" t="str">
        <f aca="false">Config!$B$3</f>
        <v>2610_ff_lansare</v>
      </c>
      <c r="I298" s="10" t="str">
        <f aca="false">Config!$B$4</f>
        <v>general</v>
      </c>
      <c r="J298" s="10" t="str">
        <f aca="false">"https://"&amp;D298&amp;E298&amp;"?utm_source="&amp;F298&amp;"&amp;utm_medium="&amp;G298&amp;"&amp;utm_campaign="&amp;H298&amp;"&amp;utm_content="&amp;I298</f>
        <v>https://eu-ai-act.ro/?utm_source=the3webs.com&amp;utm_medium=network&amp;utm_campaign=2610_ff_lansare&amp;utm_content=general</v>
      </c>
    </row>
    <row r="299" customFormat="false" ht="15" hidden="false" customHeight="false" outlineLevel="0" collapsed="false">
      <c r="A299" s="10" t="s">
        <v>91</v>
      </c>
      <c r="B299" s="10" t="str">
        <f aca="false">INDEX('Site-uri'!$B$2:$B$20,MATCH(A299,'Site-uri'!$A$2:$A$20,0))</f>
        <v>the3webs.com</v>
      </c>
      <c r="C299" s="10" t="s">
        <v>72</v>
      </c>
      <c r="D299" s="10" t="str">
        <f aca="false">INDEX('Site-uri'!$B$2:$B$20,MATCH(C299,'Site-uri'!$A$2:$A$20,0))</f>
        <v>eu-ai-act-ready.eu</v>
      </c>
      <c r="E299" s="10" t="str">
        <f aca="false">INDEX('Site-uri'!$C$2:$C$20,MATCH(C299,'Site-uri'!$A$2:$A$20,0))</f>
        <v>/</v>
      </c>
      <c r="F299" s="10" t="str">
        <f aca="false">B299</f>
        <v>the3webs.com</v>
      </c>
      <c r="G299" s="10" t="str">
        <f aca="false">Config!$B$5</f>
        <v>network</v>
      </c>
      <c r="H299" s="10" t="str">
        <f aca="false">Config!$B$3</f>
        <v>2610_ff_lansare</v>
      </c>
      <c r="I299" s="10" t="str">
        <f aca="false">Config!$B$4</f>
        <v>general</v>
      </c>
      <c r="J299" s="10" t="str">
        <f aca="false">"https://"&amp;D299&amp;E299&amp;"?utm_source="&amp;F299&amp;"&amp;utm_medium="&amp;G299&amp;"&amp;utm_campaign="&amp;H299&amp;"&amp;utm_content="&amp;I299</f>
        <v>https://eu-ai-act-ready.eu/?utm_source=the3webs.com&amp;utm_medium=network&amp;utm_campaign=2610_ff_lansare&amp;utm_content=general</v>
      </c>
    </row>
    <row r="300" customFormat="false" ht="15" hidden="false" customHeight="false" outlineLevel="0" collapsed="false">
      <c r="A300" s="10" t="s">
        <v>91</v>
      </c>
      <c r="B300" s="10" t="str">
        <f aca="false">INDEX('Site-uri'!$B$2:$B$20,MATCH(A300,'Site-uri'!$A$2:$A$20,0))</f>
        <v>the3webs.com</v>
      </c>
      <c r="C300" s="10" t="s">
        <v>75</v>
      </c>
      <c r="D300" s="10" t="str">
        <f aca="false">INDEX('Site-uri'!$B$2:$B$20,MATCH(C300,'Site-uri'!$A$2:$A$20,0))</f>
        <v>eu-112.ro</v>
      </c>
      <c r="E300" s="10" t="str">
        <f aca="false">INDEX('Site-uri'!$C$2:$C$20,MATCH(C300,'Site-uri'!$A$2:$A$20,0))</f>
        <v>/</v>
      </c>
      <c r="F300" s="10" t="str">
        <f aca="false">B300</f>
        <v>the3webs.com</v>
      </c>
      <c r="G300" s="10" t="str">
        <f aca="false">Config!$B$5</f>
        <v>network</v>
      </c>
      <c r="H300" s="10" t="str">
        <f aca="false">Config!$B$3</f>
        <v>2610_ff_lansare</v>
      </c>
      <c r="I300" s="10" t="str">
        <f aca="false">Config!$B$4</f>
        <v>general</v>
      </c>
      <c r="J300" s="10" t="str">
        <f aca="false">"https://"&amp;D300&amp;E300&amp;"?utm_source="&amp;F300&amp;"&amp;utm_medium="&amp;G300&amp;"&amp;utm_campaign="&amp;H300&amp;"&amp;utm_content="&amp;I300</f>
        <v>https://eu-112.ro/?utm_source=the3webs.com&amp;utm_medium=network&amp;utm_campaign=2610_ff_lansare&amp;utm_content=general</v>
      </c>
    </row>
    <row r="301" customFormat="false" ht="15" hidden="false" customHeight="false" outlineLevel="0" collapsed="false">
      <c r="A301" s="10" t="s">
        <v>91</v>
      </c>
      <c r="B301" s="10" t="str">
        <f aca="false">INDEX('Site-uri'!$B$2:$B$20,MATCH(A301,'Site-uri'!$A$2:$A$20,0))</f>
        <v>the3webs.com</v>
      </c>
      <c r="C301" s="10" t="s">
        <v>78</v>
      </c>
      <c r="D301" s="10" t="str">
        <f aca="false">INDEX('Site-uri'!$B$2:$B$20,MATCH(C301,'Site-uri'!$A$2:$A$20,0))</f>
        <v>eu-112.eu</v>
      </c>
      <c r="E301" s="10" t="str">
        <f aca="false">INDEX('Site-uri'!$C$2:$C$20,MATCH(C301,'Site-uri'!$A$2:$A$20,0))</f>
        <v>/</v>
      </c>
      <c r="F301" s="10" t="str">
        <f aca="false">B301</f>
        <v>the3webs.com</v>
      </c>
      <c r="G301" s="10" t="str">
        <f aca="false">Config!$B$5</f>
        <v>network</v>
      </c>
      <c r="H301" s="10" t="str">
        <f aca="false">Config!$B$3</f>
        <v>2610_ff_lansare</v>
      </c>
      <c r="I301" s="10" t="str">
        <f aca="false">Config!$B$4</f>
        <v>general</v>
      </c>
      <c r="J301" s="10" t="str">
        <f aca="false">"https://"&amp;D301&amp;E301&amp;"?utm_source="&amp;F301&amp;"&amp;utm_medium="&amp;G301&amp;"&amp;utm_campaign="&amp;H301&amp;"&amp;utm_content="&amp;I301</f>
        <v>https://eu-112.eu/?utm_source=the3webs.com&amp;utm_medium=network&amp;utm_campaign=2610_ff_lansare&amp;utm_content=general</v>
      </c>
    </row>
    <row r="302" customFormat="false" ht="15" hidden="false" customHeight="false" outlineLevel="0" collapsed="false">
      <c r="A302" s="10" t="s">
        <v>91</v>
      </c>
      <c r="B302" s="10" t="str">
        <f aca="false">INDEX('Site-uri'!$B$2:$B$20,MATCH(A302,'Site-uri'!$A$2:$A$20,0))</f>
        <v>the3webs.com</v>
      </c>
      <c r="C302" s="10" t="s">
        <v>81</v>
      </c>
      <c r="D302" s="10" t="str">
        <f aca="false">INDEX('Site-uri'!$B$2:$B$20,MATCH(C302,'Site-uri'!$A$2:$A$20,0))</f>
        <v>1clic-ia.eu</v>
      </c>
      <c r="E302" s="10" t="str">
        <f aca="false">INDEX('Site-uri'!$C$2:$C$20,MATCH(C302,'Site-uri'!$A$2:$A$20,0))</f>
        <v>/</v>
      </c>
      <c r="F302" s="10" t="str">
        <f aca="false">B302</f>
        <v>the3webs.com</v>
      </c>
      <c r="G302" s="10" t="str">
        <f aca="false">Config!$B$5</f>
        <v>network</v>
      </c>
      <c r="H302" s="10" t="str">
        <f aca="false">Config!$B$3</f>
        <v>2610_ff_lansare</v>
      </c>
      <c r="I302" s="10" t="str">
        <f aca="false">Config!$B$4</f>
        <v>general</v>
      </c>
      <c r="J302" s="10" t="str">
        <f aca="false">"https://"&amp;D302&amp;E302&amp;"?utm_source="&amp;F302&amp;"&amp;utm_medium="&amp;G302&amp;"&amp;utm_campaign="&amp;H302&amp;"&amp;utm_content="&amp;I302</f>
        <v>https://1clic-ia.eu/?utm_source=the3webs.com&amp;utm_medium=network&amp;utm_campaign=2610_ff_lansare&amp;utm_content=general</v>
      </c>
    </row>
    <row r="303" customFormat="false" ht="15" hidden="false" customHeight="false" outlineLevel="0" collapsed="false">
      <c r="A303" s="10" t="s">
        <v>91</v>
      </c>
      <c r="B303" s="10" t="str">
        <f aca="false">INDEX('Site-uri'!$B$2:$B$20,MATCH(A303,'Site-uri'!$A$2:$A$20,0))</f>
        <v>the3webs.com</v>
      </c>
      <c r="C303" s="10" t="s">
        <v>84</v>
      </c>
      <c r="D303" s="10" t="str">
        <f aca="false">INDEX('Site-uri'!$B$2:$B$20,MATCH(C303,'Site-uri'!$A$2:$A$20,0))</f>
        <v>1clic-ia.fr</v>
      </c>
      <c r="E303" s="10" t="str">
        <f aca="false">INDEX('Site-uri'!$C$2:$C$20,MATCH(C303,'Site-uri'!$A$2:$A$20,0))</f>
        <v>/</v>
      </c>
      <c r="F303" s="10" t="str">
        <f aca="false">B303</f>
        <v>the3webs.com</v>
      </c>
      <c r="G303" s="10" t="str">
        <f aca="false">Config!$B$5</f>
        <v>network</v>
      </c>
      <c r="H303" s="10" t="str">
        <f aca="false">Config!$B$3</f>
        <v>2610_ff_lansare</v>
      </c>
      <c r="I303" s="10" t="str">
        <f aca="false">Config!$B$4</f>
        <v>general</v>
      </c>
      <c r="J303" s="10" t="str">
        <f aca="false">"https://"&amp;D303&amp;E303&amp;"?utm_source="&amp;F303&amp;"&amp;utm_medium="&amp;G303&amp;"&amp;utm_campaign="&amp;H303&amp;"&amp;utm_content="&amp;I303</f>
        <v>https://1clic-ia.fr/?utm_source=the3webs.com&amp;utm_medium=network&amp;utm_campaign=2610_ff_lansare&amp;utm_content=general</v>
      </c>
    </row>
    <row r="304" customFormat="false" ht="15" hidden="false" customHeight="false" outlineLevel="0" collapsed="false">
      <c r="A304" s="10" t="s">
        <v>91</v>
      </c>
      <c r="B304" s="10" t="str">
        <f aca="false">INDEX('Site-uri'!$B$2:$B$20,MATCH(A304,'Site-uri'!$A$2:$A$20,0))</f>
        <v>the3webs.com</v>
      </c>
      <c r="C304" s="10" t="s">
        <v>86</v>
      </c>
      <c r="D304" s="10" t="str">
        <f aca="false">INDEX('Site-uri'!$B$2:$B$20,MATCH(C304,'Site-uri'!$A$2:$A$20,0))</f>
        <v>firmsfinder.eu</v>
      </c>
      <c r="E304" s="10" t="str">
        <f aca="false">INDEX('Site-uri'!$C$2:$C$20,MATCH(C304,'Site-uri'!$A$2:$A$20,0))</f>
        <v>/</v>
      </c>
      <c r="F304" s="10" t="str">
        <f aca="false">B304</f>
        <v>the3webs.com</v>
      </c>
      <c r="G304" s="10" t="str">
        <f aca="false">Config!$B$5</f>
        <v>network</v>
      </c>
      <c r="H304" s="10" t="str">
        <f aca="false">Config!$B$3</f>
        <v>2610_ff_lansare</v>
      </c>
      <c r="I304" s="10" t="str">
        <f aca="false">Config!$B$4</f>
        <v>general</v>
      </c>
      <c r="J304" s="10" t="str">
        <f aca="false">"https://"&amp;D304&amp;E304&amp;"?utm_source="&amp;F304&amp;"&amp;utm_medium="&amp;G304&amp;"&amp;utm_campaign="&amp;H304&amp;"&amp;utm_content="&amp;I304</f>
        <v>https://firmsfinder.eu/?utm_source=the3webs.com&amp;utm_medium=network&amp;utm_campaign=2610_ff_lansare&amp;utm_content=general</v>
      </c>
    </row>
    <row r="305" customFormat="false" ht="15" hidden="false" customHeight="false" outlineLevel="0" collapsed="false">
      <c r="A305" s="10" t="s">
        <v>91</v>
      </c>
      <c r="B305" s="10" t="str">
        <f aca="false">INDEX('Site-uri'!$B$2:$B$20,MATCH(A305,'Site-uri'!$A$2:$A$20,0))</f>
        <v>the3webs.com</v>
      </c>
      <c r="C305" s="10" t="s">
        <v>89</v>
      </c>
      <c r="D305" s="10" t="str">
        <f aca="false">INDEX('Site-uri'!$B$2:$B$20,MATCH(C305,'Site-uri'!$A$2:$A$20,0))</f>
        <v>b2b-ai-library.org</v>
      </c>
      <c r="E305" s="10" t="str">
        <f aca="false">INDEX('Site-uri'!$C$2:$C$20,MATCH(C305,'Site-uri'!$A$2:$A$20,0))</f>
        <v>/</v>
      </c>
      <c r="F305" s="10" t="str">
        <f aca="false">B305</f>
        <v>the3webs.com</v>
      </c>
      <c r="G305" s="10" t="str">
        <f aca="false">Config!$B$5</f>
        <v>network</v>
      </c>
      <c r="H305" s="10" t="str">
        <f aca="false">Config!$B$3</f>
        <v>2610_ff_lansare</v>
      </c>
      <c r="I305" s="10" t="str">
        <f aca="false">Config!$B$4</f>
        <v>general</v>
      </c>
      <c r="J305" s="10" t="str">
        <f aca="false">"https://"&amp;D305&amp;E305&amp;"?utm_source="&amp;F305&amp;"&amp;utm_medium="&amp;G305&amp;"&amp;utm_campaign="&amp;H305&amp;"&amp;utm_content="&amp;I305</f>
        <v>https://b2b-ai-library.org/?utm_source=the3webs.com&amp;utm_medium=network&amp;utm_campaign=2610_ff_lansare&amp;utm_content=general</v>
      </c>
    </row>
    <row r="306" customFormat="false" ht="15" hidden="false" customHeight="false" outlineLevel="0" collapsed="false">
      <c r="A306" s="10" t="s">
        <v>91</v>
      </c>
      <c r="B306" s="10" t="str">
        <f aca="false">INDEX('Site-uri'!$B$2:$B$20,MATCH(A306,'Site-uri'!$A$2:$A$20,0))</f>
        <v>the3webs.com</v>
      </c>
      <c r="C306" s="10" t="s">
        <v>94</v>
      </c>
      <c r="D306" s="10" t="str">
        <f aca="false">INDEX('Site-uri'!$B$2:$B$20,MATCH(C306,'Site-uri'!$A$2:$A$20,0))</f>
        <v>floride-e2.com</v>
      </c>
      <c r="E306" s="10" t="str">
        <f aca="false">INDEX('Site-uri'!$C$2:$C$20,MATCH(C306,'Site-uri'!$A$2:$A$20,0))</f>
        <v>/</v>
      </c>
      <c r="F306" s="10" t="str">
        <f aca="false">B306</f>
        <v>the3webs.com</v>
      </c>
      <c r="G306" s="10" t="str">
        <f aca="false">Config!$B$5</f>
        <v>network</v>
      </c>
      <c r="H306" s="10" t="str">
        <f aca="false">Config!$B$3</f>
        <v>2610_ff_lansare</v>
      </c>
      <c r="I306" s="10" t="str">
        <f aca="false">Config!$B$4</f>
        <v>general</v>
      </c>
      <c r="J306" s="10" t="str">
        <f aca="false">"https://"&amp;D306&amp;E306&amp;"?utm_source="&amp;F306&amp;"&amp;utm_medium="&amp;G306&amp;"&amp;utm_campaign="&amp;H306&amp;"&amp;utm_content="&amp;I306</f>
        <v>https://floride-e2.com/?utm_source=the3webs.com&amp;utm_medium=network&amp;utm_campaign=2610_ff_lansare&amp;utm_content=general</v>
      </c>
    </row>
    <row r="307" customFormat="false" ht="15" hidden="false" customHeight="false" outlineLevel="0" collapsed="false">
      <c r="A307" s="10" t="s">
        <v>91</v>
      </c>
      <c r="B307" s="10" t="str">
        <f aca="false">INDEX('Site-uri'!$B$2:$B$20,MATCH(A307,'Site-uri'!$A$2:$A$20,0))</f>
        <v>the3webs.com</v>
      </c>
      <c r="C307" s="10" t="s">
        <v>96</v>
      </c>
      <c r="D307" s="10" t="str">
        <f aca="false">INDEX('Site-uri'!$B$2:$B$20,MATCH(C307,'Site-uri'!$A$2:$A$20,0))</f>
        <v>ecbtax.com</v>
      </c>
      <c r="E307" s="10" t="str">
        <f aca="false">INDEX('Site-uri'!$C$2:$C$20,MATCH(C307,'Site-uri'!$A$2:$A$20,0))</f>
        <v>/</v>
      </c>
      <c r="F307" s="10" t="str">
        <f aca="false">B307</f>
        <v>the3webs.com</v>
      </c>
      <c r="G307" s="10" t="str">
        <f aca="false">Config!$B$5</f>
        <v>network</v>
      </c>
      <c r="H307" s="10" t="str">
        <f aca="false">Config!$B$3</f>
        <v>2610_ff_lansare</v>
      </c>
      <c r="I307" s="10" t="str">
        <f aca="false">Config!$B$4</f>
        <v>general</v>
      </c>
      <c r="J307" s="10" t="str">
        <f aca="false">"https://"&amp;D307&amp;E307&amp;"?utm_source="&amp;F307&amp;"&amp;utm_medium="&amp;G307&amp;"&amp;utm_campaign="&amp;H307&amp;"&amp;utm_content="&amp;I307</f>
        <v>https://ecbtax.com/?utm_source=the3webs.com&amp;utm_medium=network&amp;utm_campaign=2610_ff_lansare&amp;utm_content=general</v>
      </c>
    </row>
    <row r="308" customFormat="false" ht="15" hidden="false" customHeight="false" outlineLevel="0" collapsed="false">
      <c r="A308" s="10" t="s">
        <v>94</v>
      </c>
      <c r="B308" s="10" t="str">
        <f aca="false">INDEX('Site-uri'!$B$2:$B$20,MATCH(A308,'Site-uri'!$A$2:$A$20,0))</f>
        <v>floride-e2.com</v>
      </c>
      <c r="C308" s="10" t="s">
        <v>45</v>
      </c>
      <c r="D308" s="10" t="str">
        <f aca="false">INDEX('Site-uri'!$B$2:$B$20,MATCH(C308,'Site-uri'!$A$2:$A$20,0))</f>
        <v>5thelement.ai</v>
      </c>
      <c r="E308" s="10" t="str">
        <f aca="false">INDEX('Site-uri'!$C$2:$C$20,MATCH(C308,'Site-uri'!$A$2:$A$20,0))</f>
        <v>/</v>
      </c>
      <c r="F308" s="10" t="str">
        <f aca="false">B308</f>
        <v>floride-e2.com</v>
      </c>
      <c r="G308" s="10" t="str">
        <f aca="false">Config!$B$5</f>
        <v>network</v>
      </c>
      <c r="H308" s="10" t="str">
        <f aca="false">Config!$B$3</f>
        <v>2610_ff_lansare</v>
      </c>
      <c r="I308" s="10" t="str">
        <f aca="false">Config!$B$4</f>
        <v>general</v>
      </c>
      <c r="J308" s="10" t="str">
        <f aca="false">"https://"&amp;D308&amp;E308&amp;"?utm_source="&amp;F308&amp;"&amp;utm_medium="&amp;G308&amp;"&amp;utm_campaign="&amp;H308&amp;"&amp;utm_content="&amp;I308</f>
        <v>https://5thelement.ai/?utm_source=floride-e2.com&amp;utm_medium=network&amp;utm_campaign=2610_ff_lansare&amp;utm_content=general</v>
      </c>
    </row>
    <row r="309" customFormat="false" ht="15" hidden="false" customHeight="false" outlineLevel="0" collapsed="false">
      <c r="A309" s="10" t="s">
        <v>94</v>
      </c>
      <c r="B309" s="10" t="str">
        <f aca="false">INDEX('Site-uri'!$B$2:$B$20,MATCH(A309,'Site-uri'!$A$2:$A$20,0))</f>
        <v>floride-e2.com</v>
      </c>
      <c r="C309" s="10" t="s">
        <v>49</v>
      </c>
      <c r="D309" s="10" t="str">
        <f aca="false">INDEX('Site-uri'!$B$2:$B$20,MATCH(C309,'Site-uri'!$A$2:$A$20,0))</f>
        <v>aiventure.ro</v>
      </c>
      <c r="E309" s="10" t="str">
        <f aca="false">INDEX('Site-uri'!$C$2:$C$20,MATCH(C309,'Site-uri'!$A$2:$A$20,0))</f>
        <v>/</v>
      </c>
      <c r="F309" s="10" t="str">
        <f aca="false">B309</f>
        <v>floride-e2.com</v>
      </c>
      <c r="G309" s="10" t="str">
        <f aca="false">Config!$B$5</f>
        <v>network</v>
      </c>
      <c r="H309" s="10" t="str">
        <f aca="false">Config!$B$3</f>
        <v>2610_ff_lansare</v>
      </c>
      <c r="I309" s="10" t="str">
        <f aca="false">Config!$B$4</f>
        <v>general</v>
      </c>
      <c r="J309" s="10" t="str">
        <f aca="false">"https://"&amp;D309&amp;E309&amp;"?utm_source="&amp;F309&amp;"&amp;utm_medium="&amp;G309&amp;"&amp;utm_campaign="&amp;H309&amp;"&amp;utm_content="&amp;I309</f>
        <v>https://aiventure.ro/?utm_source=floride-e2.com&amp;utm_medium=network&amp;utm_campaign=2610_ff_lansare&amp;utm_content=general</v>
      </c>
    </row>
    <row r="310" customFormat="false" ht="15" hidden="false" customHeight="false" outlineLevel="0" collapsed="false">
      <c r="A310" s="10" t="s">
        <v>94</v>
      </c>
      <c r="B310" s="10" t="str">
        <f aca="false">INDEX('Site-uri'!$B$2:$B$20,MATCH(A310,'Site-uri'!$A$2:$A$20,0))</f>
        <v>floride-e2.com</v>
      </c>
      <c r="C310" s="10" t="s">
        <v>52</v>
      </c>
      <c r="D310" s="10" t="str">
        <f aca="false">INDEX('Site-uri'!$B$2:$B$20,MATCH(C310,'Site-uri'!$A$2:$A$20,0))</f>
        <v>aiventure.uk</v>
      </c>
      <c r="E310" s="10" t="str">
        <f aca="false">INDEX('Site-uri'!$C$2:$C$20,MATCH(C310,'Site-uri'!$A$2:$A$20,0))</f>
        <v>/</v>
      </c>
      <c r="F310" s="10" t="str">
        <f aca="false">B310</f>
        <v>floride-e2.com</v>
      </c>
      <c r="G310" s="10" t="str">
        <f aca="false">Config!$B$5</f>
        <v>network</v>
      </c>
      <c r="H310" s="10" t="str">
        <f aca="false">Config!$B$3</f>
        <v>2610_ff_lansare</v>
      </c>
      <c r="I310" s="10" t="str">
        <f aca="false">Config!$B$4</f>
        <v>general</v>
      </c>
      <c r="J310" s="10" t="str">
        <f aca="false">"https://"&amp;D310&amp;E310&amp;"?utm_source="&amp;F310&amp;"&amp;utm_medium="&amp;G310&amp;"&amp;utm_campaign="&amp;H310&amp;"&amp;utm_content="&amp;I310</f>
        <v>https://aiventure.uk/?utm_source=floride-e2.com&amp;utm_medium=network&amp;utm_campaign=2610_ff_lansare&amp;utm_content=general</v>
      </c>
    </row>
    <row r="311" customFormat="false" ht="15" hidden="false" customHeight="false" outlineLevel="0" collapsed="false">
      <c r="A311" s="10" t="s">
        <v>94</v>
      </c>
      <c r="B311" s="10" t="str">
        <f aca="false">INDEX('Site-uri'!$B$2:$B$20,MATCH(A311,'Site-uri'!$A$2:$A$20,0))</f>
        <v>floride-e2.com</v>
      </c>
      <c r="C311" s="10" t="s">
        <v>55</v>
      </c>
      <c r="D311" s="10" t="str">
        <f aca="false">INDEX('Site-uri'!$B$2:$B$20,MATCH(C311,'Site-uri'!$A$2:$A$20,0))</f>
        <v>3webobs.com</v>
      </c>
      <c r="E311" s="10" t="str">
        <f aca="false">INDEX('Site-uri'!$C$2:$C$20,MATCH(C311,'Site-uri'!$A$2:$A$20,0))</f>
        <v>/</v>
      </c>
      <c r="F311" s="10" t="str">
        <f aca="false">B311</f>
        <v>floride-e2.com</v>
      </c>
      <c r="G311" s="10" t="str">
        <f aca="false">Config!$B$5</f>
        <v>network</v>
      </c>
      <c r="H311" s="10" t="str">
        <f aca="false">Config!$B$3</f>
        <v>2610_ff_lansare</v>
      </c>
      <c r="I311" s="10" t="str">
        <f aca="false">Config!$B$4</f>
        <v>general</v>
      </c>
      <c r="J311" s="10" t="str">
        <f aca="false">"https://"&amp;D311&amp;E311&amp;"?utm_source="&amp;F311&amp;"&amp;utm_medium="&amp;G311&amp;"&amp;utm_campaign="&amp;H311&amp;"&amp;utm_content="&amp;I311</f>
        <v>https://3webobs.com/?utm_source=floride-e2.com&amp;utm_medium=network&amp;utm_campaign=2610_ff_lansare&amp;utm_content=general</v>
      </c>
    </row>
    <row r="312" customFormat="false" ht="15" hidden="false" customHeight="false" outlineLevel="0" collapsed="false">
      <c r="A312" s="10" t="s">
        <v>94</v>
      </c>
      <c r="B312" s="10" t="str">
        <f aca="false">INDEX('Site-uri'!$B$2:$B$20,MATCH(A312,'Site-uri'!$A$2:$A$20,0))</f>
        <v>floride-e2.com</v>
      </c>
      <c r="C312" s="10" t="s">
        <v>58</v>
      </c>
      <c r="D312" s="10" t="str">
        <f aca="false">INDEX('Site-uri'!$B$2:$B$20,MATCH(C312,'Site-uri'!$A$2:$A$20,0))</f>
        <v>ai-lens.eu</v>
      </c>
      <c r="E312" s="10" t="str">
        <f aca="false">INDEX('Site-uri'!$C$2:$C$20,MATCH(C312,'Site-uri'!$A$2:$A$20,0))</f>
        <v>/</v>
      </c>
      <c r="F312" s="10" t="str">
        <f aca="false">B312</f>
        <v>floride-e2.com</v>
      </c>
      <c r="G312" s="10" t="str">
        <f aca="false">Config!$B$5</f>
        <v>network</v>
      </c>
      <c r="H312" s="10" t="str">
        <f aca="false">Config!$B$3</f>
        <v>2610_ff_lansare</v>
      </c>
      <c r="I312" s="10" t="str">
        <f aca="false">Config!$B$4</f>
        <v>general</v>
      </c>
      <c r="J312" s="10" t="str">
        <f aca="false">"https://"&amp;D312&amp;E312&amp;"?utm_source="&amp;F312&amp;"&amp;utm_medium="&amp;G312&amp;"&amp;utm_campaign="&amp;H312&amp;"&amp;utm_content="&amp;I312</f>
        <v>https://ai-lens.eu/?utm_source=floride-e2.com&amp;utm_medium=network&amp;utm_campaign=2610_ff_lansare&amp;utm_content=general</v>
      </c>
    </row>
    <row r="313" customFormat="false" ht="15" hidden="false" customHeight="false" outlineLevel="0" collapsed="false">
      <c r="A313" s="10" t="s">
        <v>94</v>
      </c>
      <c r="B313" s="10" t="str">
        <f aca="false">INDEX('Site-uri'!$B$2:$B$20,MATCH(A313,'Site-uri'!$A$2:$A$20,0))</f>
        <v>floride-e2.com</v>
      </c>
      <c r="C313" s="10" t="s">
        <v>61</v>
      </c>
      <c r="D313" s="10" t="str">
        <f aca="false">INDEX('Site-uri'!$B$2:$B$20,MATCH(C313,'Site-uri'!$A$2:$A$20,0))</f>
        <v>aireadyinjector.com</v>
      </c>
      <c r="E313" s="10" t="str">
        <f aca="false">INDEX('Site-uri'!$C$2:$C$20,MATCH(C313,'Site-uri'!$A$2:$A$20,0))</f>
        <v>/</v>
      </c>
      <c r="F313" s="10" t="str">
        <f aca="false">B313</f>
        <v>floride-e2.com</v>
      </c>
      <c r="G313" s="10" t="str">
        <f aca="false">Config!$B$5</f>
        <v>network</v>
      </c>
      <c r="H313" s="10" t="str">
        <f aca="false">Config!$B$3</f>
        <v>2610_ff_lansare</v>
      </c>
      <c r="I313" s="10" t="str">
        <f aca="false">Config!$B$4</f>
        <v>general</v>
      </c>
      <c r="J313" s="10" t="str">
        <f aca="false">"https://"&amp;D313&amp;E313&amp;"?utm_source="&amp;F313&amp;"&amp;utm_medium="&amp;G313&amp;"&amp;utm_campaign="&amp;H313&amp;"&amp;utm_content="&amp;I313</f>
        <v>https://aireadyinjector.com/?utm_source=floride-e2.com&amp;utm_medium=network&amp;utm_campaign=2610_ff_lansare&amp;utm_content=general</v>
      </c>
    </row>
    <row r="314" customFormat="false" ht="15" hidden="false" customHeight="false" outlineLevel="0" collapsed="false">
      <c r="A314" s="10" t="s">
        <v>94</v>
      </c>
      <c r="B314" s="10" t="str">
        <f aca="false">INDEX('Site-uri'!$B$2:$B$20,MATCH(A314,'Site-uri'!$A$2:$A$20,0))</f>
        <v>floride-e2.com</v>
      </c>
      <c r="C314" s="10" t="s">
        <v>64</v>
      </c>
      <c r="D314" s="10" t="str">
        <f aca="false">INDEX('Site-uri'!$B$2:$B$20,MATCH(C314,'Site-uri'!$A$2:$A$20,0))</f>
        <v>eu-ai-audit.eu</v>
      </c>
      <c r="E314" s="10" t="str">
        <f aca="false">INDEX('Site-uri'!$C$2:$C$20,MATCH(C314,'Site-uri'!$A$2:$A$20,0))</f>
        <v>/</v>
      </c>
      <c r="F314" s="10" t="str">
        <f aca="false">B314</f>
        <v>floride-e2.com</v>
      </c>
      <c r="G314" s="10" t="str">
        <f aca="false">Config!$B$5</f>
        <v>network</v>
      </c>
      <c r="H314" s="10" t="str">
        <f aca="false">Config!$B$3</f>
        <v>2610_ff_lansare</v>
      </c>
      <c r="I314" s="10" t="str">
        <f aca="false">Config!$B$4</f>
        <v>general</v>
      </c>
      <c r="J314" s="10" t="str">
        <f aca="false">"https://"&amp;D314&amp;E314&amp;"?utm_source="&amp;F314&amp;"&amp;utm_medium="&amp;G314&amp;"&amp;utm_campaign="&amp;H314&amp;"&amp;utm_content="&amp;I314</f>
        <v>https://eu-ai-audit.eu/?utm_source=floride-e2.com&amp;utm_medium=network&amp;utm_campaign=2610_ff_lansare&amp;utm_content=general</v>
      </c>
    </row>
    <row r="315" customFormat="false" ht="15" hidden="false" customHeight="false" outlineLevel="0" collapsed="false">
      <c r="A315" s="10" t="s">
        <v>94</v>
      </c>
      <c r="B315" s="10" t="str">
        <f aca="false">INDEX('Site-uri'!$B$2:$B$20,MATCH(A315,'Site-uri'!$A$2:$A$20,0))</f>
        <v>floride-e2.com</v>
      </c>
      <c r="C315" s="10" t="s">
        <v>67</v>
      </c>
      <c r="D315" s="10" t="str">
        <f aca="false">INDEX('Site-uri'!$B$2:$B$20,MATCH(C315,'Site-uri'!$A$2:$A$20,0))</f>
        <v>eu-ai-ready.eu</v>
      </c>
      <c r="E315" s="10" t="str">
        <f aca="false">INDEX('Site-uri'!$C$2:$C$20,MATCH(C315,'Site-uri'!$A$2:$A$20,0))</f>
        <v>/</v>
      </c>
      <c r="F315" s="10" t="str">
        <f aca="false">B315</f>
        <v>floride-e2.com</v>
      </c>
      <c r="G315" s="10" t="str">
        <f aca="false">Config!$B$5</f>
        <v>network</v>
      </c>
      <c r="H315" s="10" t="str">
        <f aca="false">Config!$B$3</f>
        <v>2610_ff_lansare</v>
      </c>
      <c r="I315" s="10" t="str">
        <f aca="false">Config!$B$4</f>
        <v>general</v>
      </c>
      <c r="J315" s="10" t="str">
        <f aca="false">"https://"&amp;D315&amp;E315&amp;"?utm_source="&amp;F315&amp;"&amp;utm_medium="&amp;G315&amp;"&amp;utm_campaign="&amp;H315&amp;"&amp;utm_content="&amp;I315</f>
        <v>https://eu-ai-ready.eu/?utm_source=floride-e2.com&amp;utm_medium=network&amp;utm_campaign=2610_ff_lansare&amp;utm_content=general</v>
      </c>
    </row>
    <row r="316" customFormat="false" ht="15" hidden="false" customHeight="false" outlineLevel="0" collapsed="false">
      <c r="A316" s="10" t="s">
        <v>94</v>
      </c>
      <c r="B316" s="10" t="str">
        <f aca="false">INDEX('Site-uri'!$B$2:$B$20,MATCH(A316,'Site-uri'!$A$2:$A$20,0))</f>
        <v>floride-e2.com</v>
      </c>
      <c r="C316" s="10" t="s">
        <v>69</v>
      </c>
      <c r="D316" s="10" t="str">
        <f aca="false">INDEX('Site-uri'!$B$2:$B$20,MATCH(C316,'Site-uri'!$A$2:$A$20,0))</f>
        <v>eu-ai-act.ro</v>
      </c>
      <c r="E316" s="10" t="str">
        <f aca="false">INDEX('Site-uri'!$C$2:$C$20,MATCH(C316,'Site-uri'!$A$2:$A$20,0))</f>
        <v>/</v>
      </c>
      <c r="F316" s="10" t="str">
        <f aca="false">B316</f>
        <v>floride-e2.com</v>
      </c>
      <c r="G316" s="10" t="str">
        <f aca="false">Config!$B$5</f>
        <v>network</v>
      </c>
      <c r="H316" s="10" t="str">
        <f aca="false">Config!$B$3</f>
        <v>2610_ff_lansare</v>
      </c>
      <c r="I316" s="10" t="str">
        <f aca="false">Config!$B$4</f>
        <v>general</v>
      </c>
      <c r="J316" s="10" t="str">
        <f aca="false">"https://"&amp;D316&amp;E316&amp;"?utm_source="&amp;F316&amp;"&amp;utm_medium="&amp;G316&amp;"&amp;utm_campaign="&amp;H316&amp;"&amp;utm_content="&amp;I316</f>
        <v>https://eu-ai-act.ro/?utm_source=floride-e2.com&amp;utm_medium=network&amp;utm_campaign=2610_ff_lansare&amp;utm_content=general</v>
      </c>
    </row>
    <row r="317" customFormat="false" ht="15" hidden="false" customHeight="false" outlineLevel="0" collapsed="false">
      <c r="A317" s="10" t="s">
        <v>94</v>
      </c>
      <c r="B317" s="10" t="str">
        <f aca="false">INDEX('Site-uri'!$B$2:$B$20,MATCH(A317,'Site-uri'!$A$2:$A$20,0))</f>
        <v>floride-e2.com</v>
      </c>
      <c r="C317" s="10" t="s">
        <v>72</v>
      </c>
      <c r="D317" s="10" t="str">
        <f aca="false">INDEX('Site-uri'!$B$2:$B$20,MATCH(C317,'Site-uri'!$A$2:$A$20,0))</f>
        <v>eu-ai-act-ready.eu</v>
      </c>
      <c r="E317" s="10" t="str">
        <f aca="false">INDEX('Site-uri'!$C$2:$C$20,MATCH(C317,'Site-uri'!$A$2:$A$20,0))</f>
        <v>/</v>
      </c>
      <c r="F317" s="10" t="str">
        <f aca="false">B317</f>
        <v>floride-e2.com</v>
      </c>
      <c r="G317" s="10" t="str">
        <f aca="false">Config!$B$5</f>
        <v>network</v>
      </c>
      <c r="H317" s="10" t="str">
        <f aca="false">Config!$B$3</f>
        <v>2610_ff_lansare</v>
      </c>
      <c r="I317" s="10" t="str">
        <f aca="false">Config!$B$4</f>
        <v>general</v>
      </c>
      <c r="J317" s="10" t="str">
        <f aca="false">"https://"&amp;D317&amp;E317&amp;"?utm_source="&amp;F317&amp;"&amp;utm_medium="&amp;G317&amp;"&amp;utm_campaign="&amp;H317&amp;"&amp;utm_content="&amp;I317</f>
        <v>https://eu-ai-act-ready.eu/?utm_source=floride-e2.com&amp;utm_medium=network&amp;utm_campaign=2610_ff_lansare&amp;utm_content=general</v>
      </c>
    </row>
    <row r="318" customFormat="false" ht="15" hidden="false" customHeight="false" outlineLevel="0" collapsed="false">
      <c r="A318" s="10" t="s">
        <v>94</v>
      </c>
      <c r="B318" s="10" t="str">
        <f aca="false">INDEX('Site-uri'!$B$2:$B$20,MATCH(A318,'Site-uri'!$A$2:$A$20,0))</f>
        <v>floride-e2.com</v>
      </c>
      <c r="C318" s="10" t="s">
        <v>75</v>
      </c>
      <c r="D318" s="10" t="str">
        <f aca="false">INDEX('Site-uri'!$B$2:$B$20,MATCH(C318,'Site-uri'!$A$2:$A$20,0))</f>
        <v>eu-112.ro</v>
      </c>
      <c r="E318" s="10" t="str">
        <f aca="false">INDEX('Site-uri'!$C$2:$C$20,MATCH(C318,'Site-uri'!$A$2:$A$20,0))</f>
        <v>/</v>
      </c>
      <c r="F318" s="10" t="str">
        <f aca="false">B318</f>
        <v>floride-e2.com</v>
      </c>
      <c r="G318" s="10" t="str">
        <f aca="false">Config!$B$5</f>
        <v>network</v>
      </c>
      <c r="H318" s="10" t="str">
        <f aca="false">Config!$B$3</f>
        <v>2610_ff_lansare</v>
      </c>
      <c r="I318" s="10" t="str">
        <f aca="false">Config!$B$4</f>
        <v>general</v>
      </c>
      <c r="J318" s="10" t="str">
        <f aca="false">"https://"&amp;D318&amp;E318&amp;"?utm_source="&amp;F318&amp;"&amp;utm_medium="&amp;G318&amp;"&amp;utm_campaign="&amp;H318&amp;"&amp;utm_content="&amp;I318</f>
        <v>https://eu-112.ro/?utm_source=floride-e2.com&amp;utm_medium=network&amp;utm_campaign=2610_ff_lansare&amp;utm_content=general</v>
      </c>
    </row>
    <row r="319" customFormat="false" ht="15" hidden="false" customHeight="false" outlineLevel="0" collapsed="false">
      <c r="A319" s="10" t="s">
        <v>94</v>
      </c>
      <c r="B319" s="10" t="str">
        <f aca="false">INDEX('Site-uri'!$B$2:$B$20,MATCH(A319,'Site-uri'!$A$2:$A$20,0))</f>
        <v>floride-e2.com</v>
      </c>
      <c r="C319" s="10" t="s">
        <v>78</v>
      </c>
      <c r="D319" s="10" t="str">
        <f aca="false">INDEX('Site-uri'!$B$2:$B$20,MATCH(C319,'Site-uri'!$A$2:$A$20,0))</f>
        <v>eu-112.eu</v>
      </c>
      <c r="E319" s="10" t="str">
        <f aca="false">INDEX('Site-uri'!$C$2:$C$20,MATCH(C319,'Site-uri'!$A$2:$A$20,0))</f>
        <v>/</v>
      </c>
      <c r="F319" s="10" t="str">
        <f aca="false">B319</f>
        <v>floride-e2.com</v>
      </c>
      <c r="G319" s="10" t="str">
        <f aca="false">Config!$B$5</f>
        <v>network</v>
      </c>
      <c r="H319" s="10" t="str">
        <f aca="false">Config!$B$3</f>
        <v>2610_ff_lansare</v>
      </c>
      <c r="I319" s="10" t="str">
        <f aca="false">Config!$B$4</f>
        <v>general</v>
      </c>
      <c r="J319" s="10" t="str">
        <f aca="false">"https://"&amp;D319&amp;E319&amp;"?utm_source="&amp;F319&amp;"&amp;utm_medium="&amp;G319&amp;"&amp;utm_campaign="&amp;H319&amp;"&amp;utm_content="&amp;I319</f>
        <v>https://eu-112.eu/?utm_source=floride-e2.com&amp;utm_medium=network&amp;utm_campaign=2610_ff_lansare&amp;utm_content=general</v>
      </c>
    </row>
    <row r="320" customFormat="false" ht="15" hidden="false" customHeight="false" outlineLevel="0" collapsed="false">
      <c r="A320" s="10" t="s">
        <v>94</v>
      </c>
      <c r="B320" s="10" t="str">
        <f aca="false">INDEX('Site-uri'!$B$2:$B$20,MATCH(A320,'Site-uri'!$A$2:$A$20,0))</f>
        <v>floride-e2.com</v>
      </c>
      <c r="C320" s="10" t="s">
        <v>81</v>
      </c>
      <c r="D320" s="10" t="str">
        <f aca="false">INDEX('Site-uri'!$B$2:$B$20,MATCH(C320,'Site-uri'!$A$2:$A$20,0))</f>
        <v>1clic-ia.eu</v>
      </c>
      <c r="E320" s="10" t="str">
        <f aca="false">INDEX('Site-uri'!$C$2:$C$20,MATCH(C320,'Site-uri'!$A$2:$A$20,0))</f>
        <v>/</v>
      </c>
      <c r="F320" s="10" t="str">
        <f aca="false">B320</f>
        <v>floride-e2.com</v>
      </c>
      <c r="G320" s="10" t="str">
        <f aca="false">Config!$B$5</f>
        <v>network</v>
      </c>
      <c r="H320" s="10" t="str">
        <f aca="false">Config!$B$3</f>
        <v>2610_ff_lansare</v>
      </c>
      <c r="I320" s="10" t="str">
        <f aca="false">Config!$B$4</f>
        <v>general</v>
      </c>
      <c r="J320" s="10" t="str">
        <f aca="false">"https://"&amp;D320&amp;E320&amp;"?utm_source="&amp;F320&amp;"&amp;utm_medium="&amp;G320&amp;"&amp;utm_campaign="&amp;H320&amp;"&amp;utm_content="&amp;I320</f>
        <v>https://1clic-ia.eu/?utm_source=floride-e2.com&amp;utm_medium=network&amp;utm_campaign=2610_ff_lansare&amp;utm_content=general</v>
      </c>
    </row>
    <row r="321" customFormat="false" ht="15" hidden="false" customHeight="false" outlineLevel="0" collapsed="false">
      <c r="A321" s="10" t="s">
        <v>94</v>
      </c>
      <c r="B321" s="10" t="str">
        <f aca="false">INDEX('Site-uri'!$B$2:$B$20,MATCH(A321,'Site-uri'!$A$2:$A$20,0))</f>
        <v>floride-e2.com</v>
      </c>
      <c r="C321" s="10" t="s">
        <v>84</v>
      </c>
      <c r="D321" s="10" t="str">
        <f aca="false">INDEX('Site-uri'!$B$2:$B$20,MATCH(C321,'Site-uri'!$A$2:$A$20,0))</f>
        <v>1clic-ia.fr</v>
      </c>
      <c r="E321" s="10" t="str">
        <f aca="false">INDEX('Site-uri'!$C$2:$C$20,MATCH(C321,'Site-uri'!$A$2:$A$20,0))</f>
        <v>/</v>
      </c>
      <c r="F321" s="10" t="str">
        <f aca="false">B321</f>
        <v>floride-e2.com</v>
      </c>
      <c r="G321" s="10" t="str">
        <f aca="false">Config!$B$5</f>
        <v>network</v>
      </c>
      <c r="H321" s="10" t="str">
        <f aca="false">Config!$B$3</f>
        <v>2610_ff_lansare</v>
      </c>
      <c r="I321" s="10" t="str">
        <f aca="false">Config!$B$4</f>
        <v>general</v>
      </c>
      <c r="J321" s="10" t="str">
        <f aca="false">"https://"&amp;D321&amp;E321&amp;"?utm_source="&amp;F321&amp;"&amp;utm_medium="&amp;G321&amp;"&amp;utm_campaign="&amp;H321&amp;"&amp;utm_content="&amp;I321</f>
        <v>https://1clic-ia.fr/?utm_source=floride-e2.com&amp;utm_medium=network&amp;utm_campaign=2610_ff_lansare&amp;utm_content=general</v>
      </c>
    </row>
    <row r="322" customFormat="false" ht="15" hidden="false" customHeight="false" outlineLevel="0" collapsed="false">
      <c r="A322" s="10" t="s">
        <v>94</v>
      </c>
      <c r="B322" s="10" t="str">
        <f aca="false">INDEX('Site-uri'!$B$2:$B$20,MATCH(A322,'Site-uri'!$A$2:$A$20,0))</f>
        <v>floride-e2.com</v>
      </c>
      <c r="C322" s="10" t="s">
        <v>86</v>
      </c>
      <c r="D322" s="10" t="str">
        <f aca="false">INDEX('Site-uri'!$B$2:$B$20,MATCH(C322,'Site-uri'!$A$2:$A$20,0))</f>
        <v>firmsfinder.eu</v>
      </c>
      <c r="E322" s="10" t="str">
        <f aca="false">INDEX('Site-uri'!$C$2:$C$20,MATCH(C322,'Site-uri'!$A$2:$A$20,0))</f>
        <v>/</v>
      </c>
      <c r="F322" s="10" t="str">
        <f aca="false">B322</f>
        <v>floride-e2.com</v>
      </c>
      <c r="G322" s="10" t="str">
        <f aca="false">Config!$B$5</f>
        <v>network</v>
      </c>
      <c r="H322" s="10" t="str">
        <f aca="false">Config!$B$3</f>
        <v>2610_ff_lansare</v>
      </c>
      <c r="I322" s="10" t="str">
        <f aca="false">Config!$B$4</f>
        <v>general</v>
      </c>
      <c r="J322" s="10" t="str">
        <f aca="false">"https://"&amp;D322&amp;E322&amp;"?utm_source="&amp;F322&amp;"&amp;utm_medium="&amp;G322&amp;"&amp;utm_campaign="&amp;H322&amp;"&amp;utm_content="&amp;I322</f>
        <v>https://firmsfinder.eu/?utm_source=floride-e2.com&amp;utm_medium=network&amp;utm_campaign=2610_ff_lansare&amp;utm_content=general</v>
      </c>
    </row>
    <row r="323" customFormat="false" ht="15" hidden="false" customHeight="false" outlineLevel="0" collapsed="false">
      <c r="A323" s="10" t="s">
        <v>94</v>
      </c>
      <c r="B323" s="10" t="str">
        <f aca="false">INDEX('Site-uri'!$B$2:$B$20,MATCH(A323,'Site-uri'!$A$2:$A$20,0))</f>
        <v>floride-e2.com</v>
      </c>
      <c r="C323" s="10" t="s">
        <v>89</v>
      </c>
      <c r="D323" s="10" t="str">
        <f aca="false">INDEX('Site-uri'!$B$2:$B$20,MATCH(C323,'Site-uri'!$A$2:$A$20,0))</f>
        <v>b2b-ai-library.org</v>
      </c>
      <c r="E323" s="10" t="str">
        <f aca="false">INDEX('Site-uri'!$C$2:$C$20,MATCH(C323,'Site-uri'!$A$2:$A$20,0))</f>
        <v>/</v>
      </c>
      <c r="F323" s="10" t="str">
        <f aca="false">B323</f>
        <v>floride-e2.com</v>
      </c>
      <c r="G323" s="10" t="str">
        <f aca="false">Config!$B$5</f>
        <v>network</v>
      </c>
      <c r="H323" s="10" t="str">
        <f aca="false">Config!$B$3</f>
        <v>2610_ff_lansare</v>
      </c>
      <c r="I323" s="10" t="str">
        <f aca="false">Config!$B$4</f>
        <v>general</v>
      </c>
      <c r="J323" s="10" t="str">
        <f aca="false">"https://"&amp;D323&amp;E323&amp;"?utm_source="&amp;F323&amp;"&amp;utm_medium="&amp;G323&amp;"&amp;utm_campaign="&amp;H323&amp;"&amp;utm_content="&amp;I323</f>
        <v>https://b2b-ai-library.org/?utm_source=floride-e2.com&amp;utm_medium=network&amp;utm_campaign=2610_ff_lansare&amp;utm_content=general</v>
      </c>
    </row>
    <row r="324" customFormat="false" ht="15" hidden="false" customHeight="false" outlineLevel="0" collapsed="false">
      <c r="A324" s="10" t="s">
        <v>94</v>
      </c>
      <c r="B324" s="10" t="str">
        <f aca="false">INDEX('Site-uri'!$B$2:$B$20,MATCH(A324,'Site-uri'!$A$2:$A$20,0))</f>
        <v>floride-e2.com</v>
      </c>
      <c r="C324" s="10" t="s">
        <v>91</v>
      </c>
      <c r="D324" s="10" t="str">
        <f aca="false">INDEX('Site-uri'!$B$2:$B$20,MATCH(C324,'Site-uri'!$A$2:$A$20,0))</f>
        <v>the3webs.com</v>
      </c>
      <c r="E324" s="10" t="str">
        <f aca="false">INDEX('Site-uri'!$C$2:$C$20,MATCH(C324,'Site-uri'!$A$2:$A$20,0))</f>
        <v>/</v>
      </c>
      <c r="F324" s="10" t="str">
        <f aca="false">B324</f>
        <v>floride-e2.com</v>
      </c>
      <c r="G324" s="10" t="str">
        <f aca="false">Config!$B$5</f>
        <v>network</v>
      </c>
      <c r="H324" s="10" t="str">
        <f aca="false">Config!$B$3</f>
        <v>2610_ff_lansare</v>
      </c>
      <c r="I324" s="10" t="str">
        <f aca="false">Config!$B$4</f>
        <v>general</v>
      </c>
      <c r="J324" s="10" t="str">
        <f aca="false">"https://"&amp;D324&amp;E324&amp;"?utm_source="&amp;F324&amp;"&amp;utm_medium="&amp;G324&amp;"&amp;utm_campaign="&amp;H324&amp;"&amp;utm_content="&amp;I324</f>
        <v>https://the3webs.com/?utm_source=floride-e2.com&amp;utm_medium=network&amp;utm_campaign=2610_ff_lansare&amp;utm_content=general</v>
      </c>
    </row>
    <row r="325" customFormat="false" ht="15" hidden="false" customHeight="false" outlineLevel="0" collapsed="false">
      <c r="A325" s="10" t="s">
        <v>94</v>
      </c>
      <c r="B325" s="10" t="str">
        <f aca="false">INDEX('Site-uri'!$B$2:$B$20,MATCH(A325,'Site-uri'!$A$2:$A$20,0))</f>
        <v>floride-e2.com</v>
      </c>
      <c r="C325" s="10" t="s">
        <v>96</v>
      </c>
      <c r="D325" s="10" t="str">
        <f aca="false">INDEX('Site-uri'!$B$2:$B$20,MATCH(C325,'Site-uri'!$A$2:$A$20,0))</f>
        <v>ecbtax.com</v>
      </c>
      <c r="E325" s="10" t="str">
        <f aca="false">INDEX('Site-uri'!$C$2:$C$20,MATCH(C325,'Site-uri'!$A$2:$A$20,0))</f>
        <v>/</v>
      </c>
      <c r="F325" s="10" t="str">
        <f aca="false">B325</f>
        <v>floride-e2.com</v>
      </c>
      <c r="G325" s="10" t="str">
        <f aca="false">Config!$B$5</f>
        <v>network</v>
      </c>
      <c r="H325" s="10" t="str">
        <f aca="false">Config!$B$3</f>
        <v>2610_ff_lansare</v>
      </c>
      <c r="I325" s="10" t="str">
        <f aca="false">Config!$B$4</f>
        <v>general</v>
      </c>
      <c r="J325" s="10" t="str">
        <f aca="false">"https://"&amp;D325&amp;E325&amp;"?utm_source="&amp;F325&amp;"&amp;utm_medium="&amp;G325&amp;"&amp;utm_campaign="&amp;H325&amp;"&amp;utm_content="&amp;I325</f>
        <v>https://ecbtax.com/?utm_source=floride-e2.com&amp;utm_medium=network&amp;utm_campaign=2610_ff_lansare&amp;utm_content=general</v>
      </c>
    </row>
    <row r="326" customFormat="false" ht="15" hidden="false" customHeight="false" outlineLevel="0" collapsed="false">
      <c r="A326" s="10" t="s">
        <v>96</v>
      </c>
      <c r="B326" s="10" t="str">
        <f aca="false">INDEX('Site-uri'!$B$2:$B$20,MATCH(A326,'Site-uri'!$A$2:$A$20,0))</f>
        <v>ecbtax.com</v>
      </c>
      <c r="C326" s="10" t="s">
        <v>45</v>
      </c>
      <c r="D326" s="10" t="str">
        <f aca="false">INDEX('Site-uri'!$B$2:$B$20,MATCH(C326,'Site-uri'!$A$2:$A$20,0))</f>
        <v>5thelement.ai</v>
      </c>
      <c r="E326" s="10" t="str">
        <f aca="false">INDEX('Site-uri'!$C$2:$C$20,MATCH(C326,'Site-uri'!$A$2:$A$20,0))</f>
        <v>/</v>
      </c>
      <c r="F326" s="10" t="str">
        <f aca="false">B326</f>
        <v>ecbtax.com</v>
      </c>
      <c r="G326" s="10" t="str">
        <f aca="false">Config!$B$5</f>
        <v>network</v>
      </c>
      <c r="H326" s="10" t="str">
        <f aca="false">Config!$B$3</f>
        <v>2610_ff_lansare</v>
      </c>
      <c r="I326" s="10" t="str">
        <f aca="false">Config!$B$4</f>
        <v>general</v>
      </c>
      <c r="J326" s="10" t="str">
        <f aca="false">"https://"&amp;D326&amp;E326&amp;"?utm_source="&amp;F326&amp;"&amp;utm_medium="&amp;G326&amp;"&amp;utm_campaign="&amp;H326&amp;"&amp;utm_content="&amp;I326</f>
        <v>https://5thelement.ai/?utm_source=ecbtax.com&amp;utm_medium=network&amp;utm_campaign=2610_ff_lansare&amp;utm_content=general</v>
      </c>
    </row>
    <row r="327" customFormat="false" ht="15" hidden="false" customHeight="false" outlineLevel="0" collapsed="false">
      <c r="A327" s="10" t="s">
        <v>96</v>
      </c>
      <c r="B327" s="10" t="str">
        <f aca="false">INDEX('Site-uri'!$B$2:$B$20,MATCH(A327,'Site-uri'!$A$2:$A$20,0))</f>
        <v>ecbtax.com</v>
      </c>
      <c r="C327" s="10" t="s">
        <v>49</v>
      </c>
      <c r="D327" s="10" t="str">
        <f aca="false">INDEX('Site-uri'!$B$2:$B$20,MATCH(C327,'Site-uri'!$A$2:$A$20,0))</f>
        <v>aiventure.ro</v>
      </c>
      <c r="E327" s="10" t="str">
        <f aca="false">INDEX('Site-uri'!$C$2:$C$20,MATCH(C327,'Site-uri'!$A$2:$A$20,0))</f>
        <v>/</v>
      </c>
      <c r="F327" s="10" t="str">
        <f aca="false">B327</f>
        <v>ecbtax.com</v>
      </c>
      <c r="G327" s="10" t="str">
        <f aca="false">Config!$B$5</f>
        <v>network</v>
      </c>
      <c r="H327" s="10" t="str">
        <f aca="false">Config!$B$3</f>
        <v>2610_ff_lansare</v>
      </c>
      <c r="I327" s="10" t="str">
        <f aca="false">Config!$B$4</f>
        <v>general</v>
      </c>
      <c r="J327" s="10" t="str">
        <f aca="false">"https://"&amp;D327&amp;E327&amp;"?utm_source="&amp;F327&amp;"&amp;utm_medium="&amp;G327&amp;"&amp;utm_campaign="&amp;H327&amp;"&amp;utm_content="&amp;I327</f>
        <v>https://aiventure.ro/?utm_source=ecbtax.com&amp;utm_medium=network&amp;utm_campaign=2610_ff_lansare&amp;utm_content=general</v>
      </c>
    </row>
    <row r="328" customFormat="false" ht="15" hidden="false" customHeight="false" outlineLevel="0" collapsed="false">
      <c r="A328" s="10" t="s">
        <v>96</v>
      </c>
      <c r="B328" s="10" t="str">
        <f aca="false">INDEX('Site-uri'!$B$2:$B$20,MATCH(A328,'Site-uri'!$A$2:$A$20,0))</f>
        <v>ecbtax.com</v>
      </c>
      <c r="C328" s="10" t="s">
        <v>52</v>
      </c>
      <c r="D328" s="10" t="str">
        <f aca="false">INDEX('Site-uri'!$B$2:$B$20,MATCH(C328,'Site-uri'!$A$2:$A$20,0))</f>
        <v>aiventure.uk</v>
      </c>
      <c r="E328" s="10" t="str">
        <f aca="false">INDEX('Site-uri'!$C$2:$C$20,MATCH(C328,'Site-uri'!$A$2:$A$20,0))</f>
        <v>/</v>
      </c>
      <c r="F328" s="10" t="str">
        <f aca="false">B328</f>
        <v>ecbtax.com</v>
      </c>
      <c r="G328" s="10" t="str">
        <f aca="false">Config!$B$5</f>
        <v>network</v>
      </c>
      <c r="H328" s="10" t="str">
        <f aca="false">Config!$B$3</f>
        <v>2610_ff_lansare</v>
      </c>
      <c r="I328" s="10" t="str">
        <f aca="false">Config!$B$4</f>
        <v>general</v>
      </c>
      <c r="J328" s="10" t="str">
        <f aca="false">"https://"&amp;D328&amp;E328&amp;"?utm_source="&amp;F328&amp;"&amp;utm_medium="&amp;G328&amp;"&amp;utm_campaign="&amp;H328&amp;"&amp;utm_content="&amp;I328</f>
        <v>https://aiventure.uk/?utm_source=ecbtax.com&amp;utm_medium=network&amp;utm_campaign=2610_ff_lansare&amp;utm_content=general</v>
      </c>
    </row>
    <row r="329" customFormat="false" ht="15" hidden="false" customHeight="false" outlineLevel="0" collapsed="false">
      <c r="A329" s="10" t="s">
        <v>96</v>
      </c>
      <c r="B329" s="10" t="str">
        <f aca="false">INDEX('Site-uri'!$B$2:$B$20,MATCH(A329,'Site-uri'!$A$2:$A$20,0))</f>
        <v>ecbtax.com</v>
      </c>
      <c r="C329" s="10" t="s">
        <v>55</v>
      </c>
      <c r="D329" s="10" t="str">
        <f aca="false">INDEX('Site-uri'!$B$2:$B$20,MATCH(C329,'Site-uri'!$A$2:$A$20,0))</f>
        <v>3webobs.com</v>
      </c>
      <c r="E329" s="10" t="str">
        <f aca="false">INDEX('Site-uri'!$C$2:$C$20,MATCH(C329,'Site-uri'!$A$2:$A$20,0))</f>
        <v>/</v>
      </c>
      <c r="F329" s="10" t="str">
        <f aca="false">B329</f>
        <v>ecbtax.com</v>
      </c>
      <c r="G329" s="10" t="str">
        <f aca="false">Config!$B$5</f>
        <v>network</v>
      </c>
      <c r="H329" s="10" t="str">
        <f aca="false">Config!$B$3</f>
        <v>2610_ff_lansare</v>
      </c>
      <c r="I329" s="10" t="str">
        <f aca="false">Config!$B$4</f>
        <v>general</v>
      </c>
      <c r="J329" s="10" t="str">
        <f aca="false">"https://"&amp;D329&amp;E329&amp;"?utm_source="&amp;F329&amp;"&amp;utm_medium="&amp;G329&amp;"&amp;utm_campaign="&amp;H329&amp;"&amp;utm_content="&amp;I329</f>
        <v>https://3webobs.com/?utm_source=ecbtax.com&amp;utm_medium=network&amp;utm_campaign=2610_ff_lansare&amp;utm_content=general</v>
      </c>
    </row>
    <row r="330" customFormat="false" ht="15" hidden="false" customHeight="false" outlineLevel="0" collapsed="false">
      <c r="A330" s="10" t="s">
        <v>96</v>
      </c>
      <c r="B330" s="10" t="str">
        <f aca="false">INDEX('Site-uri'!$B$2:$B$20,MATCH(A330,'Site-uri'!$A$2:$A$20,0))</f>
        <v>ecbtax.com</v>
      </c>
      <c r="C330" s="10" t="s">
        <v>58</v>
      </c>
      <c r="D330" s="10" t="str">
        <f aca="false">INDEX('Site-uri'!$B$2:$B$20,MATCH(C330,'Site-uri'!$A$2:$A$20,0))</f>
        <v>ai-lens.eu</v>
      </c>
      <c r="E330" s="10" t="str">
        <f aca="false">INDEX('Site-uri'!$C$2:$C$20,MATCH(C330,'Site-uri'!$A$2:$A$20,0))</f>
        <v>/</v>
      </c>
      <c r="F330" s="10" t="str">
        <f aca="false">B330</f>
        <v>ecbtax.com</v>
      </c>
      <c r="G330" s="10" t="str">
        <f aca="false">Config!$B$5</f>
        <v>network</v>
      </c>
      <c r="H330" s="10" t="str">
        <f aca="false">Config!$B$3</f>
        <v>2610_ff_lansare</v>
      </c>
      <c r="I330" s="10" t="str">
        <f aca="false">Config!$B$4</f>
        <v>general</v>
      </c>
      <c r="J330" s="10" t="str">
        <f aca="false">"https://"&amp;D330&amp;E330&amp;"?utm_source="&amp;F330&amp;"&amp;utm_medium="&amp;G330&amp;"&amp;utm_campaign="&amp;H330&amp;"&amp;utm_content="&amp;I330</f>
        <v>https://ai-lens.eu/?utm_source=ecbtax.com&amp;utm_medium=network&amp;utm_campaign=2610_ff_lansare&amp;utm_content=general</v>
      </c>
    </row>
    <row r="331" customFormat="false" ht="15" hidden="false" customHeight="false" outlineLevel="0" collapsed="false">
      <c r="A331" s="10" t="s">
        <v>96</v>
      </c>
      <c r="B331" s="10" t="str">
        <f aca="false">INDEX('Site-uri'!$B$2:$B$20,MATCH(A331,'Site-uri'!$A$2:$A$20,0))</f>
        <v>ecbtax.com</v>
      </c>
      <c r="C331" s="10" t="s">
        <v>61</v>
      </c>
      <c r="D331" s="10" t="str">
        <f aca="false">INDEX('Site-uri'!$B$2:$B$20,MATCH(C331,'Site-uri'!$A$2:$A$20,0))</f>
        <v>aireadyinjector.com</v>
      </c>
      <c r="E331" s="10" t="str">
        <f aca="false">INDEX('Site-uri'!$C$2:$C$20,MATCH(C331,'Site-uri'!$A$2:$A$20,0))</f>
        <v>/</v>
      </c>
      <c r="F331" s="10" t="str">
        <f aca="false">B331</f>
        <v>ecbtax.com</v>
      </c>
      <c r="G331" s="10" t="str">
        <f aca="false">Config!$B$5</f>
        <v>network</v>
      </c>
      <c r="H331" s="10" t="str">
        <f aca="false">Config!$B$3</f>
        <v>2610_ff_lansare</v>
      </c>
      <c r="I331" s="10" t="str">
        <f aca="false">Config!$B$4</f>
        <v>general</v>
      </c>
      <c r="J331" s="10" t="str">
        <f aca="false">"https://"&amp;D331&amp;E331&amp;"?utm_source="&amp;F331&amp;"&amp;utm_medium="&amp;G331&amp;"&amp;utm_campaign="&amp;H331&amp;"&amp;utm_content="&amp;I331</f>
        <v>https://aireadyinjector.com/?utm_source=ecbtax.com&amp;utm_medium=network&amp;utm_campaign=2610_ff_lansare&amp;utm_content=general</v>
      </c>
    </row>
    <row r="332" customFormat="false" ht="15" hidden="false" customHeight="false" outlineLevel="0" collapsed="false">
      <c r="A332" s="10" t="s">
        <v>96</v>
      </c>
      <c r="B332" s="10" t="str">
        <f aca="false">INDEX('Site-uri'!$B$2:$B$20,MATCH(A332,'Site-uri'!$A$2:$A$20,0))</f>
        <v>ecbtax.com</v>
      </c>
      <c r="C332" s="10" t="s">
        <v>64</v>
      </c>
      <c r="D332" s="10" t="str">
        <f aca="false">INDEX('Site-uri'!$B$2:$B$20,MATCH(C332,'Site-uri'!$A$2:$A$20,0))</f>
        <v>eu-ai-audit.eu</v>
      </c>
      <c r="E332" s="10" t="str">
        <f aca="false">INDEX('Site-uri'!$C$2:$C$20,MATCH(C332,'Site-uri'!$A$2:$A$20,0))</f>
        <v>/</v>
      </c>
      <c r="F332" s="10" t="str">
        <f aca="false">B332</f>
        <v>ecbtax.com</v>
      </c>
      <c r="G332" s="10" t="str">
        <f aca="false">Config!$B$5</f>
        <v>network</v>
      </c>
      <c r="H332" s="10" t="str">
        <f aca="false">Config!$B$3</f>
        <v>2610_ff_lansare</v>
      </c>
      <c r="I332" s="10" t="str">
        <f aca="false">Config!$B$4</f>
        <v>general</v>
      </c>
      <c r="J332" s="10" t="str">
        <f aca="false">"https://"&amp;D332&amp;E332&amp;"?utm_source="&amp;F332&amp;"&amp;utm_medium="&amp;G332&amp;"&amp;utm_campaign="&amp;H332&amp;"&amp;utm_content="&amp;I332</f>
        <v>https://eu-ai-audit.eu/?utm_source=ecbtax.com&amp;utm_medium=network&amp;utm_campaign=2610_ff_lansare&amp;utm_content=general</v>
      </c>
    </row>
    <row r="333" customFormat="false" ht="15" hidden="false" customHeight="false" outlineLevel="0" collapsed="false">
      <c r="A333" s="10" t="s">
        <v>96</v>
      </c>
      <c r="B333" s="10" t="str">
        <f aca="false">INDEX('Site-uri'!$B$2:$B$20,MATCH(A333,'Site-uri'!$A$2:$A$20,0))</f>
        <v>ecbtax.com</v>
      </c>
      <c r="C333" s="10" t="s">
        <v>67</v>
      </c>
      <c r="D333" s="10" t="str">
        <f aca="false">INDEX('Site-uri'!$B$2:$B$20,MATCH(C333,'Site-uri'!$A$2:$A$20,0))</f>
        <v>eu-ai-ready.eu</v>
      </c>
      <c r="E333" s="10" t="str">
        <f aca="false">INDEX('Site-uri'!$C$2:$C$20,MATCH(C333,'Site-uri'!$A$2:$A$20,0))</f>
        <v>/</v>
      </c>
      <c r="F333" s="10" t="str">
        <f aca="false">B333</f>
        <v>ecbtax.com</v>
      </c>
      <c r="G333" s="10" t="str">
        <f aca="false">Config!$B$5</f>
        <v>network</v>
      </c>
      <c r="H333" s="10" t="str">
        <f aca="false">Config!$B$3</f>
        <v>2610_ff_lansare</v>
      </c>
      <c r="I333" s="10" t="str">
        <f aca="false">Config!$B$4</f>
        <v>general</v>
      </c>
      <c r="J333" s="10" t="str">
        <f aca="false">"https://"&amp;D333&amp;E333&amp;"?utm_source="&amp;F333&amp;"&amp;utm_medium="&amp;G333&amp;"&amp;utm_campaign="&amp;H333&amp;"&amp;utm_content="&amp;I333</f>
        <v>https://eu-ai-ready.eu/?utm_source=ecbtax.com&amp;utm_medium=network&amp;utm_campaign=2610_ff_lansare&amp;utm_content=general</v>
      </c>
    </row>
    <row r="334" customFormat="false" ht="15" hidden="false" customHeight="false" outlineLevel="0" collapsed="false">
      <c r="A334" s="10" t="s">
        <v>96</v>
      </c>
      <c r="B334" s="10" t="str">
        <f aca="false">INDEX('Site-uri'!$B$2:$B$20,MATCH(A334,'Site-uri'!$A$2:$A$20,0))</f>
        <v>ecbtax.com</v>
      </c>
      <c r="C334" s="10" t="s">
        <v>69</v>
      </c>
      <c r="D334" s="10" t="str">
        <f aca="false">INDEX('Site-uri'!$B$2:$B$20,MATCH(C334,'Site-uri'!$A$2:$A$20,0))</f>
        <v>eu-ai-act.ro</v>
      </c>
      <c r="E334" s="10" t="str">
        <f aca="false">INDEX('Site-uri'!$C$2:$C$20,MATCH(C334,'Site-uri'!$A$2:$A$20,0))</f>
        <v>/</v>
      </c>
      <c r="F334" s="10" t="str">
        <f aca="false">B334</f>
        <v>ecbtax.com</v>
      </c>
      <c r="G334" s="10" t="str">
        <f aca="false">Config!$B$5</f>
        <v>network</v>
      </c>
      <c r="H334" s="10" t="str">
        <f aca="false">Config!$B$3</f>
        <v>2610_ff_lansare</v>
      </c>
      <c r="I334" s="10" t="str">
        <f aca="false">Config!$B$4</f>
        <v>general</v>
      </c>
      <c r="J334" s="10" t="str">
        <f aca="false">"https://"&amp;D334&amp;E334&amp;"?utm_source="&amp;F334&amp;"&amp;utm_medium="&amp;G334&amp;"&amp;utm_campaign="&amp;H334&amp;"&amp;utm_content="&amp;I334</f>
        <v>https://eu-ai-act.ro/?utm_source=ecbtax.com&amp;utm_medium=network&amp;utm_campaign=2610_ff_lansare&amp;utm_content=general</v>
      </c>
    </row>
    <row r="335" customFormat="false" ht="15" hidden="false" customHeight="false" outlineLevel="0" collapsed="false">
      <c r="A335" s="10" t="s">
        <v>96</v>
      </c>
      <c r="B335" s="10" t="str">
        <f aca="false">INDEX('Site-uri'!$B$2:$B$20,MATCH(A335,'Site-uri'!$A$2:$A$20,0))</f>
        <v>ecbtax.com</v>
      </c>
      <c r="C335" s="10" t="s">
        <v>72</v>
      </c>
      <c r="D335" s="10" t="str">
        <f aca="false">INDEX('Site-uri'!$B$2:$B$20,MATCH(C335,'Site-uri'!$A$2:$A$20,0))</f>
        <v>eu-ai-act-ready.eu</v>
      </c>
      <c r="E335" s="10" t="str">
        <f aca="false">INDEX('Site-uri'!$C$2:$C$20,MATCH(C335,'Site-uri'!$A$2:$A$20,0))</f>
        <v>/</v>
      </c>
      <c r="F335" s="10" t="str">
        <f aca="false">B335</f>
        <v>ecbtax.com</v>
      </c>
      <c r="G335" s="10" t="str">
        <f aca="false">Config!$B$5</f>
        <v>network</v>
      </c>
      <c r="H335" s="10" t="str">
        <f aca="false">Config!$B$3</f>
        <v>2610_ff_lansare</v>
      </c>
      <c r="I335" s="10" t="str">
        <f aca="false">Config!$B$4</f>
        <v>general</v>
      </c>
      <c r="J335" s="10" t="str">
        <f aca="false">"https://"&amp;D335&amp;E335&amp;"?utm_source="&amp;F335&amp;"&amp;utm_medium="&amp;G335&amp;"&amp;utm_campaign="&amp;H335&amp;"&amp;utm_content="&amp;I335</f>
        <v>https://eu-ai-act-ready.eu/?utm_source=ecbtax.com&amp;utm_medium=network&amp;utm_campaign=2610_ff_lansare&amp;utm_content=general</v>
      </c>
    </row>
    <row r="336" customFormat="false" ht="15" hidden="false" customHeight="false" outlineLevel="0" collapsed="false">
      <c r="A336" s="10" t="s">
        <v>96</v>
      </c>
      <c r="B336" s="10" t="str">
        <f aca="false">INDEX('Site-uri'!$B$2:$B$20,MATCH(A336,'Site-uri'!$A$2:$A$20,0))</f>
        <v>ecbtax.com</v>
      </c>
      <c r="C336" s="10" t="s">
        <v>75</v>
      </c>
      <c r="D336" s="10" t="str">
        <f aca="false">INDEX('Site-uri'!$B$2:$B$20,MATCH(C336,'Site-uri'!$A$2:$A$20,0))</f>
        <v>eu-112.ro</v>
      </c>
      <c r="E336" s="10" t="str">
        <f aca="false">INDEX('Site-uri'!$C$2:$C$20,MATCH(C336,'Site-uri'!$A$2:$A$20,0))</f>
        <v>/</v>
      </c>
      <c r="F336" s="10" t="str">
        <f aca="false">B336</f>
        <v>ecbtax.com</v>
      </c>
      <c r="G336" s="10" t="str">
        <f aca="false">Config!$B$5</f>
        <v>network</v>
      </c>
      <c r="H336" s="10" t="str">
        <f aca="false">Config!$B$3</f>
        <v>2610_ff_lansare</v>
      </c>
      <c r="I336" s="10" t="str">
        <f aca="false">Config!$B$4</f>
        <v>general</v>
      </c>
      <c r="J336" s="10" t="str">
        <f aca="false">"https://"&amp;D336&amp;E336&amp;"?utm_source="&amp;F336&amp;"&amp;utm_medium="&amp;G336&amp;"&amp;utm_campaign="&amp;H336&amp;"&amp;utm_content="&amp;I336</f>
        <v>https://eu-112.ro/?utm_source=ecbtax.com&amp;utm_medium=network&amp;utm_campaign=2610_ff_lansare&amp;utm_content=general</v>
      </c>
    </row>
    <row r="337" customFormat="false" ht="15" hidden="false" customHeight="false" outlineLevel="0" collapsed="false">
      <c r="A337" s="10" t="s">
        <v>96</v>
      </c>
      <c r="B337" s="10" t="str">
        <f aca="false">INDEX('Site-uri'!$B$2:$B$20,MATCH(A337,'Site-uri'!$A$2:$A$20,0))</f>
        <v>ecbtax.com</v>
      </c>
      <c r="C337" s="10" t="s">
        <v>78</v>
      </c>
      <c r="D337" s="10" t="str">
        <f aca="false">INDEX('Site-uri'!$B$2:$B$20,MATCH(C337,'Site-uri'!$A$2:$A$20,0))</f>
        <v>eu-112.eu</v>
      </c>
      <c r="E337" s="10" t="str">
        <f aca="false">INDEX('Site-uri'!$C$2:$C$20,MATCH(C337,'Site-uri'!$A$2:$A$20,0))</f>
        <v>/</v>
      </c>
      <c r="F337" s="10" t="str">
        <f aca="false">B337</f>
        <v>ecbtax.com</v>
      </c>
      <c r="G337" s="10" t="str">
        <f aca="false">Config!$B$5</f>
        <v>network</v>
      </c>
      <c r="H337" s="10" t="str">
        <f aca="false">Config!$B$3</f>
        <v>2610_ff_lansare</v>
      </c>
      <c r="I337" s="10" t="str">
        <f aca="false">Config!$B$4</f>
        <v>general</v>
      </c>
      <c r="J337" s="10" t="str">
        <f aca="false">"https://"&amp;D337&amp;E337&amp;"?utm_source="&amp;F337&amp;"&amp;utm_medium="&amp;G337&amp;"&amp;utm_campaign="&amp;H337&amp;"&amp;utm_content="&amp;I337</f>
        <v>https://eu-112.eu/?utm_source=ecbtax.com&amp;utm_medium=network&amp;utm_campaign=2610_ff_lansare&amp;utm_content=general</v>
      </c>
    </row>
    <row r="338" customFormat="false" ht="15" hidden="false" customHeight="false" outlineLevel="0" collapsed="false">
      <c r="A338" s="10" t="s">
        <v>96</v>
      </c>
      <c r="B338" s="10" t="str">
        <f aca="false">INDEX('Site-uri'!$B$2:$B$20,MATCH(A338,'Site-uri'!$A$2:$A$20,0))</f>
        <v>ecbtax.com</v>
      </c>
      <c r="C338" s="10" t="s">
        <v>81</v>
      </c>
      <c r="D338" s="10" t="str">
        <f aca="false">INDEX('Site-uri'!$B$2:$B$20,MATCH(C338,'Site-uri'!$A$2:$A$20,0))</f>
        <v>1clic-ia.eu</v>
      </c>
      <c r="E338" s="10" t="str">
        <f aca="false">INDEX('Site-uri'!$C$2:$C$20,MATCH(C338,'Site-uri'!$A$2:$A$20,0))</f>
        <v>/</v>
      </c>
      <c r="F338" s="10" t="str">
        <f aca="false">B338</f>
        <v>ecbtax.com</v>
      </c>
      <c r="G338" s="10" t="str">
        <f aca="false">Config!$B$5</f>
        <v>network</v>
      </c>
      <c r="H338" s="10" t="str">
        <f aca="false">Config!$B$3</f>
        <v>2610_ff_lansare</v>
      </c>
      <c r="I338" s="10" t="str">
        <f aca="false">Config!$B$4</f>
        <v>general</v>
      </c>
      <c r="J338" s="10" t="str">
        <f aca="false">"https://"&amp;D338&amp;E338&amp;"?utm_source="&amp;F338&amp;"&amp;utm_medium="&amp;G338&amp;"&amp;utm_campaign="&amp;H338&amp;"&amp;utm_content="&amp;I338</f>
        <v>https://1clic-ia.eu/?utm_source=ecbtax.com&amp;utm_medium=network&amp;utm_campaign=2610_ff_lansare&amp;utm_content=general</v>
      </c>
    </row>
    <row r="339" customFormat="false" ht="15" hidden="false" customHeight="false" outlineLevel="0" collapsed="false">
      <c r="A339" s="10" t="s">
        <v>96</v>
      </c>
      <c r="B339" s="10" t="str">
        <f aca="false">INDEX('Site-uri'!$B$2:$B$20,MATCH(A339,'Site-uri'!$A$2:$A$20,0))</f>
        <v>ecbtax.com</v>
      </c>
      <c r="C339" s="10" t="s">
        <v>84</v>
      </c>
      <c r="D339" s="10" t="str">
        <f aca="false">INDEX('Site-uri'!$B$2:$B$20,MATCH(C339,'Site-uri'!$A$2:$A$20,0))</f>
        <v>1clic-ia.fr</v>
      </c>
      <c r="E339" s="10" t="str">
        <f aca="false">INDEX('Site-uri'!$C$2:$C$20,MATCH(C339,'Site-uri'!$A$2:$A$20,0))</f>
        <v>/</v>
      </c>
      <c r="F339" s="10" t="str">
        <f aca="false">B339</f>
        <v>ecbtax.com</v>
      </c>
      <c r="G339" s="10" t="str">
        <f aca="false">Config!$B$5</f>
        <v>network</v>
      </c>
      <c r="H339" s="10" t="str">
        <f aca="false">Config!$B$3</f>
        <v>2610_ff_lansare</v>
      </c>
      <c r="I339" s="10" t="str">
        <f aca="false">Config!$B$4</f>
        <v>general</v>
      </c>
      <c r="J339" s="10" t="str">
        <f aca="false">"https://"&amp;D339&amp;E339&amp;"?utm_source="&amp;F339&amp;"&amp;utm_medium="&amp;G339&amp;"&amp;utm_campaign="&amp;H339&amp;"&amp;utm_content="&amp;I339</f>
        <v>https://1clic-ia.fr/?utm_source=ecbtax.com&amp;utm_medium=network&amp;utm_campaign=2610_ff_lansare&amp;utm_content=general</v>
      </c>
    </row>
    <row r="340" customFormat="false" ht="15" hidden="false" customHeight="false" outlineLevel="0" collapsed="false">
      <c r="A340" s="10" t="s">
        <v>96</v>
      </c>
      <c r="B340" s="10" t="str">
        <f aca="false">INDEX('Site-uri'!$B$2:$B$20,MATCH(A340,'Site-uri'!$A$2:$A$20,0))</f>
        <v>ecbtax.com</v>
      </c>
      <c r="C340" s="10" t="s">
        <v>86</v>
      </c>
      <c r="D340" s="10" t="str">
        <f aca="false">INDEX('Site-uri'!$B$2:$B$20,MATCH(C340,'Site-uri'!$A$2:$A$20,0))</f>
        <v>firmsfinder.eu</v>
      </c>
      <c r="E340" s="10" t="str">
        <f aca="false">INDEX('Site-uri'!$C$2:$C$20,MATCH(C340,'Site-uri'!$A$2:$A$20,0))</f>
        <v>/</v>
      </c>
      <c r="F340" s="10" t="str">
        <f aca="false">B340</f>
        <v>ecbtax.com</v>
      </c>
      <c r="G340" s="10" t="str">
        <f aca="false">Config!$B$5</f>
        <v>network</v>
      </c>
      <c r="H340" s="10" t="str">
        <f aca="false">Config!$B$3</f>
        <v>2610_ff_lansare</v>
      </c>
      <c r="I340" s="10" t="str">
        <f aca="false">Config!$B$4</f>
        <v>general</v>
      </c>
      <c r="J340" s="10" t="str">
        <f aca="false">"https://"&amp;D340&amp;E340&amp;"?utm_source="&amp;F340&amp;"&amp;utm_medium="&amp;G340&amp;"&amp;utm_campaign="&amp;H340&amp;"&amp;utm_content="&amp;I340</f>
        <v>https://firmsfinder.eu/?utm_source=ecbtax.com&amp;utm_medium=network&amp;utm_campaign=2610_ff_lansare&amp;utm_content=general</v>
      </c>
    </row>
    <row r="341" customFormat="false" ht="15" hidden="false" customHeight="false" outlineLevel="0" collapsed="false">
      <c r="A341" s="10" t="s">
        <v>96</v>
      </c>
      <c r="B341" s="10" t="str">
        <f aca="false">INDEX('Site-uri'!$B$2:$B$20,MATCH(A341,'Site-uri'!$A$2:$A$20,0))</f>
        <v>ecbtax.com</v>
      </c>
      <c r="C341" s="10" t="s">
        <v>89</v>
      </c>
      <c r="D341" s="10" t="str">
        <f aca="false">INDEX('Site-uri'!$B$2:$B$20,MATCH(C341,'Site-uri'!$A$2:$A$20,0))</f>
        <v>b2b-ai-library.org</v>
      </c>
      <c r="E341" s="10" t="str">
        <f aca="false">INDEX('Site-uri'!$C$2:$C$20,MATCH(C341,'Site-uri'!$A$2:$A$20,0))</f>
        <v>/</v>
      </c>
      <c r="F341" s="10" t="str">
        <f aca="false">B341</f>
        <v>ecbtax.com</v>
      </c>
      <c r="G341" s="10" t="str">
        <f aca="false">Config!$B$5</f>
        <v>network</v>
      </c>
      <c r="H341" s="10" t="str">
        <f aca="false">Config!$B$3</f>
        <v>2610_ff_lansare</v>
      </c>
      <c r="I341" s="10" t="str">
        <f aca="false">Config!$B$4</f>
        <v>general</v>
      </c>
      <c r="J341" s="10" t="str">
        <f aca="false">"https://"&amp;D341&amp;E341&amp;"?utm_source="&amp;F341&amp;"&amp;utm_medium="&amp;G341&amp;"&amp;utm_campaign="&amp;H341&amp;"&amp;utm_content="&amp;I341</f>
        <v>https://b2b-ai-library.org/?utm_source=ecbtax.com&amp;utm_medium=network&amp;utm_campaign=2610_ff_lansare&amp;utm_content=general</v>
      </c>
    </row>
    <row r="342" customFormat="false" ht="15" hidden="false" customHeight="false" outlineLevel="0" collapsed="false">
      <c r="A342" s="10" t="s">
        <v>96</v>
      </c>
      <c r="B342" s="10" t="str">
        <f aca="false">INDEX('Site-uri'!$B$2:$B$20,MATCH(A342,'Site-uri'!$A$2:$A$20,0))</f>
        <v>ecbtax.com</v>
      </c>
      <c r="C342" s="10" t="s">
        <v>91</v>
      </c>
      <c r="D342" s="10" t="str">
        <f aca="false">INDEX('Site-uri'!$B$2:$B$20,MATCH(C342,'Site-uri'!$A$2:$A$20,0))</f>
        <v>the3webs.com</v>
      </c>
      <c r="E342" s="10" t="str">
        <f aca="false">INDEX('Site-uri'!$C$2:$C$20,MATCH(C342,'Site-uri'!$A$2:$A$20,0))</f>
        <v>/</v>
      </c>
      <c r="F342" s="10" t="str">
        <f aca="false">B342</f>
        <v>ecbtax.com</v>
      </c>
      <c r="G342" s="10" t="str">
        <f aca="false">Config!$B$5</f>
        <v>network</v>
      </c>
      <c r="H342" s="10" t="str">
        <f aca="false">Config!$B$3</f>
        <v>2610_ff_lansare</v>
      </c>
      <c r="I342" s="10" t="str">
        <f aca="false">Config!$B$4</f>
        <v>general</v>
      </c>
      <c r="J342" s="10" t="str">
        <f aca="false">"https://"&amp;D342&amp;E342&amp;"?utm_source="&amp;F342&amp;"&amp;utm_medium="&amp;G342&amp;"&amp;utm_campaign="&amp;H342&amp;"&amp;utm_content="&amp;I342</f>
        <v>https://the3webs.com/?utm_source=ecbtax.com&amp;utm_medium=network&amp;utm_campaign=2610_ff_lansare&amp;utm_content=general</v>
      </c>
    </row>
    <row r="343" customFormat="false" ht="15" hidden="false" customHeight="false" outlineLevel="0" collapsed="false">
      <c r="A343" s="10" t="s">
        <v>96</v>
      </c>
      <c r="B343" s="10" t="str">
        <f aca="false">INDEX('Site-uri'!$B$2:$B$20,MATCH(A343,'Site-uri'!$A$2:$A$20,0))</f>
        <v>ecbtax.com</v>
      </c>
      <c r="C343" s="10" t="s">
        <v>94</v>
      </c>
      <c r="D343" s="10" t="str">
        <f aca="false">INDEX('Site-uri'!$B$2:$B$20,MATCH(C343,'Site-uri'!$A$2:$A$20,0))</f>
        <v>floride-e2.com</v>
      </c>
      <c r="E343" s="10" t="str">
        <f aca="false">INDEX('Site-uri'!$C$2:$C$20,MATCH(C343,'Site-uri'!$A$2:$A$20,0))</f>
        <v>/</v>
      </c>
      <c r="F343" s="10" t="str">
        <f aca="false">B343</f>
        <v>ecbtax.com</v>
      </c>
      <c r="G343" s="10" t="str">
        <f aca="false">Config!$B$5</f>
        <v>network</v>
      </c>
      <c r="H343" s="10" t="str">
        <f aca="false">Config!$B$3</f>
        <v>2610_ff_lansare</v>
      </c>
      <c r="I343" s="10" t="str">
        <f aca="false">Config!$B$4</f>
        <v>general</v>
      </c>
      <c r="J343" s="10" t="str">
        <f aca="false">"https://"&amp;D343&amp;E343&amp;"?utm_source="&amp;F343&amp;"&amp;utm_medium="&amp;G343&amp;"&amp;utm_campaign="&amp;H343&amp;"&amp;utm_content="&amp;I343</f>
        <v>https://floride-e2.com/?utm_source=ecbtax.com&amp;utm_medium=network&amp;utm_campaign=2610_ff_lansare&amp;utm_content=general</v>
      </c>
    </row>
  </sheetData>
  <autoFilter ref="A1:J3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4" t="s">
        <v>222</v>
      </c>
    </row>
    <row r="3" customFormat="false" ht="15" hidden="false" customHeight="false" outlineLevel="0" collapsed="false">
      <c r="A3" s="5" t="s">
        <v>223</v>
      </c>
      <c r="B3" s="6" t="s">
        <v>86</v>
      </c>
      <c r="C3" s="7" t="s">
        <v>224</v>
      </c>
    </row>
    <row r="4" customFormat="false" ht="15" hidden="false" customHeight="false" outlineLevel="0" collapsed="false">
      <c r="A4" s="5" t="s">
        <v>225</v>
      </c>
      <c r="B4" s="6" t="s">
        <v>103</v>
      </c>
    </row>
    <row r="5" customFormat="false" ht="15" hidden="false" customHeight="false" outlineLevel="0" collapsed="false">
      <c r="A5" s="5" t="s">
        <v>226</v>
      </c>
      <c r="B5" s="6" t="s">
        <v>227</v>
      </c>
    </row>
    <row r="6" customFormat="false" ht="15" hidden="false" customHeight="false" outlineLevel="0" collapsed="false">
      <c r="A6" s="5" t="s">
        <v>215</v>
      </c>
      <c r="B6" s="6" t="s">
        <v>22</v>
      </c>
    </row>
    <row r="7" customFormat="false" ht="15" hidden="false" customHeight="false" outlineLevel="0" collapsed="false">
      <c r="A7" s="5" t="s">
        <v>216</v>
      </c>
      <c r="B7" s="6" t="s">
        <v>228</v>
      </c>
    </row>
    <row r="8" customFormat="false" ht="15" hidden="false" customHeight="false" outlineLevel="0" collapsed="false">
      <c r="A8" s="5" t="s">
        <v>229</v>
      </c>
      <c r="B8" s="6"/>
    </row>
    <row r="10" customFormat="false" ht="60" hidden="false" customHeight="true" outlineLevel="0" collapsed="false">
      <c r="A10" s="5" t="s">
        <v>230</v>
      </c>
      <c r="B10" s="12" t="str">
        <f aca="false">"https://"&amp;INDEX('Site-uri'!$B$2:$B$20,MATCH(B3,'Site-uri'!$A$2:$A$20,0))&amp;IF(B5="",INDEX('Site-uri'!$C$2:$C$20,MATCH(B3,'Site-uri'!$A$2:$A$20,0)),B5)&amp;"?utm_source="&amp;INDEX(Canale!$C$2:$C$30,MATCH(B4,Canale!$A$2:$A$30,0))&amp;"&amp;utm_medium="&amp;INDEX(Canale!$D$2:$D$30,MATCH(B4,Canale!$A$2:$A$30,0))&amp;"&amp;utm_campaign="&amp;B6&amp;"&amp;utm_content="&amp;B7&amp;IF(B8="","","&amp;utm_term="&amp;B8)</f>
        <v>https://firmsfinder.eu/cautare/?utm_source=linkedin_personal&amp;utm_medium=social&amp;utm_campaign=2610_ff_lansare&amp;utm_content=hero_cauta</v>
      </c>
    </row>
  </sheetData>
  <dataValidations count="2">
    <dataValidation allowBlank="false" errorStyle="stop" operator="between" showDropDown="false" showErrorMessage="false" showInputMessage="false" sqref="B3" type="list">
      <formula1>'Site-uri'!$A$2:$A$20</formula1>
      <formula2>0</formula2>
    </dataValidation>
    <dataValidation allowBlank="false" errorStyle="stop" operator="between" showDropDown="false" showErrorMessage="false" showInputMessage="false" sqref="B4" type="list">
      <formula1>Canale!$A$2:$A$30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2026-10-15T03:56:30Z</dcterms:created>
  <dc:creator>openpyxl</dc:creator>
  <dc:description/>
  <dc:language>en-US</dc:language>
  <cp:lastModifiedBy/>
  <dcterms:modified xsi:type="dcterms:W3CDTF">2026-10-15T03:56:30Z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