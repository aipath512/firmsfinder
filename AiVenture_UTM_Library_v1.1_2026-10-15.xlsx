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EȘTE-MĂ" sheetId="1" state="visible" r:id="rId3"/>
    <sheet name="Config" sheetId="2" state="visible" r:id="rId4"/>
    <sheet name="Site-uri" sheetId="3" state="visible" r:id="rId5"/>
    <sheet name="Canale" sheetId="4" state="visible" r:id="rId6"/>
    <sheet name="Etape" sheetId="5" state="visible" r:id="rId7"/>
    <sheet name="Bibliotecă" sheetId="6" state="visible" r:id="rId8"/>
    <sheet name="Între site-uri" sheetId="7" state="visible" r:id="rId9"/>
    <sheet name="Constructor" sheetId="8" state="visible" r:id="rId10"/>
  </sheets>
  <definedNames>
    <definedName function="false" hidden="true" localSheetId="5" name="_xlnm._FilterDatabase" vbProcedure="false">Bibliotecă!$A$1:$J$2205</definedName>
    <definedName function="false" hidden="true" localSheetId="6" name="_xlnm._FilterDatabase" vbProcedure="false">'Între site-uri'!$A$1:$J$343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<sst xmlns="http://schemas.openxmlformats.org/spreadsheetml/2006/main" count="7635" uniqueCount="264">
  <si>
    <t xml:space="preserve">BIBLIOTECA UTM – REȚEAUA AIVENTURE</t>
  </si>
  <si>
    <t xml:space="preserve">Versiune v1.1 · 15.10.2026 · 19 site-uri × 29 canale × 4 etape din funnel = 2204 linkuri + 342 linkuri între site-uri</t>
  </si>
  <si>
    <t xml:space="preserve">CUM O FOLOSIȚI</t>
  </si>
  <si>
    <t xml:space="preserve">1. Foaia „Config”: completați celulele galbene (campania și conținutul curent). Toate linkurile din „Bibliotecă” se actualizează singure.</t>
  </si>
  <si>
    <t xml:space="preserve">2. Foaia „Bibliotecă”: filtrați după site (A), canal (C) și etapă (D), copiați linkul din coloana J.</t>
  </si>
  <si>
    <t xml:space="preserve">3. Foaia „Constructor”: alegeți site, canal și etapă din liste, completați campania/varianta, primiți un link unic.</t>
  </si>
  <si>
    <t xml:space="preserve">4. Foaia „Între site-uri”: linkuri pentru legăturile dintre site-urile rețelei (sursa = site-ul de unde pleacă linkul).</t>
  </si>
  <si>
    <t xml:space="preserve">5. Foile „Site-uri” și „Canale”: adăugați/modificați site-uri sau canale; formulele le preiau după cod.</t>
  </si>
  <si>
    <t xml:space="preserve">REGULI (nu le încălcați, altfel rapoartele se fragmentează)</t>
  </si>
  <si>
    <t xml:space="preserve">• Totul cu litere mici, fără spații și fără diacritice; separator „_”.</t>
  </si>
  <si>
    <t xml:space="preserve">• utm_source = de unde vine omul · utm_medium = tipul canalului · utm_campaign = ce acțiune rulați.</t>
  </si>
  <si>
    <t xml:space="preserve">• Denumire campanie: AALL_site_obiectiv, ex. 2610_ff_lansare (an+lună, cod site, obiectiv).</t>
  </si>
  <si>
    <t xml:space="preserve">• utm_content = etapa din funnel + varianta mesajului, ex. rece_general, cald_audit, fierbinte_oferta, client_bunvenit. Etapele sunt în foaia „Etape”.</t>
  </si>
  <si>
    <t xml:space="preserve">• Alegeți etapa după ce vrea omul în acel moment: rece (caută un răspuns), cald (compară), fierbinte (vrea să cumpere), client (predare către livrare). utm_term = doar la reclame plătite.</t>
  </si>
  <si>
    <t xml:space="preserve">• Nu folosiți UTM pe linkuri interne în ACELAȘI site (rupe sesiunea și sursa reală). Între site-uri diferite ale rețelei, folosiți foaia „Între site-uri”.</t>
  </si>
  <si>
    <t xml:space="preserve">• Pagina trebuie să aibă canonical fără parametri (ex. https://firmsfinder.eu/ , nu cu ?utm_...), iar sitemap.xml să nu conțină linkuri cu UTM.</t>
  </si>
  <si>
    <t xml:space="preserve">LIMITE – CE NU AM VERIFICAT</t>
  </si>
  <si>
    <t xml:space="preserve">• Linkurile sunt construite după convenție; nu le-am deschis unul câte unul pe fiecare site.</t>
  </si>
  <si>
    <t xml:space="preserve">• Un link UTM măsoară doar dacă site-ul are un instrument de analiză care citește parametrii. Nu am verificat dacă contorul aiventure-gdpr (stats.js) păstrează parametrii UTM – numără vizite, dar nu știu dacă îi salvează.</t>
  </si>
  <si>
    <t xml:space="preserve">• Rolurile marcate „de completat” în foaia Site-uri nu erau cunoscute; completați-le dumneavoastră.</t>
  </si>
  <si>
    <t xml:space="preserve">• Canalele „Agenți AI” sunt experimentale: nu toți agenții păstrează parametrii.</t>
  </si>
  <si>
    <t xml:space="preserve">CONFIG – editați doar celulele galbene</t>
  </si>
  <si>
    <t xml:space="preserve">Campanie curentă (utm_campaign)</t>
  </si>
  <si>
    <t xml:space="preserve">2610_ff_lansare</t>
  </si>
  <si>
    <t xml:space="preserve">Exemplu de format – înlocuiți cu campania dumneavoastră</t>
  </si>
  <si>
    <t xml:space="preserve">Conținut implicit (utm_content)</t>
  </si>
  <si>
    <t xml:space="preserve">general</t>
  </si>
  <si>
    <t xml:space="preserve">Exemplu: hero_cauta, footer, oferta_v2</t>
  </si>
  <si>
    <t xml:space="preserve">Medium pentru legături între site-uri</t>
  </si>
  <si>
    <t xml:space="preserve">network</t>
  </si>
  <si>
    <t xml:space="preserve">Campanii exemplu (ilustrative, modificabile)</t>
  </si>
  <si>
    <t xml:space="preserve">Cod campanie</t>
  </si>
  <si>
    <t xml:space="preserve">Obiectiv</t>
  </si>
  <si>
    <t xml:space="preserve">Lansare FirmsFinder AI</t>
  </si>
  <si>
    <t xml:space="preserve">2610_ecb_parteneriat</t>
  </si>
  <si>
    <t xml:space="preserve">Promovare parteneriat ECBTAX</t>
  </si>
  <si>
    <t xml:space="preserve">2610_3wo_audit</t>
  </si>
  <si>
    <t xml:space="preserve">Audit 3WEBOBS gratuit</t>
  </si>
  <si>
    <t xml:space="preserve">2610_actro_awareness</t>
  </si>
  <si>
    <t xml:space="preserve">EU AI Act – notorietate</t>
  </si>
  <si>
    <t xml:space="preserve">2610_net_crosslink</t>
  </si>
  <si>
    <t xml:space="preserve">Legături între site-urile rețelei</t>
  </si>
  <si>
    <t xml:space="preserve">Cod</t>
  </si>
  <si>
    <t xml:space="preserve">Domeniu</t>
  </si>
  <si>
    <t xml:space="preserve">Cale implicită (landing)</t>
  </si>
  <si>
    <t xml:space="preserve">Rol / descriere</t>
  </si>
  <si>
    <t xml:space="preserve">5el</t>
  </si>
  <si>
    <t xml:space="preserve">5thelement.ai</t>
  </si>
  <si>
    <t xml:space="preserve">/</t>
  </si>
  <si>
    <t xml:space="preserve">Brand principal (flagship) al rețelei</t>
  </si>
  <si>
    <t xml:space="preserve">avro</t>
  </si>
  <si>
    <t xml:space="preserve">aiventure.ro</t>
  </si>
  <si>
    <t xml:space="preserve">Varianta în limba română a rețelei 5thelement.ai</t>
  </si>
  <si>
    <t xml:space="preserve">avuk</t>
  </si>
  <si>
    <t xml:space="preserve">aiventure.uk</t>
  </si>
  <si>
    <t xml:space="preserve">de completat</t>
  </si>
  <si>
    <t xml:space="preserve">3wo</t>
  </si>
  <si>
    <t xml:space="preserve">3webobs.com</t>
  </si>
  <si>
    <t xml:space="preserve">3WEBOBS – observator/audit (Human Web, AI Web, A2A Web)</t>
  </si>
  <si>
    <t xml:space="preserve">lens</t>
  </si>
  <si>
    <t xml:space="preserve">ai-lens.eu</t>
  </si>
  <si>
    <t xml:space="preserve">AI-LENS – dicționarul de business al firmei</t>
  </si>
  <si>
    <t xml:space="preserve">inj</t>
  </si>
  <si>
    <t xml:space="preserve">aireadyinjector.com</t>
  </si>
  <si>
    <t xml:space="preserve">AI-READY EDGE INJECTOR – execuție la edge</t>
  </si>
  <si>
    <t xml:space="preserve">audit</t>
  </si>
  <si>
    <t xml:space="preserve">eu-ai-audit.eu</t>
  </si>
  <si>
    <t xml:space="preserve">AUDIT-AI – audit public de vizibilitate AI</t>
  </si>
  <si>
    <t xml:space="preserve">ready</t>
  </si>
  <si>
    <t xml:space="preserve">eu-ai-ready.eu</t>
  </si>
  <si>
    <t xml:space="preserve">actro</t>
  </si>
  <si>
    <t xml:space="preserve">eu-ai-act.ro</t>
  </si>
  <si>
    <t xml:space="preserve">EU AI Act Ready – pâlnie România</t>
  </si>
  <si>
    <t xml:space="preserve">actrdy</t>
  </si>
  <si>
    <t xml:space="preserve">eu-ai-act-ready.eu</t>
  </si>
  <si>
    <t xml:space="preserve">EU AI Act Ready – achiziție multilingvă, RRVI</t>
  </si>
  <si>
    <t xml:space="preserve">e112ro</t>
  </si>
  <si>
    <t xml:space="preserve">eu-112.ro</t>
  </si>
  <si>
    <t xml:space="preserve">112 pentru AI la muncă (RO)</t>
  </si>
  <si>
    <t xml:space="preserve">e112eu</t>
  </si>
  <si>
    <t xml:space="preserve">eu-112.eu</t>
  </si>
  <si>
    <t xml:space="preserve">Verificator public de instalații pe site</t>
  </si>
  <si>
    <t xml:space="preserve">1iaeu</t>
  </si>
  <si>
    <t xml:space="preserve">1clic-ia.eu</t>
  </si>
  <si>
    <t xml:space="preserve">Adresa principală FirmsFinder AI</t>
  </si>
  <si>
    <t xml:space="preserve">1iafr</t>
  </si>
  <si>
    <t xml:space="preserve">1clic-ia.fr</t>
  </si>
  <si>
    <t xml:space="preserve">ff</t>
  </si>
  <si>
    <t xml:space="preserve">firmsfinder.eu</t>
  </si>
  <si>
    <t xml:space="preserve">FirmsFinder AI – CAUTĂ / FII GĂSIT</t>
  </si>
  <si>
    <t xml:space="preserve">b2b</t>
  </si>
  <si>
    <t xml:space="preserve">b2b-ai-library.org</t>
  </si>
  <si>
    <t xml:space="preserve">3webs</t>
  </si>
  <si>
    <t xml:space="preserve">the3webs.com</t>
  </si>
  <si>
    <t xml:space="preserve">de completat (seria The Three Webs)</t>
  </si>
  <si>
    <t xml:space="preserve">flor</t>
  </si>
  <si>
    <t xml:space="preserve">floride-e2.com</t>
  </si>
  <si>
    <t xml:space="preserve">ecb</t>
  </si>
  <si>
    <t xml:space="preserve">ecbtax.com</t>
  </si>
  <si>
    <t xml:space="preserve">Partener strategic – ECBTAX (contabilitate)</t>
  </si>
  <si>
    <t xml:space="preserve">Grup</t>
  </si>
  <si>
    <t xml:space="preserve">utm_source</t>
  </si>
  <si>
    <t xml:space="preserve">utm_medium</t>
  </si>
  <si>
    <t xml:space="preserve">Utilizare B2B</t>
  </si>
  <si>
    <t xml:space="preserve">li_pers</t>
  </si>
  <si>
    <t xml:space="preserve">LinkedIn</t>
  </si>
  <si>
    <t xml:space="preserve">linkedin_personal</t>
  </si>
  <si>
    <t xml:space="preserve">social</t>
  </si>
  <si>
    <t xml:space="preserve">Postări de pe profilul personal</t>
  </si>
  <si>
    <t xml:space="preserve">li_co</t>
  </si>
  <si>
    <t xml:space="preserve">linkedin_company</t>
  </si>
  <si>
    <t xml:space="preserve">Postări pagina AiVenture</t>
  </si>
  <si>
    <t xml:space="preserve">li_show</t>
  </si>
  <si>
    <t xml:space="preserve">linkedin_showcase</t>
  </si>
  <si>
    <t xml:space="preserve">Pagina showcase 5thElement AI</t>
  </si>
  <si>
    <t xml:space="preserve">li_news</t>
  </si>
  <si>
    <t xml:space="preserve">linkedin_newsletter</t>
  </si>
  <si>
    <t xml:space="preserve">Articole / newsletter LinkedIn</t>
  </si>
  <si>
    <t xml:space="preserve">li_ads</t>
  </si>
  <si>
    <t xml:space="preserve">linkedin_ads</t>
  </si>
  <si>
    <t xml:space="preserve">paid_social</t>
  </si>
  <si>
    <t xml:space="preserve">Reclame LinkedIn (Campaign Manager)</t>
  </si>
  <si>
    <t xml:space="preserve">li_dm</t>
  </si>
  <si>
    <t xml:space="preserve">linkedin_dm</t>
  </si>
  <si>
    <t xml:space="preserve">dm</t>
  </si>
  <si>
    <t xml:space="preserve">Mesaje directe / InMail / Sales Navigator</t>
  </si>
  <si>
    <t xml:space="preserve">em_out</t>
  </si>
  <si>
    <t xml:space="preserve">Email</t>
  </si>
  <si>
    <t xml:space="preserve">email_outreach</t>
  </si>
  <si>
    <t xml:space="preserve">email</t>
  </si>
  <si>
    <t xml:space="preserve">Email la rece către ținte B2B</t>
  </si>
  <si>
    <t xml:space="preserve">em_news</t>
  </si>
  <si>
    <t xml:space="preserve">newsletter</t>
  </si>
  <si>
    <t xml:space="preserve">Newsletter către abonați</t>
  </si>
  <si>
    <t xml:space="preserve">em_sig</t>
  </si>
  <si>
    <t xml:space="preserve">email_signature</t>
  </si>
  <si>
    <t xml:space="preserve">Semnătura de email</t>
  </si>
  <si>
    <t xml:space="preserve">wa</t>
  </si>
  <si>
    <t xml:space="preserve">Mesagerie</t>
  </si>
  <si>
    <t xml:space="preserve">whatsapp</t>
  </si>
  <si>
    <t xml:space="preserve">WhatsApp +40 737 123 540</t>
  </si>
  <si>
    <t xml:space="preserve">g_ads</t>
  </si>
  <si>
    <t xml:space="preserve">Plătit</t>
  </si>
  <si>
    <t xml:space="preserve">google</t>
  </si>
  <si>
    <t xml:space="preserve">cpc</t>
  </si>
  <si>
    <t xml:space="preserve">Google Ads – căutare</t>
  </si>
  <si>
    <t xml:space="preserve">b_ads</t>
  </si>
  <si>
    <t xml:space="preserve">bing</t>
  </si>
  <si>
    <t xml:space="preserve">Microsoft Ads – căutare</t>
  </si>
  <si>
    <t xml:space="preserve">fb</t>
  </si>
  <si>
    <t xml:space="preserve">Social</t>
  </si>
  <si>
    <t xml:space="preserve">facebook</t>
  </si>
  <si>
    <t xml:space="preserve">Pagina Facebook Aiventure</t>
  </si>
  <si>
    <t xml:space="preserve">x</t>
  </si>
  <si>
    <t xml:space="preserve">Cont X @aipath512</t>
  </si>
  <si>
    <t xml:space="preserve">yt</t>
  </si>
  <si>
    <t xml:space="preserve">Video</t>
  </si>
  <si>
    <t xml:space="preserve">youtube</t>
  </si>
  <si>
    <t xml:space="preserve">video</t>
  </si>
  <si>
    <t xml:space="preserve">Descrieri video canal YouTube</t>
  </si>
  <si>
    <t xml:space="preserve">med</t>
  </si>
  <si>
    <t xml:space="preserve">Conținut</t>
  </si>
  <si>
    <t xml:space="preserve">medium</t>
  </si>
  <si>
    <t xml:space="preserve">content</t>
  </si>
  <si>
    <t xml:space="preserve">Articole Medium @aipath512</t>
  </si>
  <si>
    <t xml:space="preserve">cb</t>
  </si>
  <si>
    <t xml:space="preserve">Profiluri</t>
  </si>
  <si>
    <t xml:space="preserve">crunchbase</t>
  </si>
  <si>
    <t xml:space="preserve">referral</t>
  </si>
  <si>
    <t xml:space="preserve">Profil Crunchbase</t>
  </si>
  <si>
    <t xml:space="preserve">zen</t>
  </si>
  <si>
    <t xml:space="preserve">zenodo</t>
  </si>
  <si>
    <t xml:space="preserve">Publicații Zenodo (DOI)</t>
  </si>
  <si>
    <t xml:space="preserve">orc</t>
  </si>
  <si>
    <t xml:space="preserve">orcid</t>
  </si>
  <si>
    <t xml:space="preserve">Profil ORCID</t>
  </si>
  <si>
    <t xml:space="preserve">gh</t>
  </si>
  <si>
    <t xml:space="preserve">github</t>
  </si>
  <si>
    <t xml:space="preserve">README-uri / repo-uri GitHub</t>
  </si>
  <si>
    <t xml:space="preserve">kdp</t>
  </si>
  <si>
    <t xml:space="preserve">Cărți</t>
  </si>
  <si>
    <t xml:space="preserve">kdp_book</t>
  </si>
  <si>
    <t xml:space="preserve">book</t>
  </si>
  <si>
    <t xml:space="preserve">Linkuri din cărțile KDP (cuprins, ultima pagină)</t>
  </si>
  <si>
    <t xml:space="preserve">udemy</t>
  </si>
  <si>
    <t xml:space="preserve">course</t>
  </si>
  <si>
    <t xml:space="preserve">Curs Udemy (descriere, resurse)</t>
  </si>
  <si>
    <t xml:space="preserve">dir</t>
  </si>
  <si>
    <t xml:space="preserve">Referral</t>
  </si>
  <si>
    <t xml:space="preserve">directory</t>
  </si>
  <si>
    <t xml:space="preserve">Directoare / cataloage B2B</t>
  </si>
  <si>
    <t xml:space="preserve">partner</t>
  </si>
  <si>
    <t xml:space="preserve">Linkuri de la parteneri (ex. ECBTAX)</t>
  </si>
  <si>
    <t xml:space="preserve">pdf</t>
  </si>
  <si>
    <t xml:space="preserve">Document</t>
  </si>
  <si>
    <t xml:space="preserve">pdf_proposal</t>
  </si>
  <si>
    <t xml:space="preserve">document</t>
  </si>
  <si>
    <t xml:space="preserve">Oferte PDF, prezentări, deck-uri</t>
  </si>
  <si>
    <t xml:space="preserve">qr</t>
  </si>
  <si>
    <t xml:space="preserve">Offline</t>
  </si>
  <si>
    <t xml:space="preserve">qr_print</t>
  </si>
  <si>
    <t xml:space="preserve">Coduri QR pe tipărituri</t>
  </si>
  <si>
    <t xml:space="preserve">event</t>
  </si>
  <si>
    <t xml:space="preserve">Webinar / conferință / întâlnire</t>
  </si>
  <si>
    <t xml:space="preserve">a2a</t>
  </si>
  <si>
    <t xml:space="preserve">Agenți AI</t>
  </si>
  <si>
    <t xml:space="preserve">a2a_agent_card</t>
  </si>
  <si>
    <t xml:space="preserve">agent</t>
  </si>
  <si>
    <t xml:space="preserve">Agent Card / endpoint A2A (experimental)</t>
  </si>
  <si>
    <t xml:space="preserve">llms</t>
  </si>
  <si>
    <t xml:space="preserve">llms_txt</t>
  </si>
  <si>
    <t xml:space="preserve">ai_web</t>
  </si>
  <si>
    <t xml:space="preserve">llms.txt / pagini pentru crawlere AI (experimental)</t>
  </si>
  <si>
    <t xml:space="preserve">Cod (utm_content)</t>
  </si>
  <si>
    <t xml:space="preserve">Etapă</t>
  </si>
  <si>
    <t xml:space="preserve">Ce vrea omul</t>
  </si>
  <si>
    <t xml:space="preserve">Mesaj potrivit</t>
  </si>
  <si>
    <t xml:space="preserve">Pagină de aterizare potrivită</t>
  </si>
  <si>
    <t xml:space="preserve">Ce se măsoară</t>
  </si>
  <si>
    <t xml:space="preserve">rece</t>
  </si>
  <si>
    <t xml:space="preserve">1 · Rece</t>
  </si>
  <si>
    <t xml:space="preserve">Nu vă cunoaște. Caută o problemă sau un răspuns.</t>
  </si>
  <si>
    <t xml:space="preserve">Articol, postare utilă, pagină cu răspunsuri (GEO/AEO), ghid</t>
  </si>
  <si>
    <t xml:space="preserve">Pagină informativă / ghid</t>
  </si>
  <si>
    <t xml:space="preserve">Sosire pe pagina informativă</t>
  </si>
  <si>
    <t xml:space="preserve">cald</t>
  </si>
  <si>
    <t xml:space="preserve">2 · Cald</t>
  </si>
  <si>
    <t xml:space="preserve">Vă cunoaște. Compară și verifică.</t>
  </si>
  <si>
    <t xml:space="preserve">Studiu de caz, demonstrație, audit sau căutare gratuită</t>
  </si>
  <si>
    <t xml:space="preserve">Pagină de serviciu / audit / căutare</t>
  </si>
  <si>
    <t xml:space="preserve">Rulează un audit, o căutare, descarcă un material</t>
  </si>
  <si>
    <t xml:space="preserve">fierbinte</t>
  </si>
  <si>
    <t xml:space="preserve">3 · Fierbinte</t>
  </si>
  <si>
    <t xml:space="preserve">Vrea să cumpere. Are nevoie de ultimul pas.</t>
  </si>
  <si>
    <t xml:space="preserve">Ofertă, preț, invitație la discuție</t>
  </si>
  <si>
    <t xml:space="preserve">Formular de ofertă / contact / WhatsApp</t>
  </si>
  <si>
    <t xml:space="preserve">Cere ofertă, sună, completează formularul</t>
  </si>
  <si>
    <t xml:space="preserve">client</t>
  </si>
  <si>
    <t xml:space="preserve">4 · Client (predare)</t>
  </si>
  <si>
    <t xml:space="preserve">A cumpărat. Se predă către livrare.</t>
  </si>
  <si>
    <t xml:space="preserve">Email de bun venit, instrucțiuni, programare livrare, recomandări</t>
  </si>
  <si>
    <t xml:space="preserve">Pagină client / suport / programare</t>
  </si>
  <si>
    <t xml:space="preserve">Confirmă predarea către livrarea fizică</t>
  </si>
  <si>
    <t xml:space="preserve">Site</t>
  </si>
  <si>
    <t xml:space="preserve">Canal</t>
  </si>
  <si>
    <t xml:space="preserve">Cale</t>
  </si>
  <si>
    <t xml:space="preserve">utm_campaign</t>
  </si>
  <si>
    <t xml:space="preserve">utm_content</t>
  </si>
  <si>
    <t xml:space="preserve">LINK UTM</t>
  </si>
  <si>
    <t xml:space="preserve">Site sursă</t>
  </si>
  <si>
    <t xml:space="preserve">Domeniu sursă</t>
  </si>
  <si>
    <t xml:space="preserve">Site destinație</t>
  </si>
  <si>
    <t xml:space="preserve">Domeniu destinație</t>
  </si>
  <si>
    <t xml:space="preserve">CONSTRUCTOR – alegeți din liste (celule galbene)</t>
  </si>
  <si>
    <t xml:space="preserve">Site (cod)</t>
  </si>
  <si>
    <t xml:space="preserve">Exemplu pre-completat – schimbați-l</t>
  </si>
  <si>
    <t xml:space="preserve">Canal (cod)</t>
  </si>
  <si>
    <t xml:space="preserve">Etapă (cod)</t>
  </si>
  <si>
    <t xml:space="preserve">Cale (opțional, ex. /cautare/)</t>
  </si>
  <si>
    <t xml:space="preserve">/cautare/</t>
  </si>
  <si>
    <t xml:space="preserve">Variantă mesaj (după etapă)</t>
  </si>
  <si>
    <t xml:space="preserve">hero_cauta</t>
  </si>
  <si>
    <t xml:space="preserve">utm_term (doar plătit)</t>
  </si>
  <si>
    <t xml:space="preserve">LINK GATA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</si>
</sst>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A8"/>
        <bgColor rgb="FFFFFFCC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23.8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2" t="s">
        <v>17</v>
      </c>
    </row>
    <row r="22" customFormat="false" ht="23.8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4" t="s">
        <v>21</v>
      </c>
    </row>
    <row r="3" customFormat="false" ht="15" hidden="false" customHeight="false" outlineLevel="0" collapsed="false">
      <c r="A3" s="5" t="s">
        <v>22</v>
      </c>
      <c r="B3" s="6" t="s">
        <v>23</v>
      </c>
      <c r="C3" s="7" t="s">
        <v>24</v>
      </c>
    </row>
    <row r="4" customFormat="false" ht="15" hidden="false" customHeight="false" outlineLevel="0" collapsed="false">
      <c r="A4" s="5" t="s">
        <v>25</v>
      </c>
      <c r="B4" s="6" t="s">
        <v>26</v>
      </c>
      <c r="C4" s="7" t="s">
        <v>27</v>
      </c>
    </row>
    <row r="5" customFormat="false" ht="15" hidden="false" customHeight="false" outlineLevel="0" collapsed="false">
      <c r="A5" s="5" t="s">
        <v>28</v>
      </c>
      <c r="B5" s="6" t="s">
        <v>29</v>
      </c>
    </row>
    <row r="8" customFormat="false" ht="15" hidden="false" customHeight="false" outlineLevel="0" collapsed="false">
      <c r="A8" s="5" t="s">
        <v>30</v>
      </c>
    </row>
    <row r="9" customFormat="false" ht="15" hidden="false" customHeight="false" outlineLevel="0" collapsed="false">
      <c r="A9" s="8" t="s">
        <v>31</v>
      </c>
      <c r="B9" s="8" t="s">
        <v>32</v>
      </c>
    </row>
    <row r="10" customFormat="false" ht="15" hidden="false" customHeight="false" outlineLevel="0" collapsed="false">
      <c r="A10" s="9" t="s">
        <v>23</v>
      </c>
      <c r="B10" s="10" t="s">
        <v>33</v>
      </c>
    </row>
    <row r="11" customFormat="false" ht="15" hidden="false" customHeight="false" outlineLevel="0" collapsed="false">
      <c r="A11" s="9" t="s">
        <v>34</v>
      </c>
      <c r="B11" s="10" t="s">
        <v>35</v>
      </c>
    </row>
    <row r="12" customFormat="false" ht="15" hidden="false" customHeight="false" outlineLevel="0" collapsed="false">
      <c r="A12" s="9" t="s">
        <v>36</v>
      </c>
      <c r="B12" s="10" t="s">
        <v>37</v>
      </c>
    </row>
    <row r="13" customFormat="false" ht="15" hidden="false" customHeight="false" outlineLevel="0" collapsed="false">
      <c r="A13" s="9" t="s">
        <v>38</v>
      </c>
      <c r="B13" s="10" t="s">
        <v>39</v>
      </c>
    </row>
    <row r="14" customFormat="false" ht="15" hidden="false" customHeight="false" outlineLevel="0" collapsed="false">
      <c r="A14" s="9" t="s">
        <v>40</v>
      </c>
      <c r="B14" s="1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4"/>
    <col collapsed="false" customWidth="true" hidden="false" outlineLevel="0" max="4" min="4" style="0" width="64"/>
  </cols>
  <sheetData>
    <row r="1" customFormat="false" ht="15" hidden="false" customHeight="false" outlineLevel="0" collapsed="false">
      <c r="A1" s="8" t="s">
        <v>42</v>
      </c>
      <c r="B1" s="8" t="s">
        <v>43</v>
      </c>
      <c r="C1" s="8" t="s">
        <v>44</v>
      </c>
      <c r="D1" s="8" t="s">
        <v>45</v>
      </c>
    </row>
    <row r="2" customFormat="false" ht="15" hidden="false" customHeight="false" outlineLevel="0" collapsed="false">
      <c r="A2" s="10" t="s">
        <v>46</v>
      </c>
      <c r="B2" s="10" t="s">
        <v>47</v>
      </c>
      <c r="C2" s="11" t="s">
        <v>48</v>
      </c>
      <c r="D2" s="10" t="s">
        <v>49</v>
      </c>
    </row>
    <row r="3" customFormat="false" ht="15" hidden="false" customHeight="false" outlineLevel="0" collapsed="false">
      <c r="A3" s="10" t="s">
        <v>50</v>
      </c>
      <c r="B3" s="10" t="s">
        <v>51</v>
      </c>
      <c r="C3" s="11" t="s">
        <v>48</v>
      </c>
      <c r="D3" s="10" t="s">
        <v>52</v>
      </c>
    </row>
    <row r="4" customFormat="false" ht="15" hidden="false" customHeight="false" outlineLevel="0" collapsed="false">
      <c r="A4" s="10" t="s">
        <v>53</v>
      </c>
      <c r="B4" s="10" t="s">
        <v>54</v>
      </c>
      <c r="C4" s="11" t="s">
        <v>48</v>
      </c>
      <c r="D4" s="10" t="s">
        <v>55</v>
      </c>
    </row>
    <row r="5" customFormat="false" ht="15" hidden="false" customHeight="false" outlineLevel="0" collapsed="false">
      <c r="A5" s="10" t="s">
        <v>56</v>
      </c>
      <c r="B5" s="10" t="s">
        <v>57</v>
      </c>
      <c r="C5" s="11" t="s">
        <v>48</v>
      </c>
      <c r="D5" s="10" t="s">
        <v>58</v>
      </c>
    </row>
    <row r="6" customFormat="false" ht="15" hidden="false" customHeight="false" outlineLevel="0" collapsed="false">
      <c r="A6" s="10" t="s">
        <v>59</v>
      </c>
      <c r="B6" s="10" t="s">
        <v>60</v>
      </c>
      <c r="C6" s="11" t="s">
        <v>48</v>
      </c>
      <c r="D6" s="10" t="s">
        <v>61</v>
      </c>
    </row>
    <row r="7" customFormat="false" ht="15" hidden="false" customHeight="false" outlineLevel="0" collapsed="false">
      <c r="A7" s="10" t="s">
        <v>62</v>
      </c>
      <c r="B7" s="10" t="s">
        <v>63</v>
      </c>
      <c r="C7" s="11" t="s">
        <v>48</v>
      </c>
      <c r="D7" s="10" t="s">
        <v>64</v>
      </c>
    </row>
    <row r="8" customFormat="false" ht="15" hidden="false" customHeight="false" outlineLevel="0" collapsed="false">
      <c r="A8" s="10" t="s">
        <v>65</v>
      </c>
      <c r="B8" s="10" t="s">
        <v>66</v>
      </c>
      <c r="C8" s="11" t="s">
        <v>48</v>
      </c>
      <c r="D8" s="10" t="s">
        <v>67</v>
      </c>
    </row>
    <row r="9" customFormat="false" ht="15" hidden="false" customHeight="false" outlineLevel="0" collapsed="false">
      <c r="A9" s="10" t="s">
        <v>68</v>
      </c>
      <c r="B9" s="10" t="s">
        <v>69</v>
      </c>
      <c r="C9" s="11" t="s">
        <v>48</v>
      </c>
      <c r="D9" s="10" t="s">
        <v>55</v>
      </c>
    </row>
    <row r="10" customFormat="false" ht="15" hidden="false" customHeight="false" outlineLevel="0" collapsed="false">
      <c r="A10" s="10" t="s">
        <v>70</v>
      </c>
      <c r="B10" s="10" t="s">
        <v>71</v>
      </c>
      <c r="C10" s="11" t="s">
        <v>48</v>
      </c>
      <c r="D10" s="10" t="s">
        <v>72</v>
      </c>
    </row>
    <row r="11" customFormat="false" ht="15" hidden="false" customHeight="false" outlineLevel="0" collapsed="false">
      <c r="A11" s="10" t="s">
        <v>73</v>
      </c>
      <c r="B11" s="10" t="s">
        <v>74</v>
      </c>
      <c r="C11" s="11" t="s">
        <v>48</v>
      </c>
      <c r="D11" s="10" t="s">
        <v>75</v>
      </c>
    </row>
    <row r="12" customFormat="false" ht="15" hidden="false" customHeight="false" outlineLevel="0" collapsed="false">
      <c r="A12" s="10" t="s">
        <v>76</v>
      </c>
      <c r="B12" s="10" t="s">
        <v>77</v>
      </c>
      <c r="C12" s="11" t="s">
        <v>48</v>
      </c>
      <c r="D12" s="10" t="s">
        <v>78</v>
      </c>
    </row>
    <row r="13" customFormat="false" ht="15" hidden="false" customHeight="false" outlineLevel="0" collapsed="false">
      <c r="A13" s="10" t="s">
        <v>79</v>
      </c>
      <c r="B13" s="10" t="s">
        <v>80</v>
      </c>
      <c r="C13" s="11" t="s">
        <v>48</v>
      </c>
      <c r="D13" s="10" t="s">
        <v>81</v>
      </c>
    </row>
    <row r="14" customFormat="false" ht="15" hidden="false" customHeight="false" outlineLevel="0" collapsed="false">
      <c r="A14" s="10" t="s">
        <v>82</v>
      </c>
      <c r="B14" s="10" t="s">
        <v>83</v>
      </c>
      <c r="C14" s="11" t="s">
        <v>48</v>
      </c>
      <c r="D14" s="10" t="s">
        <v>84</v>
      </c>
    </row>
    <row r="15" customFormat="false" ht="15" hidden="false" customHeight="false" outlineLevel="0" collapsed="false">
      <c r="A15" s="10" t="s">
        <v>85</v>
      </c>
      <c r="B15" s="10" t="s">
        <v>86</v>
      </c>
      <c r="C15" s="11" t="s">
        <v>48</v>
      </c>
      <c r="D15" s="10" t="s">
        <v>55</v>
      </c>
    </row>
    <row r="16" customFormat="false" ht="15" hidden="false" customHeight="false" outlineLevel="0" collapsed="false">
      <c r="A16" s="10" t="s">
        <v>87</v>
      </c>
      <c r="B16" s="10" t="s">
        <v>88</v>
      </c>
      <c r="C16" s="11" t="s">
        <v>48</v>
      </c>
      <c r="D16" s="10" t="s">
        <v>89</v>
      </c>
    </row>
    <row r="17" customFormat="false" ht="15" hidden="false" customHeight="false" outlineLevel="0" collapsed="false">
      <c r="A17" s="10" t="s">
        <v>90</v>
      </c>
      <c r="B17" s="10" t="s">
        <v>91</v>
      </c>
      <c r="C17" s="11" t="s">
        <v>48</v>
      </c>
      <c r="D17" s="10" t="s">
        <v>55</v>
      </c>
    </row>
    <row r="18" customFormat="false" ht="15" hidden="false" customHeight="false" outlineLevel="0" collapsed="false">
      <c r="A18" s="10" t="s">
        <v>92</v>
      </c>
      <c r="B18" s="10" t="s">
        <v>93</v>
      </c>
      <c r="C18" s="11" t="s">
        <v>48</v>
      </c>
      <c r="D18" s="10" t="s">
        <v>94</v>
      </c>
    </row>
    <row r="19" customFormat="false" ht="15" hidden="false" customHeight="false" outlineLevel="0" collapsed="false">
      <c r="A19" s="10" t="s">
        <v>95</v>
      </c>
      <c r="B19" s="10" t="s">
        <v>96</v>
      </c>
      <c r="C19" s="11" t="s">
        <v>48</v>
      </c>
      <c r="D19" s="10" t="s">
        <v>55</v>
      </c>
    </row>
    <row r="20" customFormat="false" ht="15" hidden="false" customHeight="false" outlineLevel="0" collapsed="false">
      <c r="A20" s="10" t="s">
        <v>97</v>
      </c>
      <c r="B20" s="10" t="s">
        <v>98</v>
      </c>
      <c r="C20" s="11" t="s">
        <v>48</v>
      </c>
      <c r="D20" s="1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56"/>
  </cols>
  <sheetData>
    <row r="1" customFormat="false" ht="15" hidden="false" customHeight="false" outlineLevel="0" collapsed="false">
      <c r="A1" s="8" t="s">
        <v>42</v>
      </c>
      <c r="B1" s="8" t="s">
        <v>100</v>
      </c>
      <c r="C1" s="8" t="s">
        <v>101</v>
      </c>
      <c r="D1" s="8" t="s">
        <v>102</v>
      </c>
      <c r="E1" s="8" t="s">
        <v>103</v>
      </c>
    </row>
    <row r="2" customFormat="false" ht="15" hidden="false" customHeight="false" outlineLevel="0" collapsed="false">
      <c r="A2" s="10" t="s">
        <v>104</v>
      </c>
      <c r="B2" s="10" t="s">
        <v>105</v>
      </c>
      <c r="C2" s="10" t="s">
        <v>106</v>
      </c>
      <c r="D2" s="10" t="s">
        <v>107</v>
      </c>
      <c r="E2" s="10" t="s">
        <v>108</v>
      </c>
    </row>
    <row r="3" customFormat="false" ht="15" hidden="false" customHeight="false" outlineLevel="0" collapsed="false">
      <c r="A3" s="10" t="s">
        <v>109</v>
      </c>
      <c r="B3" s="10" t="s">
        <v>105</v>
      </c>
      <c r="C3" s="10" t="s">
        <v>110</v>
      </c>
      <c r="D3" s="10" t="s">
        <v>107</v>
      </c>
      <c r="E3" s="10" t="s">
        <v>111</v>
      </c>
    </row>
    <row r="4" customFormat="false" ht="15" hidden="false" customHeight="false" outlineLevel="0" collapsed="false">
      <c r="A4" s="10" t="s">
        <v>112</v>
      </c>
      <c r="B4" s="10" t="s">
        <v>105</v>
      </c>
      <c r="C4" s="10" t="s">
        <v>113</v>
      </c>
      <c r="D4" s="10" t="s">
        <v>107</v>
      </c>
      <c r="E4" s="10" t="s">
        <v>114</v>
      </c>
    </row>
    <row r="5" customFormat="false" ht="15" hidden="false" customHeight="false" outlineLevel="0" collapsed="false">
      <c r="A5" s="10" t="s">
        <v>115</v>
      </c>
      <c r="B5" s="10" t="s">
        <v>105</v>
      </c>
      <c r="C5" s="10" t="s">
        <v>116</v>
      </c>
      <c r="D5" s="10" t="s">
        <v>107</v>
      </c>
      <c r="E5" s="10" t="s">
        <v>117</v>
      </c>
    </row>
    <row r="6" customFormat="false" ht="15" hidden="false" customHeight="false" outlineLevel="0" collapsed="false">
      <c r="A6" s="10" t="s">
        <v>118</v>
      </c>
      <c r="B6" s="10" t="s">
        <v>105</v>
      </c>
      <c r="C6" s="10" t="s">
        <v>119</v>
      </c>
      <c r="D6" s="10" t="s">
        <v>120</v>
      </c>
      <c r="E6" s="10" t="s">
        <v>121</v>
      </c>
    </row>
    <row r="7" customFormat="false" ht="15" hidden="false" customHeight="false" outlineLevel="0" collapsed="false">
      <c r="A7" s="10" t="s">
        <v>122</v>
      </c>
      <c r="B7" s="10" t="s">
        <v>105</v>
      </c>
      <c r="C7" s="10" t="s">
        <v>123</v>
      </c>
      <c r="D7" s="10" t="s">
        <v>124</v>
      </c>
      <c r="E7" s="10" t="s">
        <v>125</v>
      </c>
    </row>
    <row r="8" customFormat="false" ht="15" hidden="false" customHeight="false" outlineLevel="0" collapsed="false">
      <c r="A8" s="10" t="s">
        <v>126</v>
      </c>
      <c r="B8" s="10" t="s">
        <v>127</v>
      </c>
      <c r="C8" s="10" t="s">
        <v>128</v>
      </c>
      <c r="D8" s="10" t="s">
        <v>129</v>
      </c>
      <c r="E8" s="10" t="s">
        <v>130</v>
      </c>
    </row>
    <row r="9" customFormat="false" ht="15" hidden="false" customHeight="false" outlineLevel="0" collapsed="false">
      <c r="A9" s="10" t="s">
        <v>131</v>
      </c>
      <c r="B9" s="10" t="s">
        <v>127</v>
      </c>
      <c r="C9" s="10" t="s">
        <v>132</v>
      </c>
      <c r="D9" s="10" t="s">
        <v>129</v>
      </c>
      <c r="E9" s="10" t="s">
        <v>133</v>
      </c>
    </row>
    <row r="10" customFormat="false" ht="15" hidden="false" customHeight="false" outlineLevel="0" collapsed="false">
      <c r="A10" s="10" t="s">
        <v>134</v>
      </c>
      <c r="B10" s="10" t="s">
        <v>127</v>
      </c>
      <c r="C10" s="10" t="s">
        <v>135</v>
      </c>
      <c r="D10" s="10" t="s">
        <v>129</v>
      </c>
      <c r="E10" s="10" t="s">
        <v>136</v>
      </c>
    </row>
    <row r="11" customFormat="false" ht="15" hidden="false" customHeight="false" outlineLevel="0" collapsed="false">
      <c r="A11" s="10" t="s">
        <v>137</v>
      </c>
      <c r="B11" s="10" t="s">
        <v>138</v>
      </c>
      <c r="C11" s="10" t="s">
        <v>139</v>
      </c>
      <c r="D11" s="10" t="s">
        <v>124</v>
      </c>
      <c r="E11" s="10" t="s">
        <v>140</v>
      </c>
    </row>
    <row r="12" customFormat="false" ht="15" hidden="false" customHeight="false" outlineLevel="0" collapsed="false">
      <c r="A12" s="10" t="s">
        <v>141</v>
      </c>
      <c r="B12" s="10" t="s">
        <v>142</v>
      </c>
      <c r="C12" s="10" t="s">
        <v>143</v>
      </c>
      <c r="D12" s="10" t="s">
        <v>144</v>
      </c>
      <c r="E12" s="10" t="s">
        <v>145</v>
      </c>
    </row>
    <row r="13" customFormat="false" ht="15" hidden="false" customHeight="false" outlineLevel="0" collapsed="false">
      <c r="A13" s="10" t="s">
        <v>146</v>
      </c>
      <c r="B13" s="10" t="s">
        <v>142</v>
      </c>
      <c r="C13" s="10" t="s">
        <v>147</v>
      </c>
      <c r="D13" s="10" t="s">
        <v>144</v>
      </c>
      <c r="E13" s="10" t="s">
        <v>148</v>
      </c>
    </row>
    <row r="14" customFormat="false" ht="15" hidden="false" customHeight="false" outlineLevel="0" collapsed="false">
      <c r="A14" s="10" t="s">
        <v>149</v>
      </c>
      <c r="B14" s="10" t="s">
        <v>150</v>
      </c>
      <c r="C14" s="10" t="s">
        <v>151</v>
      </c>
      <c r="D14" s="10" t="s">
        <v>107</v>
      </c>
      <c r="E14" s="10" t="s">
        <v>152</v>
      </c>
    </row>
    <row r="15" customFormat="false" ht="15" hidden="false" customHeight="false" outlineLevel="0" collapsed="false">
      <c r="A15" s="10" t="s">
        <v>153</v>
      </c>
      <c r="B15" s="10" t="s">
        <v>150</v>
      </c>
      <c r="C15" s="10" t="s">
        <v>153</v>
      </c>
      <c r="D15" s="10" t="s">
        <v>107</v>
      </c>
      <c r="E15" s="10" t="s">
        <v>154</v>
      </c>
    </row>
    <row r="16" customFormat="false" ht="15" hidden="false" customHeight="false" outlineLevel="0" collapsed="false">
      <c r="A16" s="10" t="s">
        <v>155</v>
      </c>
      <c r="B16" s="10" t="s">
        <v>156</v>
      </c>
      <c r="C16" s="10" t="s">
        <v>157</v>
      </c>
      <c r="D16" s="10" t="s">
        <v>158</v>
      </c>
      <c r="E16" s="10" t="s">
        <v>159</v>
      </c>
    </row>
    <row r="17" customFormat="false" ht="15" hidden="false" customHeight="false" outlineLevel="0" collapsed="false">
      <c r="A17" s="10" t="s">
        <v>160</v>
      </c>
      <c r="B17" s="10" t="s">
        <v>161</v>
      </c>
      <c r="C17" s="10" t="s">
        <v>162</v>
      </c>
      <c r="D17" s="10" t="s">
        <v>163</v>
      </c>
      <c r="E17" s="10" t="s">
        <v>164</v>
      </c>
    </row>
    <row r="18" customFormat="false" ht="15" hidden="false" customHeight="false" outlineLevel="0" collapsed="false">
      <c r="A18" s="10" t="s">
        <v>165</v>
      </c>
      <c r="B18" s="10" t="s">
        <v>166</v>
      </c>
      <c r="C18" s="10" t="s">
        <v>167</v>
      </c>
      <c r="D18" s="10" t="s">
        <v>168</v>
      </c>
      <c r="E18" s="10" t="s">
        <v>169</v>
      </c>
    </row>
    <row r="19" customFormat="false" ht="15" hidden="false" customHeight="false" outlineLevel="0" collapsed="false">
      <c r="A19" s="10" t="s">
        <v>170</v>
      </c>
      <c r="B19" s="10" t="s">
        <v>166</v>
      </c>
      <c r="C19" s="10" t="s">
        <v>171</v>
      </c>
      <c r="D19" s="10" t="s">
        <v>168</v>
      </c>
      <c r="E19" s="10" t="s">
        <v>172</v>
      </c>
    </row>
    <row r="20" customFormat="false" ht="15" hidden="false" customHeight="false" outlineLevel="0" collapsed="false">
      <c r="A20" s="10" t="s">
        <v>173</v>
      </c>
      <c r="B20" s="10" t="s">
        <v>166</v>
      </c>
      <c r="C20" s="10" t="s">
        <v>174</v>
      </c>
      <c r="D20" s="10" t="s">
        <v>168</v>
      </c>
      <c r="E20" s="10" t="s">
        <v>175</v>
      </c>
    </row>
    <row r="21" customFormat="false" ht="15" hidden="false" customHeight="false" outlineLevel="0" collapsed="false">
      <c r="A21" s="10" t="s">
        <v>176</v>
      </c>
      <c r="B21" s="10" t="s">
        <v>166</v>
      </c>
      <c r="C21" s="10" t="s">
        <v>177</v>
      </c>
      <c r="D21" s="10" t="s">
        <v>168</v>
      </c>
      <c r="E21" s="10" t="s">
        <v>178</v>
      </c>
    </row>
    <row r="22" customFormat="false" ht="15" hidden="false" customHeight="false" outlineLevel="0" collapsed="false">
      <c r="A22" s="10" t="s">
        <v>179</v>
      </c>
      <c r="B22" s="10" t="s">
        <v>180</v>
      </c>
      <c r="C22" s="10" t="s">
        <v>181</v>
      </c>
      <c r="D22" s="10" t="s">
        <v>182</v>
      </c>
      <c r="E22" s="10" t="s">
        <v>183</v>
      </c>
    </row>
    <row r="23" customFormat="false" ht="15" hidden="false" customHeight="false" outlineLevel="0" collapsed="false">
      <c r="A23" s="10" t="s">
        <v>184</v>
      </c>
      <c r="B23" s="10" t="s">
        <v>180</v>
      </c>
      <c r="C23" s="10" t="s">
        <v>184</v>
      </c>
      <c r="D23" s="10" t="s">
        <v>185</v>
      </c>
      <c r="E23" s="10" t="s">
        <v>186</v>
      </c>
    </row>
    <row r="24" customFormat="false" ht="15" hidden="false" customHeight="false" outlineLevel="0" collapsed="false">
      <c r="A24" s="10" t="s">
        <v>187</v>
      </c>
      <c r="B24" s="10" t="s">
        <v>188</v>
      </c>
      <c r="C24" s="10" t="s">
        <v>189</v>
      </c>
      <c r="D24" s="10" t="s">
        <v>168</v>
      </c>
      <c r="E24" s="10" t="s">
        <v>190</v>
      </c>
    </row>
    <row r="25" customFormat="false" ht="15" hidden="false" customHeight="false" outlineLevel="0" collapsed="false">
      <c r="A25" s="10" t="s">
        <v>191</v>
      </c>
      <c r="B25" s="10" t="s">
        <v>188</v>
      </c>
      <c r="C25" s="10" t="s">
        <v>191</v>
      </c>
      <c r="D25" s="10" t="s">
        <v>191</v>
      </c>
      <c r="E25" s="10" t="s">
        <v>192</v>
      </c>
    </row>
    <row r="26" customFormat="false" ht="15" hidden="false" customHeight="false" outlineLevel="0" collapsed="false">
      <c r="A26" s="10" t="s">
        <v>193</v>
      </c>
      <c r="B26" s="10" t="s">
        <v>194</v>
      </c>
      <c r="C26" s="10" t="s">
        <v>195</v>
      </c>
      <c r="D26" s="10" t="s">
        <v>196</v>
      </c>
      <c r="E26" s="10" t="s">
        <v>197</v>
      </c>
    </row>
    <row r="27" customFormat="false" ht="15" hidden="false" customHeight="false" outlineLevel="0" collapsed="false">
      <c r="A27" s="10" t="s">
        <v>198</v>
      </c>
      <c r="B27" s="10" t="s">
        <v>199</v>
      </c>
      <c r="C27" s="10" t="s">
        <v>200</v>
      </c>
      <c r="D27" s="10" t="s">
        <v>198</v>
      </c>
      <c r="E27" s="10" t="s">
        <v>201</v>
      </c>
    </row>
    <row r="28" customFormat="false" ht="15" hidden="false" customHeight="false" outlineLevel="0" collapsed="false">
      <c r="A28" s="10" t="s">
        <v>202</v>
      </c>
      <c r="B28" s="10" t="s">
        <v>199</v>
      </c>
      <c r="C28" s="10" t="s">
        <v>202</v>
      </c>
      <c r="D28" s="10" t="s">
        <v>202</v>
      </c>
      <c r="E28" s="10" t="s">
        <v>203</v>
      </c>
    </row>
    <row r="29" customFormat="false" ht="15" hidden="false" customHeight="false" outlineLevel="0" collapsed="false">
      <c r="A29" s="10" t="s">
        <v>204</v>
      </c>
      <c r="B29" s="10" t="s">
        <v>205</v>
      </c>
      <c r="C29" s="10" t="s">
        <v>206</v>
      </c>
      <c r="D29" s="10" t="s">
        <v>207</v>
      </c>
      <c r="E29" s="10" t="s">
        <v>208</v>
      </c>
    </row>
    <row r="30" customFormat="false" ht="15" hidden="false" customHeight="false" outlineLevel="0" collapsed="false">
      <c r="A30" s="10" t="s">
        <v>209</v>
      </c>
      <c r="B30" s="10" t="s">
        <v>205</v>
      </c>
      <c r="C30" s="10" t="s">
        <v>210</v>
      </c>
      <c r="D30" s="10" t="s">
        <v>211</v>
      </c>
      <c r="E30" s="10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48"/>
    <col collapsed="false" customWidth="true" hidden="false" outlineLevel="0" max="5" min="5" style="0" width="36"/>
    <col collapsed="false" customWidth="true" hidden="false" outlineLevel="0" max="6" min="6" style="0" width="44"/>
  </cols>
  <sheetData>
    <row r="1" customFormat="false" ht="23.85" hidden="false" customHeight="false" outlineLevel="0" collapsed="false">
      <c r="A1" s="8" t="s">
        <v>213</v>
      </c>
      <c r="B1" s="8" t="s">
        <v>214</v>
      </c>
      <c r="C1" s="8" t="s">
        <v>215</v>
      </c>
      <c r="D1" s="8" t="s">
        <v>216</v>
      </c>
      <c r="E1" s="8" t="s">
        <v>217</v>
      </c>
      <c r="F1" s="8" t="s">
        <v>218</v>
      </c>
    </row>
    <row r="2" customFormat="false" ht="23.85" hidden="false" customHeight="false" outlineLevel="0" collapsed="false">
      <c r="A2" s="2" t="s">
        <v>219</v>
      </c>
      <c r="B2" s="2" t="s">
        <v>220</v>
      </c>
      <c r="C2" s="2" t="s">
        <v>221</v>
      </c>
      <c r="D2" s="2" t="s">
        <v>222</v>
      </c>
      <c r="E2" s="2" t="s">
        <v>223</v>
      </c>
      <c r="F2" s="2" t="s">
        <v>224</v>
      </c>
    </row>
    <row r="3" customFormat="false" ht="15" hidden="false" customHeight="false" outlineLevel="0" collapsed="false">
      <c r="A3" s="2" t="s">
        <v>225</v>
      </c>
      <c r="B3" s="2" t="s">
        <v>226</v>
      </c>
      <c r="C3" s="2" t="s">
        <v>227</v>
      </c>
      <c r="D3" s="2" t="s">
        <v>228</v>
      </c>
      <c r="E3" s="2" t="s">
        <v>229</v>
      </c>
      <c r="F3" s="2" t="s">
        <v>230</v>
      </c>
    </row>
    <row r="4" customFormat="false" ht="15" hidden="false" customHeight="false" outlineLevel="0" collapsed="false">
      <c r="A4" s="2" t="s">
        <v>231</v>
      </c>
      <c r="B4" s="2" t="s">
        <v>232</v>
      </c>
      <c r="C4" s="2" t="s">
        <v>233</v>
      </c>
      <c r="D4" s="2" t="s">
        <v>234</v>
      </c>
      <c r="E4" s="2" t="s">
        <v>235</v>
      </c>
      <c r="F4" s="2" t="s">
        <v>236</v>
      </c>
    </row>
    <row r="5" customFormat="false" ht="23.85" hidden="false" customHeight="false" outlineLevel="0" collapsed="false">
      <c r="A5" s="2" t="s">
        <v>237</v>
      </c>
      <c r="B5" s="2" t="s">
        <v>238</v>
      </c>
      <c r="C5" s="2" t="s">
        <v>239</v>
      </c>
      <c r="D5" s="2" t="s">
        <v>240</v>
      </c>
      <c r="E5" s="2" t="s">
        <v>241</v>
      </c>
      <c r="F5" s="2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9" min="8" style="0" width="20"/>
    <col collapsed="false" customWidth="true" hidden="false" outlineLevel="0" max="10" min="10" style="0" width="110"/>
  </cols>
  <sheetData>
    <row r="1" customFormat="false" ht="23.85" hidden="false" customHeight="false" outlineLevel="0" collapsed="false">
      <c r="A1" s="8" t="s">
        <v>243</v>
      </c>
      <c r="B1" s="8" t="s">
        <v>43</v>
      </c>
      <c r="C1" s="8" t="s">
        <v>244</v>
      </c>
      <c r="D1" s="8" t="s">
        <v>214</v>
      </c>
      <c r="E1" s="8" t="s">
        <v>101</v>
      </c>
      <c r="F1" s="8" t="s">
        <v>102</v>
      </c>
      <c r="G1" s="8" t="s">
        <v>245</v>
      </c>
      <c r="H1" s="8" t="s">
        <v>246</v>
      </c>
      <c r="I1" s="8" t="s">
        <v>247</v>
      </c>
      <c r="J1" s="8" t="s">
        <v>248</v>
      </c>
    </row>
    <row r="2" customFormat="false" ht="15" hidden="false" customHeight="false" outlineLevel="0" collapsed="false">
      <c r="A2" s="10" t="s">
        <v>46</v>
      </c>
      <c r="B2" s="10" t="str">
        <f aca="false">INDEX('Site-uri'!$B$2:$B$20,MATCH(A2,'Site-uri'!$A$2:$A$20,0))</f>
        <v>5thelement.ai</v>
      </c>
      <c r="C2" s="10" t="s">
        <v>104</v>
      </c>
      <c r="D2" s="10" t="s">
        <v>219</v>
      </c>
      <c r="E2" s="10" t="str">
        <f aca="false">INDEX(Canale!$C$2:$C$30,MATCH(C2,Canale!$A$2:$A$30,0))</f>
        <v>linkedin_personal</v>
      </c>
      <c r="F2" s="10" t="str">
        <f aca="false">INDEX(Canale!$D$2:$D$30,MATCH(C2,Canale!$A$2:$A$30,0))</f>
        <v>social</v>
      </c>
      <c r="G2" s="10" t="str">
        <f aca="false">INDEX('Site-uri'!$C$2:$C$20,MATCH(A2,'Site-uri'!$A$2:$A$20,0))</f>
        <v>/</v>
      </c>
      <c r="H2" s="10" t="str">
        <f aca="false">Config!$B$3</f>
        <v>2610_ff_lansare</v>
      </c>
      <c r="I2" s="10" t="str">
        <f aca="false">D2&amp;"_"&amp;Config!$B$4</f>
        <v>rece_general</v>
      </c>
      <c r="J2" s="10" t="str">
        <f aca="false">"https://"&amp;B2&amp;G2&amp;"?utm_source="&amp;E2&amp;"&amp;utm_medium="&amp;F2&amp;"&amp;utm_campaign="&amp;H2&amp;"&amp;utm_content="&amp;I2</f>
        <v>https://5thelement.ai/?utm_source=linkedin_personal&amp;utm_medium=social&amp;utm_campaign=2610_ff_lansare&amp;utm_content=rece_general</v>
      </c>
    </row>
    <row r="3" customFormat="false" ht="15" hidden="false" customHeight="false" outlineLevel="0" collapsed="false">
      <c r="A3" s="10" t="s">
        <v>46</v>
      </c>
      <c r="B3" s="10" t="str">
        <f aca="false">INDEX('Site-uri'!$B$2:$B$20,MATCH(A3,'Site-uri'!$A$2:$A$20,0))</f>
        <v>5thelement.ai</v>
      </c>
      <c r="C3" s="10" t="s">
        <v>104</v>
      </c>
      <c r="D3" s="10" t="s">
        <v>225</v>
      </c>
      <c r="E3" s="10" t="str">
        <f aca="false">INDEX(Canale!$C$2:$C$30,MATCH(C3,Canale!$A$2:$A$30,0))</f>
        <v>linkedin_personal</v>
      </c>
      <c r="F3" s="10" t="str">
        <f aca="false">INDEX(Canale!$D$2:$D$30,MATCH(C3,Canale!$A$2:$A$30,0))</f>
        <v>social</v>
      </c>
      <c r="G3" s="10" t="str">
        <f aca="false">INDEX('Site-uri'!$C$2:$C$20,MATCH(A3,'Site-uri'!$A$2:$A$20,0))</f>
        <v>/</v>
      </c>
      <c r="H3" s="10" t="str">
        <f aca="false">Config!$B$3</f>
        <v>2610_ff_lansare</v>
      </c>
      <c r="I3" s="10" t="str">
        <f aca="false">D3&amp;"_"&amp;Config!$B$4</f>
        <v>cald_general</v>
      </c>
      <c r="J3" s="10" t="str">
        <f aca="false">"https://"&amp;B3&amp;G3&amp;"?utm_source="&amp;E3&amp;"&amp;utm_medium="&amp;F3&amp;"&amp;utm_campaign="&amp;H3&amp;"&amp;utm_content="&amp;I3</f>
        <v>https://5thelement.ai/?utm_source=linkedin_personal&amp;utm_medium=social&amp;utm_campaign=2610_ff_lansare&amp;utm_content=cald_general</v>
      </c>
    </row>
    <row r="4" customFormat="false" ht="15" hidden="false" customHeight="false" outlineLevel="0" collapsed="false">
      <c r="A4" s="10" t="s">
        <v>46</v>
      </c>
      <c r="B4" s="10" t="str">
        <f aca="false">INDEX('Site-uri'!$B$2:$B$20,MATCH(A4,'Site-uri'!$A$2:$A$20,0))</f>
        <v>5thelement.ai</v>
      </c>
      <c r="C4" s="10" t="s">
        <v>104</v>
      </c>
      <c r="D4" s="10" t="s">
        <v>231</v>
      </c>
      <c r="E4" s="10" t="str">
        <f aca="false">INDEX(Canale!$C$2:$C$30,MATCH(C4,Canale!$A$2:$A$30,0))</f>
        <v>linkedin_personal</v>
      </c>
      <c r="F4" s="10" t="str">
        <f aca="false">INDEX(Canale!$D$2:$D$30,MATCH(C4,Canale!$A$2:$A$30,0))</f>
        <v>social</v>
      </c>
      <c r="G4" s="10" t="str">
        <f aca="false">INDEX('Site-uri'!$C$2:$C$20,MATCH(A4,'Site-uri'!$A$2:$A$20,0))</f>
        <v>/</v>
      </c>
      <c r="H4" s="10" t="str">
        <f aca="false">Config!$B$3</f>
        <v>2610_ff_lansare</v>
      </c>
      <c r="I4" s="10" t="str">
        <f aca="false">D4&amp;"_"&amp;Config!$B$4</f>
        <v>fierbinte_general</v>
      </c>
      <c r="J4" s="10" t="str">
        <f aca="false">"https://"&amp;B4&amp;G4&amp;"?utm_source="&amp;E4&amp;"&amp;utm_medium="&amp;F4&amp;"&amp;utm_campaign="&amp;H4&amp;"&amp;utm_content="&amp;I4</f>
        <v>https://5thelement.ai/?utm_source=linkedin_personal&amp;utm_medium=social&amp;utm_campaign=2610_ff_lansare&amp;utm_content=fierbinte_general</v>
      </c>
    </row>
    <row r="5" customFormat="false" ht="15" hidden="false" customHeight="false" outlineLevel="0" collapsed="false">
      <c r="A5" s="10" t="s">
        <v>46</v>
      </c>
      <c r="B5" s="10" t="str">
        <f aca="false">INDEX('Site-uri'!$B$2:$B$20,MATCH(A5,'Site-uri'!$A$2:$A$20,0))</f>
        <v>5thelement.ai</v>
      </c>
      <c r="C5" s="10" t="s">
        <v>104</v>
      </c>
      <c r="D5" s="10" t="s">
        <v>237</v>
      </c>
      <c r="E5" s="10" t="str">
        <f aca="false">INDEX(Canale!$C$2:$C$30,MATCH(C5,Canale!$A$2:$A$30,0))</f>
        <v>linkedin_personal</v>
      </c>
      <c r="F5" s="10" t="str">
        <f aca="false">INDEX(Canale!$D$2:$D$30,MATCH(C5,Canale!$A$2:$A$30,0))</f>
        <v>social</v>
      </c>
      <c r="G5" s="10" t="str">
        <f aca="false">INDEX('Site-uri'!$C$2:$C$20,MATCH(A5,'Site-uri'!$A$2:$A$20,0))</f>
        <v>/</v>
      </c>
      <c r="H5" s="10" t="str">
        <f aca="false">Config!$B$3</f>
        <v>2610_ff_lansare</v>
      </c>
      <c r="I5" s="10" t="str">
        <f aca="false">D5&amp;"_"&amp;Config!$B$4</f>
        <v>client_general</v>
      </c>
      <c r="J5" s="10" t="str">
        <f aca="false">"https://"&amp;B5&amp;G5&amp;"?utm_source="&amp;E5&amp;"&amp;utm_medium="&amp;F5&amp;"&amp;utm_campaign="&amp;H5&amp;"&amp;utm_content="&amp;I5</f>
        <v>https://5thelement.ai/?utm_source=linkedin_personal&amp;utm_medium=social&amp;utm_campaign=2610_ff_lansare&amp;utm_content=client_general</v>
      </c>
    </row>
    <row r="6" customFormat="false" ht="15" hidden="false" customHeight="false" outlineLevel="0" collapsed="false">
      <c r="A6" s="10" t="s">
        <v>46</v>
      </c>
      <c r="B6" s="10" t="str">
        <f aca="false">INDEX('Site-uri'!$B$2:$B$20,MATCH(A6,'Site-uri'!$A$2:$A$20,0))</f>
        <v>5thelement.ai</v>
      </c>
      <c r="C6" s="10" t="s">
        <v>109</v>
      </c>
      <c r="D6" s="10" t="s">
        <v>219</v>
      </c>
      <c r="E6" s="10" t="str">
        <f aca="false">INDEX(Canale!$C$2:$C$30,MATCH(C6,Canale!$A$2:$A$30,0))</f>
        <v>linkedin_company</v>
      </c>
      <c r="F6" s="10" t="str">
        <f aca="false">INDEX(Canale!$D$2:$D$30,MATCH(C6,Canale!$A$2:$A$30,0))</f>
        <v>social</v>
      </c>
      <c r="G6" s="10" t="str">
        <f aca="false">INDEX('Site-uri'!$C$2:$C$20,MATCH(A6,'Site-uri'!$A$2:$A$20,0))</f>
        <v>/</v>
      </c>
      <c r="H6" s="10" t="str">
        <f aca="false">Config!$B$3</f>
        <v>2610_ff_lansare</v>
      </c>
      <c r="I6" s="10" t="str">
        <f aca="false">D6&amp;"_"&amp;Config!$B$4</f>
        <v>rece_general</v>
      </c>
      <c r="J6" s="10" t="str">
        <f aca="false">"https://"&amp;B6&amp;G6&amp;"?utm_source="&amp;E6&amp;"&amp;utm_medium="&amp;F6&amp;"&amp;utm_campaign="&amp;H6&amp;"&amp;utm_content="&amp;I6</f>
        <v>https://5thelement.ai/?utm_source=linkedin_company&amp;utm_medium=social&amp;utm_campaign=2610_ff_lansare&amp;utm_content=rece_general</v>
      </c>
    </row>
    <row r="7" customFormat="false" ht="15" hidden="false" customHeight="false" outlineLevel="0" collapsed="false">
      <c r="A7" s="10" t="s">
        <v>46</v>
      </c>
      <c r="B7" s="10" t="str">
        <f aca="false">INDEX('Site-uri'!$B$2:$B$20,MATCH(A7,'Site-uri'!$A$2:$A$20,0))</f>
        <v>5thelement.ai</v>
      </c>
      <c r="C7" s="10" t="s">
        <v>109</v>
      </c>
      <c r="D7" s="10" t="s">
        <v>225</v>
      </c>
      <c r="E7" s="10" t="str">
        <f aca="false">INDEX(Canale!$C$2:$C$30,MATCH(C7,Canale!$A$2:$A$30,0))</f>
        <v>linkedin_company</v>
      </c>
      <c r="F7" s="10" t="str">
        <f aca="false">INDEX(Canale!$D$2:$D$30,MATCH(C7,Canale!$A$2:$A$30,0))</f>
        <v>social</v>
      </c>
      <c r="G7" s="10" t="str">
        <f aca="false">INDEX('Site-uri'!$C$2:$C$20,MATCH(A7,'Site-uri'!$A$2:$A$20,0))</f>
        <v>/</v>
      </c>
      <c r="H7" s="10" t="str">
        <f aca="false">Config!$B$3</f>
        <v>2610_ff_lansare</v>
      </c>
      <c r="I7" s="10" t="str">
        <f aca="false">D7&amp;"_"&amp;Config!$B$4</f>
        <v>cald_general</v>
      </c>
      <c r="J7" s="10" t="str">
        <f aca="false">"https://"&amp;B7&amp;G7&amp;"?utm_source="&amp;E7&amp;"&amp;utm_medium="&amp;F7&amp;"&amp;utm_campaign="&amp;H7&amp;"&amp;utm_content="&amp;I7</f>
        <v>https://5thelement.ai/?utm_source=linkedin_company&amp;utm_medium=social&amp;utm_campaign=2610_ff_lansare&amp;utm_content=cald_general</v>
      </c>
    </row>
    <row r="8" customFormat="false" ht="15" hidden="false" customHeight="false" outlineLevel="0" collapsed="false">
      <c r="A8" s="10" t="s">
        <v>46</v>
      </c>
      <c r="B8" s="10" t="str">
        <f aca="false">INDEX('Site-uri'!$B$2:$B$20,MATCH(A8,'Site-uri'!$A$2:$A$20,0))</f>
        <v>5thelement.ai</v>
      </c>
      <c r="C8" s="10" t="s">
        <v>109</v>
      </c>
      <c r="D8" s="10" t="s">
        <v>231</v>
      </c>
      <c r="E8" s="10" t="str">
        <f aca="false">INDEX(Canale!$C$2:$C$30,MATCH(C8,Canale!$A$2:$A$30,0))</f>
        <v>linkedin_company</v>
      </c>
      <c r="F8" s="10" t="str">
        <f aca="false">INDEX(Canale!$D$2:$D$30,MATCH(C8,Canale!$A$2:$A$30,0))</f>
        <v>social</v>
      </c>
      <c r="G8" s="10" t="str">
        <f aca="false">INDEX('Site-uri'!$C$2:$C$20,MATCH(A8,'Site-uri'!$A$2:$A$20,0))</f>
        <v>/</v>
      </c>
      <c r="H8" s="10" t="str">
        <f aca="false">Config!$B$3</f>
        <v>2610_ff_lansare</v>
      </c>
      <c r="I8" s="10" t="str">
        <f aca="false">D8&amp;"_"&amp;Config!$B$4</f>
        <v>fierbinte_general</v>
      </c>
      <c r="J8" s="10" t="str">
        <f aca="false">"https://"&amp;B8&amp;G8&amp;"?utm_source="&amp;E8&amp;"&amp;utm_medium="&amp;F8&amp;"&amp;utm_campaign="&amp;H8&amp;"&amp;utm_content="&amp;I8</f>
        <v>https://5thelement.ai/?utm_source=linkedin_company&amp;utm_medium=social&amp;utm_campaign=2610_ff_lansare&amp;utm_content=fierbinte_general</v>
      </c>
    </row>
    <row r="9" customFormat="false" ht="15" hidden="false" customHeight="false" outlineLevel="0" collapsed="false">
      <c r="A9" s="10" t="s">
        <v>46</v>
      </c>
      <c r="B9" s="10" t="str">
        <f aca="false">INDEX('Site-uri'!$B$2:$B$20,MATCH(A9,'Site-uri'!$A$2:$A$20,0))</f>
        <v>5thelement.ai</v>
      </c>
      <c r="C9" s="10" t="s">
        <v>109</v>
      </c>
      <c r="D9" s="10" t="s">
        <v>237</v>
      </c>
      <c r="E9" s="10" t="str">
        <f aca="false">INDEX(Canale!$C$2:$C$30,MATCH(C9,Canale!$A$2:$A$30,0))</f>
        <v>linkedin_company</v>
      </c>
      <c r="F9" s="10" t="str">
        <f aca="false">INDEX(Canale!$D$2:$D$30,MATCH(C9,Canale!$A$2:$A$30,0))</f>
        <v>social</v>
      </c>
      <c r="G9" s="10" t="str">
        <f aca="false">INDEX('Site-uri'!$C$2:$C$20,MATCH(A9,'Site-uri'!$A$2:$A$20,0))</f>
        <v>/</v>
      </c>
      <c r="H9" s="10" t="str">
        <f aca="false">Config!$B$3</f>
        <v>2610_ff_lansare</v>
      </c>
      <c r="I9" s="10" t="str">
        <f aca="false">D9&amp;"_"&amp;Config!$B$4</f>
        <v>client_general</v>
      </c>
      <c r="J9" s="10" t="str">
        <f aca="false">"https://"&amp;B9&amp;G9&amp;"?utm_source="&amp;E9&amp;"&amp;utm_medium="&amp;F9&amp;"&amp;utm_campaign="&amp;H9&amp;"&amp;utm_content="&amp;I9</f>
        <v>https://5thelement.ai/?utm_source=linkedin_company&amp;utm_medium=social&amp;utm_campaign=2610_ff_lansare&amp;utm_content=client_general</v>
      </c>
    </row>
    <row r="10" customFormat="false" ht="15" hidden="false" customHeight="false" outlineLevel="0" collapsed="false">
      <c r="A10" s="10" t="s">
        <v>46</v>
      </c>
      <c r="B10" s="10" t="str">
        <f aca="false">INDEX('Site-uri'!$B$2:$B$20,MATCH(A10,'Site-uri'!$A$2:$A$20,0))</f>
        <v>5thelement.ai</v>
      </c>
      <c r="C10" s="10" t="s">
        <v>112</v>
      </c>
      <c r="D10" s="10" t="s">
        <v>219</v>
      </c>
      <c r="E10" s="10" t="str">
        <f aca="false">INDEX(Canale!$C$2:$C$30,MATCH(C10,Canale!$A$2:$A$30,0))</f>
        <v>linkedin_showcase</v>
      </c>
      <c r="F10" s="10" t="str">
        <f aca="false">INDEX(Canale!$D$2:$D$30,MATCH(C10,Canale!$A$2:$A$30,0))</f>
        <v>social</v>
      </c>
      <c r="G10" s="10" t="str">
        <f aca="false">INDEX('Site-uri'!$C$2:$C$20,MATCH(A10,'Site-uri'!$A$2:$A$20,0))</f>
        <v>/</v>
      </c>
      <c r="H10" s="10" t="str">
        <f aca="false">Config!$B$3</f>
        <v>2610_ff_lansare</v>
      </c>
      <c r="I10" s="10" t="str">
        <f aca="false">D10&amp;"_"&amp;Config!$B$4</f>
        <v>rece_general</v>
      </c>
      <c r="J10" s="10" t="str">
        <f aca="false">"https://"&amp;B10&amp;G10&amp;"?utm_source="&amp;E10&amp;"&amp;utm_medium="&amp;F10&amp;"&amp;utm_campaign="&amp;H10&amp;"&amp;utm_content="&amp;I10</f>
        <v>https://5thelement.ai/?utm_source=linkedin_showcase&amp;utm_medium=social&amp;utm_campaign=2610_ff_lansare&amp;utm_content=rece_general</v>
      </c>
    </row>
    <row r="11" customFormat="false" ht="15" hidden="false" customHeight="false" outlineLevel="0" collapsed="false">
      <c r="A11" s="10" t="s">
        <v>46</v>
      </c>
      <c r="B11" s="10" t="str">
        <f aca="false">INDEX('Site-uri'!$B$2:$B$20,MATCH(A11,'Site-uri'!$A$2:$A$20,0))</f>
        <v>5thelement.ai</v>
      </c>
      <c r="C11" s="10" t="s">
        <v>112</v>
      </c>
      <c r="D11" s="10" t="s">
        <v>225</v>
      </c>
      <c r="E11" s="10" t="str">
        <f aca="false">INDEX(Canale!$C$2:$C$30,MATCH(C11,Canale!$A$2:$A$30,0))</f>
        <v>linkedin_showcase</v>
      </c>
      <c r="F11" s="10" t="str">
        <f aca="false">INDEX(Canale!$D$2:$D$30,MATCH(C11,Canale!$A$2:$A$30,0))</f>
        <v>social</v>
      </c>
      <c r="G11" s="10" t="str">
        <f aca="false">INDEX('Site-uri'!$C$2:$C$20,MATCH(A11,'Site-uri'!$A$2:$A$20,0))</f>
        <v>/</v>
      </c>
      <c r="H11" s="10" t="str">
        <f aca="false">Config!$B$3</f>
        <v>2610_ff_lansare</v>
      </c>
      <c r="I11" s="10" t="str">
        <f aca="false">D11&amp;"_"&amp;Config!$B$4</f>
        <v>cald_general</v>
      </c>
      <c r="J11" s="10" t="str">
        <f aca="false">"https://"&amp;B11&amp;G11&amp;"?utm_source="&amp;E11&amp;"&amp;utm_medium="&amp;F11&amp;"&amp;utm_campaign="&amp;H11&amp;"&amp;utm_content="&amp;I11</f>
        <v>https://5thelement.ai/?utm_source=linkedin_showcase&amp;utm_medium=social&amp;utm_campaign=2610_ff_lansare&amp;utm_content=cald_general</v>
      </c>
    </row>
    <row r="12" customFormat="false" ht="15" hidden="false" customHeight="false" outlineLevel="0" collapsed="false">
      <c r="A12" s="10" t="s">
        <v>46</v>
      </c>
      <c r="B12" s="10" t="str">
        <f aca="false">INDEX('Site-uri'!$B$2:$B$20,MATCH(A12,'Site-uri'!$A$2:$A$20,0))</f>
        <v>5thelement.ai</v>
      </c>
      <c r="C12" s="10" t="s">
        <v>112</v>
      </c>
      <c r="D12" s="10" t="s">
        <v>231</v>
      </c>
      <c r="E12" s="10" t="str">
        <f aca="false">INDEX(Canale!$C$2:$C$30,MATCH(C12,Canale!$A$2:$A$30,0))</f>
        <v>linkedin_showcase</v>
      </c>
      <c r="F12" s="10" t="str">
        <f aca="false">INDEX(Canale!$D$2:$D$30,MATCH(C12,Canale!$A$2:$A$30,0))</f>
        <v>social</v>
      </c>
      <c r="G12" s="10" t="str">
        <f aca="false">INDEX('Site-uri'!$C$2:$C$20,MATCH(A12,'Site-uri'!$A$2:$A$20,0))</f>
        <v>/</v>
      </c>
      <c r="H12" s="10" t="str">
        <f aca="false">Config!$B$3</f>
        <v>2610_ff_lansare</v>
      </c>
      <c r="I12" s="10" t="str">
        <f aca="false">D12&amp;"_"&amp;Config!$B$4</f>
        <v>fierbinte_general</v>
      </c>
      <c r="J12" s="10" t="str">
        <f aca="false">"https://"&amp;B12&amp;G12&amp;"?utm_source="&amp;E12&amp;"&amp;utm_medium="&amp;F12&amp;"&amp;utm_campaign="&amp;H12&amp;"&amp;utm_content="&amp;I12</f>
        <v>https://5thelement.ai/?utm_source=linkedin_showcase&amp;utm_medium=social&amp;utm_campaign=2610_ff_lansare&amp;utm_content=fierbinte_general</v>
      </c>
    </row>
    <row r="13" customFormat="false" ht="15" hidden="false" customHeight="false" outlineLevel="0" collapsed="false">
      <c r="A13" s="10" t="s">
        <v>46</v>
      </c>
      <c r="B13" s="10" t="str">
        <f aca="false">INDEX('Site-uri'!$B$2:$B$20,MATCH(A13,'Site-uri'!$A$2:$A$20,0))</f>
        <v>5thelement.ai</v>
      </c>
      <c r="C13" s="10" t="s">
        <v>112</v>
      </c>
      <c r="D13" s="10" t="s">
        <v>237</v>
      </c>
      <c r="E13" s="10" t="str">
        <f aca="false">INDEX(Canale!$C$2:$C$30,MATCH(C13,Canale!$A$2:$A$30,0))</f>
        <v>linkedin_showcase</v>
      </c>
      <c r="F13" s="10" t="str">
        <f aca="false">INDEX(Canale!$D$2:$D$30,MATCH(C13,Canale!$A$2:$A$30,0))</f>
        <v>social</v>
      </c>
      <c r="G13" s="10" t="str">
        <f aca="false">INDEX('Site-uri'!$C$2:$C$20,MATCH(A13,'Site-uri'!$A$2:$A$20,0))</f>
        <v>/</v>
      </c>
      <c r="H13" s="10" t="str">
        <f aca="false">Config!$B$3</f>
        <v>2610_ff_lansare</v>
      </c>
      <c r="I13" s="10" t="str">
        <f aca="false">D13&amp;"_"&amp;Config!$B$4</f>
        <v>client_general</v>
      </c>
      <c r="J13" s="10" t="str">
        <f aca="false">"https://"&amp;B13&amp;G13&amp;"?utm_source="&amp;E13&amp;"&amp;utm_medium="&amp;F13&amp;"&amp;utm_campaign="&amp;H13&amp;"&amp;utm_content="&amp;I13</f>
        <v>https://5thelement.ai/?utm_source=linkedin_showcase&amp;utm_medium=social&amp;utm_campaign=2610_ff_lansare&amp;utm_content=client_general</v>
      </c>
    </row>
    <row r="14" customFormat="false" ht="15" hidden="false" customHeight="false" outlineLevel="0" collapsed="false">
      <c r="A14" s="10" t="s">
        <v>46</v>
      </c>
      <c r="B14" s="10" t="str">
        <f aca="false">INDEX('Site-uri'!$B$2:$B$20,MATCH(A14,'Site-uri'!$A$2:$A$20,0))</f>
        <v>5thelement.ai</v>
      </c>
      <c r="C14" s="10" t="s">
        <v>115</v>
      </c>
      <c r="D14" s="10" t="s">
        <v>219</v>
      </c>
      <c r="E14" s="10" t="str">
        <f aca="false">INDEX(Canale!$C$2:$C$30,MATCH(C14,Canale!$A$2:$A$30,0))</f>
        <v>linkedin_newsletter</v>
      </c>
      <c r="F14" s="10" t="str">
        <f aca="false">INDEX(Canale!$D$2:$D$30,MATCH(C14,Canale!$A$2:$A$30,0))</f>
        <v>social</v>
      </c>
      <c r="G14" s="10" t="str">
        <f aca="false">INDEX('Site-uri'!$C$2:$C$20,MATCH(A14,'Site-uri'!$A$2:$A$20,0))</f>
        <v>/</v>
      </c>
      <c r="H14" s="10" t="str">
        <f aca="false">Config!$B$3</f>
        <v>2610_ff_lansare</v>
      </c>
      <c r="I14" s="10" t="str">
        <f aca="false">D14&amp;"_"&amp;Config!$B$4</f>
        <v>rece_general</v>
      </c>
      <c r="J14" s="10" t="str">
        <f aca="false">"https://"&amp;B14&amp;G14&amp;"?utm_source="&amp;E14&amp;"&amp;utm_medium="&amp;F14&amp;"&amp;utm_campaign="&amp;H14&amp;"&amp;utm_content="&amp;I14</f>
        <v>https://5thelement.ai/?utm_source=linkedin_newsletter&amp;utm_medium=social&amp;utm_campaign=2610_ff_lansare&amp;utm_content=rece_general</v>
      </c>
    </row>
    <row r="15" customFormat="false" ht="15" hidden="false" customHeight="false" outlineLevel="0" collapsed="false">
      <c r="A15" s="10" t="s">
        <v>46</v>
      </c>
      <c r="B15" s="10" t="str">
        <f aca="false">INDEX('Site-uri'!$B$2:$B$20,MATCH(A15,'Site-uri'!$A$2:$A$20,0))</f>
        <v>5thelement.ai</v>
      </c>
      <c r="C15" s="10" t="s">
        <v>115</v>
      </c>
      <c r="D15" s="10" t="s">
        <v>225</v>
      </c>
      <c r="E15" s="10" t="str">
        <f aca="false">INDEX(Canale!$C$2:$C$30,MATCH(C15,Canale!$A$2:$A$30,0))</f>
        <v>linkedin_newsletter</v>
      </c>
      <c r="F15" s="10" t="str">
        <f aca="false">INDEX(Canale!$D$2:$D$30,MATCH(C15,Canale!$A$2:$A$30,0))</f>
        <v>social</v>
      </c>
      <c r="G15" s="10" t="str">
        <f aca="false">INDEX('Site-uri'!$C$2:$C$20,MATCH(A15,'Site-uri'!$A$2:$A$20,0))</f>
        <v>/</v>
      </c>
      <c r="H15" s="10" t="str">
        <f aca="false">Config!$B$3</f>
        <v>2610_ff_lansare</v>
      </c>
      <c r="I15" s="10" t="str">
        <f aca="false">D15&amp;"_"&amp;Config!$B$4</f>
        <v>cald_general</v>
      </c>
      <c r="J15" s="10" t="str">
        <f aca="false">"https://"&amp;B15&amp;G15&amp;"?utm_source="&amp;E15&amp;"&amp;utm_medium="&amp;F15&amp;"&amp;utm_campaign="&amp;H15&amp;"&amp;utm_content="&amp;I15</f>
        <v>https://5thelement.ai/?utm_source=linkedin_newsletter&amp;utm_medium=social&amp;utm_campaign=2610_ff_lansare&amp;utm_content=cald_general</v>
      </c>
    </row>
    <row r="16" customFormat="false" ht="15" hidden="false" customHeight="false" outlineLevel="0" collapsed="false">
      <c r="A16" s="10" t="s">
        <v>46</v>
      </c>
      <c r="B16" s="10" t="str">
        <f aca="false">INDEX('Site-uri'!$B$2:$B$20,MATCH(A16,'Site-uri'!$A$2:$A$20,0))</f>
        <v>5thelement.ai</v>
      </c>
      <c r="C16" s="10" t="s">
        <v>115</v>
      </c>
      <c r="D16" s="10" t="s">
        <v>231</v>
      </c>
      <c r="E16" s="10" t="str">
        <f aca="false">INDEX(Canale!$C$2:$C$30,MATCH(C16,Canale!$A$2:$A$30,0))</f>
        <v>linkedin_newsletter</v>
      </c>
      <c r="F16" s="10" t="str">
        <f aca="false">INDEX(Canale!$D$2:$D$30,MATCH(C16,Canale!$A$2:$A$30,0))</f>
        <v>social</v>
      </c>
      <c r="G16" s="10" t="str">
        <f aca="false">INDEX('Site-uri'!$C$2:$C$20,MATCH(A16,'Site-uri'!$A$2:$A$20,0))</f>
        <v>/</v>
      </c>
      <c r="H16" s="10" t="str">
        <f aca="false">Config!$B$3</f>
        <v>2610_ff_lansare</v>
      </c>
      <c r="I16" s="10" t="str">
        <f aca="false">D16&amp;"_"&amp;Config!$B$4</f>
        <v>fierbinte_general</v>
      </c>
      <c r="J16" s="10" t="str">
        <f aca="false">"https://"&amp;B16&amp;G16&amp;"?utm_source="&amp;E16&amp;"&amp;utm_medium="&amp;F16&amp;"&amp;utm_campaign="&amp;H16&amp;"&amp;utm_content="&amp;I16</f>
        <v>https://5thelement.ai/?utm_source=linkedin_newsletter&amp;utm_medium=social&amp;utm_campaign=2610_ff_lansare&amp;utm_content=fierbinte_general</v>
      </c>
    </row>
    <row r="17" customFormat="false" ht="15" hidden="false" customHeight="false" outlineLevel="0" collapsed="false">
      <c r="A17" s="10" t="s">
        <v>46</v>
      </c>
      <c r="B17" s="10" t="str">
        <f aca="false">INDEX('Site-uri'!$B$2:$B$20,MATCH(A17,'Site-uri'!$A$2:$A$20,0))</f>
        <v>5thelement.ai</v>
      </c>
      <c r="C17" s="10" t="s">
        <v>115</v>
      </c>
      <c r="D17" s="10" t="s">
        <v>237</v>
      </c>
      <c r="E17" s="10" t="str">
        <f aca="false">INDEX(Canale!$C$2:$C$30,MATCH(C17,Canale!$A$2:$A$30,0))</f>
        <v>linkedin_newsletter</v>
      </c>
      <c r="F17" s="10" t="str">
        <f aca="false">INDEX(Canale!$D$2:$D$30,MATCH(C17,Canale!$A$2:$A$30,0))</f>
        <v>social</v>
      </c>
      <c r="G17" s="10" t="str">
        <f aca="false">INDEX('Site-uri'!$C$2:$C$20,MATCH(A17,'Site-uri'!$A$2:$A$20,0))</f>
        <v>/</v>
      </c>
      <c r="H17" s="10" t="str">
        <f aca="false">Config!$B$3</f>
        <v>2610_ff_lansare</v>
      </c>
      <c r="I17" s="10" t="str">
        <f aca="false">D17&amp;"_"&amp;Config!$B$4</f>
        <v>client_general</v>
      </c>
      <c r="J17" s="10" t="str">
        <f aca="false">"https://"&amp;B17&amp;G17&amp;"?utm_source="&amp;E17&amp;"&amp;utm_medium="&amp;F17&amp;"&amp;utm_campaign="&amp;H17&amp;"&amp;utm_content="&amp;I17</f>
        <v>https://5thelement.ai/?utm_source=linkedin_newsletter&amp;utm_medium=social&amp;utm_campaign=2610_ff_lansare&amp;utm_content=client_general</v>
      </c>
    </row>
    <row r="18" customFormat="false" ht="15" hidden="false" customHeight="false" outlineLevel="0" collapsed="false">
      <c r="A18" s="10" t="s">
        <v>46</v>
      </c>
      <c r="B18" s="10" t="str">
        <f aca="false">INDEX('Site-uri'!$B$2:$B$20,MATCH(A18,'Site-uri'!$A$2:$A$20,0))</f>
        <v>5thelement.ai</v>
      </c>
      <c r="C18" s="10" t="s">
        <v>118</v>
      </c>
      <c r="D18" s="10" t="s">
        <v>219</v>
      </c>
      <c r="E18" s="10" t="str">
        <f aca="false">INDEX(Canale!$C$2:$C$30,MATCH(C18,Canale!$A$2:$A$30,0))</f>
        <v>linkedin_ads</v>
      </c>
      <c r="F18" s="10" t="str">
        <f aca="false">INDEX(Canale!$D$2:$D$30,MATCH(C18,Canale!$A$2:$A$30,0))</f>
        <v>paid_social</v>
      </c>
      <c r="G18" s="10" t="str">
        <f aca="false">INDEX('Site-uri'!$C$2:$C$20,MATCH(A18,'Site-uri'!$A$2:$A$20,0))</f>
        <v>/</v>
      </c>
      <c r="H18" s="10" t="str">
        <f aca="false">Config!$B$3</f>
        <v>2610_ff_lansare</v>
      </c>
      <c r="I18" s="10" t="str">
        <f aca="false">D18&amp;"_"&amp;Config!$B$4</f>
        <v>rece_general</v>
      </c>
      <c r="J18" s="10" t="str">
        <f aca="false">"https://"&amp;B18&amp;G18&amp;"?utm_source="&amp;E18&amp;"&amp;utm_medium="&amp;F18&amp;"&amp;utm_campaign="&amp;H18&amp;"&amp;utm_content="&amp;I18</f>
        <v>https://5thelement.ai/?utm_source=linkedin_ads&amp;utm_medium=paid_social&amp;utm_campaign=2610_ff_lansare&amp;utm_content=rece_general</v>
      </c>
    </row>
    <row r="19" customFormat="false" ht="15" hidden="false" customHeight="false" outlineLevel="0" collapsed="false">
      <c r="A19" s="10" t="s">
        <v>46</v>
      </c>
      <c r="B19" s="10" t="str">
        <f aca="false">INDEX('Site-uri'!$B$2:$B$20,MATCH(A19,'Site-uri'!$A$2:$A$20,0))</f>
        <v>5thelement.ai</v>
      </c>
      <c r="C19" s="10" t="s">
        <v>118</v>
      </c>
      <c r="D19" s="10" t="s">
        <v>225</v>
      </c>
      <c r="E19" s="10" t="str">
        <f aca="false">INDEX(Canale!$C$2:$C$30,MATCH(C19,Canale!$A$2:$A$30,0))</f>
        <v>linkedin_ads</v>
      </c>
      <c r="F19" s="10" t="str">
        <f aca="false">INDEX(Canale!$D$2:$D$30,MATCH(C19,Canale!$A$2:$A$30,0))</f>
        <v>paid_social</v>
      </c>
      <c r="G19" s="10" t="str">
        <f aca="false">INDEX('Site-uri'!$C$2:$C$20,MATCH(A19,'Site-uri'!$A$2:$A$20,0))</f>
        <v>/</v>
      </c>
      <c r="H19" s="10" t="str">
        <f aca="false">Config!$B$3</f>
        <v>2610_ff_lansare</v>
      </c>
      <c r="I19" s="10" t="str">
        <f aca="false">D19&amp;"_"&amp;Config!$B$4</f>
        <v>cald_general</v>
      </c>
      <c r="J19" s="10" t="str">
        <f aca="false">"https://"&amp;B19&amp;G19&amp;"?utm_source="&amp;E19&amp;"&amp;utm_medium="&amp;F19&amp;"&amp;utm_campaign="&amp;H19&amp;"&amp;utm_content="&amp;I19</f>
        <v>https://5thelement.ai/?utm_source=linkedin_ads&amp;utm_medium=paid_social&amp;utm_campaign=2610_ff_lansare&amp;utm_content=cald_general</v>
      </c>
    </row>
    <row r="20" customFormat="false" ht="15" hidden="false" customHeight="false" outlineLevel="0" collapsed="false">
      <c r="A20" s="10" t="s">
        <v>46</v>
      </c>
      <c r="B20" s="10" t="str">
        <f aca="false">INDEX('Site-uri'!$B$2:$B$20,MATCH(A20,'Site-uri'!$A$2:$A$20,0))</f>
        <v>5thelement.ai</v>
      </c>
      <c r="C20" s="10" t="s">
        <v>118</v>
      </c>
      <c r="D20" s="10" t="s">
        <v>231</v>
      </c>
      <c r="E20" s="10" t="str">
        <f aca="false">INDEX(Canale!$C$2:$C$30,MATCH(C20,Canale!$A$2:$A$30,0))</f>
        <v>linkedin_ads</v>
      </c>
      <c r="F20" s="10" t="str">
        <f aca="false">INDEX(Canale!$D$2:$D$30,MATCH(C20,Canale!$A$2:$A$30,0))</f>
        <v>paid_social</v>
      </c>
      <c r="G20" s="10" t="str">
        <f aca="false">INDEX('Site-uri'!$C$2:$C$20,MATCH(A20,'Site-uri'!$A$2:$A$20,0))</f>
        <v>/</v>
      </c>
      <c r="H20" s="10" t="str">
        <f aca="false">Config!$B$3</f>
        <v>2610_ff_lansare</v>
      </c>
      <c r="I20" s="10" t="str">
        <f aca="false">D20&amp;"_"&amp;Config!$B$4</f>
        <v>fierbinte_general</v>
      </c>
      <c r="J20" s="10" t="str">
        <f aca="false">"https://"&amp;B20&amp;G20&amp;"?utm_source="&amp;E20&amp;"&amp;utm_medium="&amp;F20&amp;"&amp;utm_campaign="&amp;H20&amp;"&amp;utm_content="&amp;I20</f>
        <v>https://5thelement.ai/?utm_source=linkedin_ads&amp;utm_medium=paid_social&amp;utm_campaign=2610_ff_lansare&amp;utm_content=fierbinte_general</v>
      </c>
    </row>
    <row r="21" customFormat="false" ht="15" hidden="false" customHeight="false" outlineLevel="0" collapsed="false">
      <c r="A21" s="10" t="s">
        <v>46</v>
      </c>
      <c r="B21" s="10" t="str">
        <f aca="false">INDEX('Site-uri'!$B$2:$B$20,MATCH(A21,'Site-uri'!$A$2:$A$20,0))</f>
        <v>5thelement.ai</v>
      </c>
      <c r="C21" s="10" t="s">
        <v>118</v>
      </c>
      <c r="D21" s="10" t="s">
        <v>237</v>
      </c>
      <c r="E21" s="10" t="str">
        <f aca="false">INDEX(Canale!$C$2:$C$30,MATCH(C21,Canale!$A$2:$A$30,0))</f>
        <v>linkedin_ads</v>
      </c>
      <c r="F21" s="10" t="str">
        <f aca="false">INDEX(Canale!$D$2:$D$30,MATCH(C21,Canale!$A$2:$A$30,0))</f>
        <v>paid_social</v>
      </c>
      <c r="G21" s="10" t="str">
        <f aca="false">INDEX('Site-uri'!$C$2:$C$20,MATCH(A21,'Site-uri'!$A$2:$A$20,0))</f>
        <v>/</v>
      </c>
      <c r="H21" s="10" t="str">
        <f aca="false">Config!$B$3</f>
        <v>2610_ff_lansare</v>
      </c>
      <c r="I21" s="10" t="str">
        <f aca="false">D21&amp;"_"&amp;Config!$B$4</f>
        <v>client_general</v>
      </c>
      <c r="J21" s="10" t="str">
        <f aca="false">"https://"&amp;B21&amp;G21&amp;"?utm_source="&amp;E21&amp;"&amp;utm_medium="&amp;F21&amp;"&amp;utm_campaign="&amp;H21&amp;"&amp;utm_content="&amp;I21</f>
        <v>https://5thelement.ai/?utm_source=linkedin_ads&amp;utm_medium=paid_social&amp;utm_campaign=2610_ff_lansare&amp;utm_content=client_general</v>
      </c>
    </row>
    <row r="22" customFormat="false" ht="15" hidden="false" customHeight="false" outlineLevel="0" collapsed="false">
      <c r="A22" s="10" t="s">
        <v>46</v>
      </c>
      <c r="B22" s="10" t="str">
        <f aca="false">INDEX('Site-uri'!$B$2:$B$20,MATCH(A22,'Site-uri'!$A$2:$A$20,0))</f>
        <v>5thelement.ai</v>
      </c>
      <c r="C22" s="10" t="s">
        <v>122</v>
      </c>
      <c r="D22" s="10" t="s">
        <v>219</v>
      </c>
      <c r="E22" s="10" t="str">
        <f aca="false">INDEX(Canale!$C$2:$C$30,MATCH(C22,Canale!$A$2:$A$30,0))</f>
        <v>linkedin_dm</v>
      </c>
      <c r="F22" s="10" t="str">
        <f aca="false">INDEX(Canale!$D$2:$D$30,MATCH(C22,Canale!$A$2:$A$30,0))</f>
        <v>dm</v>
      </c>
      <c r="G22" s="10" t="str">
        <f aca="false">INDEX('Site-uri'!$C$2:$C$20,MATCH(A22,'Site-uri'!$A$2:$A$20,0))</f>
        <v>/</v>
      </c>
      <c r="H22" s="10" t="str">
        <f aca="false">Config!$B$3</f>
        <v>2610_ff_lansare</v>
      </c>
      <c r="I22" s="10" t="str">
        <f aca="false">D22&amp;"_"&amp;Config!$B$4</f>
        <v>rece_general</v>
      </c>
      <c r="J22" s="10" t="str">
        <f aca="false">"https://"&amp;B22&amp;G22&amp;"?utm_source="&amp;E22&amp;"&amp;utm_medium="&amp;F22&amp;"&amp;utm_campaign="&amp;H22&amp;"&amp;utm_content="&amp;I22</f>
        <v>https://5thelement.ai/?utm_source=linkedin_dm&amp;utm_medium=dm&amp;utm_campaign=2610_ff_lansare&amp;utm_content=rece_general</v>
      </c>
    </row>
    <row r="23" customFormat="false" ht="15" hidden="false" customHeight="false" outlineLevel="0" collapsed="false">
      <c r="A23" s="10" t="s">
        <v>46</v>
      </c>
      <c r="B23" s="10" t="str">
        <f aca="false">INDEX('Site-uri'!$B$2:$B$20,MATCH(A23,'Site-uri'!$A$2:$A$20,0))</f>
        <v>5thelement.ai</v>
      </c>
      <c r="C23" s="10" t="s">
        <v>122</v>
      </c>
      <c r="D23" s="10" t="s">
        <v>225</v>
      </c>
      <c r="E23" s="10" t="str">
        <f aca="false">INDEX(Canale!$C$2:$C$30,MATCH(C23,Canale!$A$2:$A$30,0))</f>
        <v>linkedin_dm</v>
      </c>
      <c r="F23" s="10" t="str">
        <f aca="false">INDEX(Canale!$D$2:$D$30,MATCH(C23,Canale!$A$2:$A$30,0))</f>
        <v>dm</v>
      </c>
      <c r="G23" s="10" t="str">
        <f aca="false">INDEX('Site-uri'!$C$2:$C$20,MATCH(A23,'Site-uri'!$A$2:$A$20,0))</f>
        <v>/</v>
      </c>
      <c r="H23" s="10" t="str">
        <f aca="false">Config!$B$3</f>
        <v>2610_ff_lansare</v>
      </c>
      <c r="I23" s="10" t="str">
        <f aca="false">D23&amp;"_"&amp;Config!$B$4</f>
        <v>cald_general</v>
      </c>
      <c r="J23" s="10" t="str">
        <f aca="false">"https://"&amp;B23&amp;G23&amp;"?utm_source="&amp;E23&amp;"&amp;utm_medium="&amp;F23&amp;"&amp;utm_campaign="&amp;H23&amp;"&amp;utm_content="&amp;I23</f>
        <v>https://5thelement.ai/?utm_source=linkedin_dm&amp;utm_medium=dm&amp;utm_campaign=2610_ff_lansare&amp;utm_content=cald_general</v>
      </c>
    </row>
    <row r="24" customFormat="false" ht="15" hidden="false" customHeight="false" outlineLevel="0" collapsed="false">
      <c r="A24" s="10" t="s">
        <v>46</v>
      </c>
      <c r="B24" s="10" t="str">
        <f aca="false">INDEX('Site-uri'!$B$2:$B$20,MATCH(A24,'Site-uri'!$A$2:$A$20,0))</f>
        <v>5thelement.ai</v>
      </c>
      <c r="C24" s="10" t="s">
        <v>122</v>
      </c>
      <c r="D24" s="10" t="s">
        <v>231</v>
      </c>
      <c r="E24" s="10" t="str">
        <f aca="false">INDEX(Canale!$C$2:$C$30,MATCH(C24,Canale!$A$2:$A$30,0))</f>
        <v>linkedin_dm</v>
      </c>
      <c r="F24" s="10" t="str">
        <f aca="false">INDEX(Canale!$D$2:$D$30,MATCH(C24,Canale!$A$2:$A$30,0))</f>
        <v>dm</v>
      </c>
      <c r="G24" s="10" t="str">
        <f aca="false">INDEX('Site-uri'!$C$2:$C$20,MATCH(A24,'Site-uri'!$A$2:$A$20,0))</f>
        <v>/</v>
      </c>
      <c r="H24" s="10" t="str">
        <f aca="false">Config!$B$3</f>
        <v>2610_ff_lansare</v>
      </c>
      <c r="I24" s="10" t="str">
        <f aca="false">D24&amp;"_"&amp;Config!$B$4</f>
        <v>fierbinte_general</v>
      </c>
      <c r="J24" s="10" t="str">
        <f aca="false">"https://"&amp;B24&amp;G24&amp;"?utm_source="&amp;E24&amp;"&amp;utm_medium="&amp;F24&amp;"&amp;utm_campaign="&amp;H24&amp;"&amp;utm_content="&amp;I24</f>
        <v>https://5thelement.ai/?utm_source=linkedin_dm&amp;utm_medium=dm&amp;utm_campaign=2610_ff_lansare&amp;utm_content=fierbinte_general</v>
      </c>
    </row>
    <row r="25" customFormat="false" ht="15" hidden="false" customHeight="false" outlineLevel="0" collapsed="false">
      <c r="A25" s="10" t="s">
        <v>46</v>
      </c>
      <c r="B25" s="10" t="str">
        <f aca="false">INDEX('Site-uri'!$B$2:$B$20,MATCH(A25,'Site-uri'!$A$2:$A$20,0))</f>
        <v>5thelement.ai</v>
      </c>
      <c r="C25" s="10" t="s">
        <v>122</v>
      </c>
      <c r="D25" s="10" t="s">
        <v>237</v>
      </c>
      <c r="E25" s="10" t="str">
        <f aca="false">INDEX(Canale!$C$2:$C$30,MATCH(C25,Canale!$A$2:$A$30,0))</f>
        <v>linkedin_dm</v>
      </c>
      <c r="F25" s="10" t="str">
        <f aca="false">INDEX(Canale!$D$2:$D$30,MATCH(C25,Canale!$A$2:$A$30,0))</f>
        <v>dm</v>
      </c>
      <c r="G25" s="10" t="str">
        <f aca="false">INDEX('Site-uri'!$C$2:$C$20,MATCH(A25,'Site-uri'!$A$2:$A$20,0))</f>
        <v>/</v>
      </c>
      <c r="H25" s="10" t="str">
        <f aca="false">Config!$B$3</f>
        <v>2610_ff_lansare</v>
      </c>
      <c r="I25" s="10" t="str">
        <f aca="false">D25&amp;"_"&amp;Config!$B$4</f>
        <v>client_general</v>
      </c>
      <c r="J25" s="10" t="str">
        <f aca="false">"https://"&amp;B25&amp;G25&amp;"?utm_source="&amp;E25&amp;"&amp;utm_medium="&amp;F25&amp;"&amp;utm_campaign="&amp;H25&amp;"&amp;utm_content="&amp;I25</f>
        <v>https://5thelement.ai/?utm_source=linkedin_dm&amp;utm_medium=dm&amp;utm_campaign=2610_ff_lansare&amp;utm_content=client_general</v>
      </c>
    </row>
    <row r="26" customFormat="false" ht="15" hidden="false" customHeight="false" outlineLevel="0" collapsed="false">
      <c r="A26" s="10" t="s">
        <v>46</v>
      </c>
      <c r="B26" s="10" t="str">
        <f aca="false">INDEX('Site-uri'!$B$2:$B$20,MATCH(A26,'Site-uri'!$A$2:$A$20,0))</f>
        <v>5thelement.ai</v>
      </c>
      <c r="C26" s="10" t="s">
        <v>126</v>
      </c>
      <c r="D26" s="10" t="s">
        <v>219</v>
      </c>
      <c r="E26" s="10" t="str">
        <f aca="false">INDEX(Canale!$C$2:$C$30,MATCH(C26,Canale!$A$2:$A$30,0))</f>
        <v>email_outreach</v>
      </c>
      <c r="F26" s="10" t="str">
        <f aca="false">INDEX(Canale!$D$2:$D$30,MATCH(C26,Canale!$A$2:$A$30,0))</f>
        <v>email</v>
      </c>
      <c r="G26" s="10" t="str">
        <f aca="false">INDEX('Site-uri'!$C$2:$C$20,MATCH(A26,'Site-uri'!$A$2:$A$20,0))</f>
        <v>/</v>
      </c>
      <c r="H26" s="10" t="str">
        <f aca="false">Config!$B$3</f>
        <v>2610_ff_lansare</v>
      </c>
      <c r="I26" s="10" t="str">
        <f aca="false">D26&amp;"_"&amp;Config!$B$4</f>
        <v>rece_general</v>
      </c>
      <c r="J26" s="10" t="str">
        <f aca="false">"https://"&amp;B26&amp;G26&amp;"?utm_source="&amp;E26&amp;"&amp;utm_medium="&amp;F26&amp;"&amp;utm_campaign="&amp;H26&amp;"&amp;utm_content="&amp;I26</f>
        <v>https://5thelement.ai/?utm_source=email_outreach&amp;utm_medium=email&amp;utm_campaign=2610_ff_lansare&amp;utm_content=rece_general</v>
      </c>
    </row>
    <row r="27" customFormat="false" ht="15" hidden="false" customHeight="false" outlineLevel="0" collapsed="false">
      <c r="A27" s="10" t="s">
        <v>46</v>
      </c>
      <c r="B27" s="10" t="str">
        <f aca="false">INDEX('Site-uri'!$B$2:$B$20,MATCH(A27,'Site-uri'!$A$2:$A$20,0))</f>
        <v>5thelement.ai</v>
      </c>
      <c r="C27" s="10" t="s">
        <v>126</v>
      </c>
      <c r="D27" s="10" t="s">
        <v>225</v>
      </c>
      <c r="E27" s="10" t="str">
        <f aca="false">INDEX(Canale!$C$2:$C$30,MATCH(C27,Canale!$A$2:$A$30,0))</f>
        <v>email_outreach</v>
      </c>
      <c r="F27" s="10" t="str">
        <f aca="false">INDEX(Canale!$D$2:$D$30,MATCH(C27,Canale!$A$2:$A$30,0))</f>
        <v>email</v>
      </c>
      <c r="G27" s="10" t="str">
        <f aca="false">INDEX('Site-uri'!$C$2:$C$20,MATCH(A27,'Site-uri'!$A$2:$A$20,0))</f>
        <v>/</v>
      </c>
      <c r="H27" s="10" t="str">
        <f aca="false">Config!$B$3</f>
        <v>2610_ff_lansare</v>
      </c>
      <c r="I27" s="10" t="str">
        <f aca="false">D27&amp;"_"&amp;Config!$B$4</f>
        <v>cald_general</v>
      </c>
      <c r="J27" s="10" t="str">
        <f aca="false">"https://"&amp;B27&amp;G27&amp;"?utm_source="&amp;E27&amp;"&amp;utm_medium="&amp;F27&amp;"&amp;utm_campaign="&amp;H27&amp;"&amp;utm_content="&amp;I27</f>
        <v>https://5thelement.ai/?utm_source=email_outreach&amp;utm_medium=email&amp;utm_campaign=2610_ff_lansare&amp;utm_content=cald_general</v>
      </c>
    </row>
    <row r="28" customFormat="false" ht="15" hidden="false" customHeight="false" outlineLevel="0" collapsed="false">
      <c r="A28" s="10" t="s">
        <v>46</v>
      </c>
      <c r="B28" s="10" t="str">
        <f aca="false">INDEX('Site-uri'!$B$2:$B$20,MATCH(A28,'Site-uri'!$A$2:$A$20,0))</f>
        <v>5thelement.ai</v>
      </c>
      <c r="C28" s="10" t="s">
        <v>126</v>
      </c>
      <c r="D28" s="10" t="s">
        <v>231</v>
      </c>
      <c r="E28" s="10" t="str">
        <f aca="false">INDEX(Canale!$C$2:$C$30,MATCH(C28,Canale!$A$2:$A$30,0))</f>
        <v>email_outreach</v>
      </c>
      <c r="F28" s="10" t="str">
        <f aca="false">INDEX(Canale!$D$2:$D$30,MATCH(C28,Canale!$A$2:$A$30,0))</f>
        <v>email</v>
      </c>
      <c r="G28" s="10" t="str">
        <f aca="false">INDEX('Site-uri'!$C$2:$C$20,MATCH(A28,'Site-uri'!$A$2:$A$20,0))</f>
        <v>/</v>
      </c>
      <c r="H28" s="10" t="str">
        <f aca="false">Config!$B$3</f>
        <v>2610_ff_lansare</v>
      </c>
      <c r="I28" s="10" t="str">
        <f aca="false">D28&amp;"_"&amp;Config!$B$4</f>
        <v>fierbinte_general</v>
      </c>
      <c r="J28" s="10" t="str">
        <f aca="false">"https://"&amp;B28&amp;G28&amp;"?utm_source="&amp;E28&amp;"&amp;utm_medium="&amp;F28&amp;"&amp;utm_campaign="&amp;H28&amp;"&amp;utm_content="&amp;I28</f>
        <v>https://5thelement.ai/?utm_source=email_outreach&amp;utm_medium=email&amp;utm_campaign=2610_ff_lansare&amp;utm_content=fierbinte_general</v>
      </c>
    </row>
    <row r="29" customFormat="false" ht="15" hidden="false" customHeight="false" outlineLevel="0" collapsed="false">
      <c r="A29" s="10" t="s">
        <v>46</v>
      </c>
      <c r="B29" s="10" t="str">
        <f aca="false">INDEX('Site-uri'!$B$2:$B$20,MATCH(A29,'Site-uri'!$A$2:$A$20,0))</f>
        <v>5thelement.ai</v>
      </c>
      <c r="C29" s="10" t="s">
        <v>126</v>
      </c>
      <c r="D29" s="10" t="s">
        <v>237</v>
      </c>
      <c r="E29" s="10" t="str">
        <f aca="false">INDEX(Canale!$C$2:$C$30,MATCH(C29,Canale!$A$2:$A$30,0))</f>
        <v>email_outreach</v>
      </c>
      <c r="F29" s="10" t="str">
        <f aca="false">INDEX(Canale!$D$2:$D$30,MATCH(C29,Canale!$A$2:$A$30,0))</f>
        <v>email</v>
      </c>
      <c r="G29" s="10" t="str">
        <f aca="false">INDEX('Site-uri'!$C$2:$C$20,MATCH(A29,'Site-uri'!$A$2:$A$20,0))</f>
        <v>/</v>
      </c>
      <c r="H29" s="10" t="str">
        <f aca="false">Config!$B$3</f>
        <v>2610_ff_lansare</v>
      </c>
      <c r="I29" s="10" t="str">
        <f aca="false">D29&amp;"_"&amp;Config!$B$4</f>
        <v>client_general</v>
      </c>
      <c r="J29" s="10" t="str">
        <f aca="false">"https://"&amp;B29&amp;G29&amp;"?utm_source="&amp;E29&amp;"&amp;utm_medium="&amp;F29&amp;"&amp;utm_campaign="&amp;H29&amp;"&amp;utm_content="&amp;I29</f>
        <v>https://5thelement.ai/?utm_source=email_outreach&amp;utm_medium=email&amp;utm_campaign=2610_ff_lansare&amp;utm_content=client_general</v>
      </c>
    </row>
    <row r="30" customFormat="false" ht="15" hidden="false" customHeight="false" outlineLevel="0" collapsed="false">
      <c r="A30" s="10" t="s">
        <v>46</v>
      </c>
      <c r="B30" s="10" t="str">
        <f aca="false">INDEX('Site-uri'!$B$2:$B$20,MATCH(A30,'Site-uri'!$A$2:$A$20,0))</f>
        <v>5thelement.ai</v>
      </c>
      <c r="C30" s="10" t="s">
        <v>131</v>
      </c>
      <c r="D30" s="10" t="s">
        <v>219</v>
      </c>
      <c r="E30" s="10" t="str">
        <f aca="false">INDEX(Canale!$C$2:$C$30,MATCH(C30,Canale!$A$2:$A$30,0))</f>
        <v>newsletter</v>
      </c>
      <c r="F30" s="10" t="str">
        <f aca="false">INDEX(Canale!$D$2:$D$30,MATCH(C30,Canale!$A$2:$A$30,0))</f>
        <v>email</v>
      </c>
      <c r="G30" s="10" t="str">
        <f aca="false">INDEX('Site-uri'!$C$2:$C$20,MATCH(A30,'Site-uri'!$A$2:$A$20,0))</f>
        <v>/</v>
      </c>
      <c r="H30" s="10" t="str">
        <f aca="false">Config!$B$3</f>
        <v>2610_ff_lansare</v>
      </c>
      <c r="I30" s="10" t="str">
        <f aca="false">D30&amp;"_"&amp;Config!$B$4</f>
        <v>rece_general</v>
      </c>
      <c r="J30" s="10" t="str">
        <f aca="false">"https://"&amp;B30&amp;G30&amp;"?utm_source="&amp;E30&amp;"&amp;utm_medium="&amp;F30&amp;"&amp;utm_campaign="&amp;H30&amp;"&amp;utm_content="&amp;I30</f>
        <v>https://5thelement.ai/?utm_source=newsletter&amp;utm_medium=email&amp;utm_campaign=2610_ff_lansare&amp;utm_content=rece_general</v>
      </c>
    </row>
    <row r="31" customFormat="false" ht="15" hidden="false" customHeight="false" outlineLevel="0" collapsed="false">
      <c r="A31" s="10" t="s">
        <v>46</v>
      </c>
      <c r="B31" s="10" t="str">
        <f aca="false">INDEX('Site-uri'!$B$2:$B$20,MATCH(A31,'Site-uri'!$A$2:$A$20,0))</f>
        <v>5thelement.ai</v>
      </c>
      <c r="C31" s="10" t="s">
        <v>131</v>
      </c>
      <c r="D31" s="10" t="s">
        <v>225</v>
      </c>
      <c r="E31" s="10" t="str">
        <f aca="false">INDEX(Canale!$C$2:$C$30,MATCH(C31,Canale!$A$2:$A$30,0))</f>
        <v>newsletter</v>
      </c>
      <c r="F31" s="10" t="str">
        <f aca="false">INDEX(Canale!$D$2:$D$30,MATCH(C31,Canale!$A$2:$A$30,0))</f>
        <v>email</v>
      </c>
      <c r="G31" s="10" t="str">
        <f aca="false">INDEX('Site-uri'!$C$2:$C$20,MATCH(A31,'Site-uri'!$A$2:$A$20,0))</f>
        <v>/</v>
      </c>
      <c r="H31" s="10" t="str">
        <f aca="false">Config!$B$3</f>
        <v>2610_ff_lansare</v>
      </c>
      <c r="I31" s="10" t="str">
        <f aca="false">D31&amp;"_"&amp;Config!$B$4</f>
        <v>cald_general</v>
      </c>
      <c r="J31" s="10" t="str">
        <f aca="false">"https://"&amp;B31&amp;G31&amp;"?utm_source="&amp;E31&amp;"&amp;utm_medium="&amp;F31&amp;"&amp;utm_campaign="&amp;H31&amp;"&amp;utm_content="&amp;I31</f>
        <v>https://5thelement.ai/?utm_source=newsletter&amp;utm_medium=email&amp;utm_campaign=2610_ff_lansare&amp;utm_content=cald_general</v>
      </c>
    </row>
    <row r="32" customFormat="false" ht="15" hidden="false" customHeight="false" outlineLevel="0" collapsed="false">
      <c r="A32" s="10" t="s">
        <v>46</v>
      </c>
      <c r="B32" s="10" t="str">
        <f aca="false">INDEX('Site-uri'!$B$2:$B$20,MATCH(A32,'Site-uri'!$A$2:$A$20,0))</f>
        <v>5thelement.ai</v>
      </c>
      <c r="C32" s="10" t="s">
        <v>131</v>
      </c>
      <c r="D32" s="10" t="s">
        <v>231</v>
      </c>
      <c r="E32" s="10" t="str">
        <f aca="false">INDEX(Canale!$C$2:$C$30,MATCH(C32,Canale!$A$2:$A$30,0))</f>
        <v>newsletter</v>
      </c>
      <c r="F32" s="10" t="str">
        <f aca="false">INDEX(Canale!$D$2:$D$30,MATCH(C32,Canale!$A$2:$A$30,0))</f>
        <v>email</v>
      </c>
      <c r="G32" s="10" t="str">
        <f aca="false">INDEX('Site-uri'!$C$2:$C$20,MATCH(A32,'Site-uri'!$A$2:$A$20,0))</f>
        <v>/</v>
      </c>
      <c r="H32" s="10" t="str">
        <f aca="false">Config!$B$3</f>
        <v>2610_ff_lansare</v>
      </c>
      <c r="I32" s="10" t="str">
        <f aca="false">D32&amp;"_"&amp;Config!$B$4</f>
        <v>fierbinte_general</v>
      </c>
      <c r="J32" s="10" t="str">
        <f aca="false">"https://"&amp;B32&amp;G32&amp;"?utm_source="&amp;E32&amp;"&amp;utm_medium="&amp;F32&amp;"&amp;utm_campaign="&amp;H32&amp;"&amp;utm_content="&amp;I32</f>
        <v>https://5thelement.ai/?utm_source=newsletter&amp;utm_medium=email&amp;utm_campaign=2610_ff_lansare&amp;utm_content=fierbinte_general</v>
      </c>
    </row>
    <row r="33" customFormat="false" ht="15" hidden="false" customHeight="false" outlineLevel="0" collapsed="false">
      <c r="A33" s="10" t="s">
        <v>46</v>
      </c>
      <c r="B33" s="10" t="str">
        <f aca="false">INDEX('Site-uri'!$B$2:$B$20,MATCH(A33,'Site-uri'!$A$2:$A$20,0))</f>
        <v>5thelement.ai</v>
      </c>
      <c r="C33" s="10" t="s">
        <v>131</v>
      </c>
      <c r="D33" s="10" t="s">
        <v>237</v>
      </c>
      <c r="E33" s="10" t="str">
        <f aca="false">INDEX(Canale!$C$2:$C$30,MATCH(C33,Canale!$A$2:$A$30,0))</f>
        <v>newsletter</v>
      </c>
      <c r="F33" s="10" t="str">
        <f aca="false">INDEX(Canale!$D$2:$D$30,MATCH(C33,Canale!$A$2:$A$30,0))</f>
        <v>email</v>
      </c>
      <c r="G33" s="10" t="str">
        <f aca="false">INDEX('Site-uri'!$C$2:$C$20,MATCH(A33,'Site-uri'!$A$2:$A$20,0))</f>
        <v>/</v>
      </c>
      <c r="H33" s="10" t="str">
        <f aca="false">Config!$B$3</f>
        <v>2610_ff_lansare</v>
      </c>
      <c r="I33" s="10" t="str">
        <f aca="false">D33&amp;"_"&amp;Config!$B$4</f>
        <v>client_general</v>
      </c>
      <c r="J33" s="10" t="str">
        <f aca="false">"https://"&amp;B33&amp;G33&amp;"?utm_source="&amp;E33&amp;"&amp;utm_medium="&amp;F33&amp;"&amp;utm_campaign="&amp;H33&amp;"&amp;utm_content="&amp;I33</f>
        <v>https://5thelement.ai/?utm_source=newsletter&amp;utm_medium=email&amp;utm_campaign=2610_ff_lansare&amp;utm_content=client_general</v>
      </c>
    </row>
    <row r="34" customFormat="false" ht="15" hidden="false" customHeight="false" outlineLevel="0" collapsed="false">
      <c r="A34" s="10" t="s">
        <v>46</v>
      </c>
      <c r="B34" s="10" t="str">
        <f aca="false">INDEX('Site-uri'!$B$2:$B$20,MATCH(A34,'Site-uri'!$A$2:$A$20,0))</f>
        <v>5thelement.ai</v>
      </c>
      <c r="C34" s="10" t="s">
        <v>134</v>
      </c>
      <c r="D34" s="10" t="s">
        <v>219</v>
      </c>
      <c r="E34" s="10" t="str">
        <f aca="false">INDEX(Canale!$C$2:$C$30,MATCH(C34,Canale!$A$2:$A$30,0))</f>
        <v>email_signature</v>
      </c>
      <c r="F34" s="10" t="str">
        <f aca="false">INDEX(Canale!$D$2:$D$30,MATCH(C34,Canale!$A$2:$A$30,0))</f>
        <v>email</v>
      </c>
      <c r="G34" s="10" t="str">
        <f aca="false">INDEX('Site-uri'!$C$2:$C$20,MATCH(A34,'Site-uri'!$A$2:$A$20,0))</f>
        <v>/</v>
      </c>
      <c r="H34" s="10" t="str">
        <f aca="false">Config!$B$3</f>
        <v>2610_ff_lansare</v>
      </c>
      <c r="I34" s="10" t="str">
        <f aca="false">D34&amp;"_"&amp;Config!$B$4</f>
        <v>rece_general</v>
      </c>
      <c r="J34" s="10" t="str">
        <f aca="false">"https://"&amp;B34&amp;G34&amp;"?utm_source="&amp;E34&amp;"&amp;utm_medium="&amp;F34&amp;"&amp;utm_campaign="&amp;H34&amp;"&amp;utm_content="&amp;I34</f>
        <v>https://5thelement.ai/?utm_source=email_signature&amp;utm_medium=email&amp;utm_campaign=2610_ff_lansare&amp;utm_content=rece_general</v>
      </c>
    </row>
    <row r="35" customFormat="false" ht="15" hidden="false" customHeight="false" outlineLevel="0" collapsed="false">
      <c r="A35" s="10" t="s">
        <v>46</v>
      </c>
      <c r="B35" s="10" t="str">
        <f aca="false">INDEX('Site-uri'!$B$2:$B$20,MATCH(A35,'Site-uri'!$A$2:$A$20,0))</f>
        <v>5thelement.ai</v>
      </c>
      <c r="C35" s="10" t="s">
        <v>134</v>
      </c>
      <c r="D35" s="10" t="s">
        <v>225</v>
      </c>
      <c r="E35" s="10" t="str">
        <f aca="false">INDEX(Canale!$C$2:$C$30,MATCH(C35,Canale!$A$2:$A$30,0))</f>
        <v>email_signature</v>
      </c>
      <c r="F35" s="10" t="str">
        <f aca="false">INDEX(Canale!$D$2:$D$30,MATCH(C35,Canale!$A$2:$A$30,0))</f>
        <v>email</v>
      </c>
      <c r="G35" s="10" t="str">
        <f aca="false">INDEX('Site-uri'!$C$2:$C$20,MATCH(A35,'Site-uri'!$A$2:$A$20,0))</f>
        <v>/</v>
      </c>
      <c r="H35" s="10" t="str">
        <f aca="false">Config!$B$3</f>
        <v>2610_ff_lansare</v>
      </c>
      <c r="I35" s="10" t="str">
        <f aca="false">D35&amp;"_"&amp;Config!$B$4</f>
        <v>cald_general</v>
      </c>
      <c r="J35" s="10" t="str">
        <f aca="false">"https://"&amp;B35&amp;G35&amp;"?utm_source="&amp;E35&amp;"&amp;utm_medium="&amp;F35&amp;"&amp;utm_campaign="&amp;H35&amp;"&amp;utm_content="&amp;I35</f>
        <v>https://5thelement.ai/?utm_source=email_signature&amp;utm_medium=email&amp;utm_campaign=2610_ff_lansare&amp;utm_content=cald_general</v>
      </c>
    </row>
    <row r="36" customFormat="false" ht="15" hidden="false" customHeight="false" outlineLevel="0" collapsed="false">
      <c r="A36" s="10" t="s">
        <v>46</v>
      </c>
      <c r="B36" s="10" t="str">
        <f aca="false">INDEX('Site-uri'!$B$2:$B$20,MATCH(A36,'Site-uri'!$A$2:$A$20,0))</f>
        <v>5thelement.ai</v>
      </c>
      <c r="C36" s="10" t="s">
        <v>134</v>
      </c>
      <c r="D36" s="10" t="s">
        <v>231</v>
      </c>
      <c r="E36" s="10" t="str">
        <f aca="false">INDEX(Canale!$C$2:$C$30,MATCH(C36,Canale!$A$2:$A$30,0))</f>
        <v>email_signature</v>
      </c>
      <c r="F36" s="10" t="str">
        <f aca="false">INDEX(Canale!$D$2:$D$30,MATCH(C36,Canale!$A$2:$A$30,0))</f>
        <v>email</v>
      </c>
      <c r="G36" s="10" t="str">
        <f aca="false">INDEX('Site-uri'!$C$2:$C$20,MATCH(A36,'Site-uri'!$A$2:$A$20,0))</f>
        <v>/</v>
      </c>
      <c r="H36" s="10" t="str">
        <f aca="false">Config!$B$3</f>
        <v>2610_ff_lansare</v>
      </c>
      <c r="I36" s="10" t="str">
        <f aca="false">D36&amp;"_"&amp;Config!$B$4</f>
        <v>fierbinte_general</v>
      </c>
      <c r="J36" s="10" t="str">
        <f aca="false">"https://"&amp;B36&amp;G36&amp;"?utm_source="&amp;E36&amp;"&amp;utm_medium="&amp;F36&amp;"&amp;utm_campaign="&amp;H36&amp;"&amp;utm_content="&amp;I36</f>
        <v>https://5thelement.ai/?utm_source=email_signature&amp;utm_medium=email&amp;utm_campaign=2610_ff_lansare&amp;utm_content=fierbinte_general</v>
      </c>
    </row>
    <row r="37" customFormat="false" ht="15" hidden="false" customHeight="false" outlineLevel="0" collapsed="false">
      <c r="A37" s="10" t="s">
        <v>46</v>
      </c>
      <c r="B37" s="10" t="str">
        <f aca="false">INDEX('Site-uri'!$B$2:$B$20,MATCH(A37,'Site-uri'!$A$2:$A$20,0))</f>
        <v>5thelement.ai</v>
      </c>
      <c r="C37" s="10" t="s">
        <v>134</v>
      </c>
      <c r="D37" s="10" t="s">
        <v>237</v>
      </c>
      <c r="E37" s="10" t="str">
        <f aca="false">INDEX(Canale!$C$2:$C$30,MATCH(C37,Canale!$A$2:$A$30,0))</f>
        <v>email_signature</v>
      </c>
      <c r="F37" s="10" t="str">
        <f aca="false">INDEX(Canale!$D$2:$D$30,MATCH(C37,Canale!$A$2:$A$30,0))</f>
        <v>email</v>
      </c>
      <c r="G37" s="10" t="str">
        <f aca="false">INDEX('Site-uri'!$C$2:$C$20,MATCH(A37,'Site-uri'!$A$2:$A$20,0))</f>
        <v>/</v>
      </c>
      <c r="H37" s="10" t="str">
        <f aca="false">Config!$B$3</f>
        <v>2610_ff_lansare</v>
      </c>
      <c r="I37" s="10" t="str">
        <f aca="false">D37&amp;"_"&amp;Config!$B$4</f>
        <v>client_general</v>
      </c>
      <c r="J37" s="10" t="str">
        <f aca="false">"https://"&amp;B37&amp;G37&amp;"?utm_source="&amp;E37&amp;"&amp;utm_medium="&amp;F37&amp;"&amp;utm_campaign="&amp;H37&amp;"&amp;utm_content="&amp;I37</f>
        <v>https://5thelement.ai/?utm_source=email_signature&amp;utm_medium=email&amp;utm_campaign=2610_ff_lansare&amp;utm_content=client_general</v>
      </c>
    </row>
    <row r="38" customFormat="false" ht="15" hidden="false" customHeight="false" outlineLevel="0" collapsed="false">
      <c r="A38" s="10" t="s">
        <v>46</v>
      </c>
      <c r="B38" s="10" t="str">
        <f aca="false">INDEX('Site-uri'!$B$2:$B$20,MATCH(A38,'Site-uri'!$A$2:$A$20,0))</f>
        <v>5thelement.ai</v>
      </c>
      <c r="C38" s="10" t="s">
        <v>137</v>
      </c>
      <c r="D38" s="10" t="s">
        <v>219</v>
      </c>
      <c r="E38" s="10" t="str">
        <f aca="false">INDEX(Canale!$C$2:$C$30,MATCH(C38,Canale!$A$2:$A$30,0))</f>
        <v>whatsapp</v>
      </c>
      <c r="F38" s="10" t="str">
        <f aca="false">INDEX(Canale!$D$2:$D$30,MATCH(C38,Canale!$A$2:$A$30,0))</f>
        <v>dm</v>
      </c>
      <c r="G38" s="10" t="str">
        <f aca="false">INDEX('Site-uri'!$C$2:$C$20,MATCH(A38,'Site-uri'!$A$2:$A$20,0))</f>
        <v>/</v>
      </c>
      <c r="H38" s="10" t="str">
        <f aca="false">Config!$B$3</f>
        <v>2610_ff_lansare</v>
      </c>
      <c r="I38" s="10" t="str">
        <f aca="false">D38&amp;"_"&amp;Config!$B$4</f>
        <v>rece_general</v>
      </c>
      <c r="J38" s="10" t="str">
        <f aca="false">"https://"&amp;B38&amp;G38&amp;"?utm_source="&amp;E38&amp;"&amp;utm_medium="&amp;F38&amp;"&amp;utm_campaign="&amp;H38&amp;"&amp;utm_content="&amp;I38</f>
        <v>https://5thelement.ai/?utm_source=whatsapp&amp;utm_medium=dm&amp;utm_campaign=2610_ff_lansare&amp;utm_content=rece_general</v>
      </c>
    </row>
    <row r="39" customFormat="false" ht="15" hidden="false" customHeight="false" outlineLevel="0" collapsed="false">
      <c r="A39" s="10" t="s">
        <v>46</v>
      </c>
      <c r="B39" s="10" t="str">
        <f aca="false">INDEX('Site-uri'!$B$2:$B$20,MATCH(A39,'Site-uri'!$A$2:$A$20,0))</f>
        <v>5thelement.ai</v>
      </c>
      <c r="C39" s="10" t="s">
        <v>137</v>
      </c>
      <c r="D39" s="10" t="s">
        <v>225</v>
      </c>
      <c r="E39" s="10" t="str">
        <f aca="false">INDEX(Canale!$C$2:$C$30,MATCH(C39,Canale!$A$2:$A$30,0))</f>
        <v>whatsapp</v>
      </c>
      <c r="F39" s="10" t="str">
        <f aca="false">INDEX(Canale!$D$2:$D$30,MATCH(C39,Canale!$A$2:$A$30,0))</f>
        <v>dm</v>
      </c>
      <c r="G39" s="10" t="str">
        <f aca="false">INDEX('Site-uri'!$C$2:$C$20,MATCH(A39,'Site-uri'!$A$2:$A$20,0))</f>
        <v>/</v>
      </c>
      <c r="H39" s="10" t="str">
        <f aca="false">Config!$B$3</f>
        <v>2610_ff_lansare</v>
      </c>
      <c r="I39" s="10" t="str">
        <f aca="false">D39&amp;"_"&amp;Config!$B$4</f>
        <v>cald_general</v>
      </c>
      <c r="J39" s="10" t="str">
        <f aca="false">"https://"&amp;B39&amp;G39&amp;"?utm_source="&amp;E39&amp;"&amp;utm_medium="&amp;F39&amp;"&amp;utm_campaign="&amp;H39&amp;"&amp;utm_content="&amp;I39</f>
        <v>https://5thelement.ai/?utm_source=whatsapp&amp;utm_medium=dm&amp;utm_campaign=2610_ff_lansare&amp;utm_content=cald_general</v>
      </c>
    </row>
    <row r="40" customFormat="false" ht="15" hidden="false" customHeight="false" outlineLevel="0" collapsed="false">
      <c r="A40" s="10" t="s">
        <v>46</v>
      </c>
      <c r="B40" s="10" t="str">
        <f aca="false">INDEX('Site-uri'!$B$2:$B$20,MATCH(A40,'Site-uri'!$A$2:$A$20,0))</f>
        <v>5thelement.ai</v>
      </c>
      <c r="C40" s="10" t="s">
        <v>137</v>
      </c>
      <c r="D40" s="10" t="s">
        <v>231</v>
      </c>
      <c r="E40" s="10" t="str">
        <f aca="false">INDEX(Canale!$C$2:$C$30,MATCH(C40,Canale!$A$2:$A$30,0))</f>
        <v>whatsapp</v>
      </c>
      <c r="F40" s="10" t="str">
        <f aca="false">INDEX(Canale!$D$2:$D$30,MATCH(C40,Canale!$A$2:$A$30,0))</f>
        <v>dm</v>
      </c>
      <c r="G40" s="10" t="str">
        <f aca="false">INDEX('Site-uri'!$C$2:$C$20,MATCH(A40,'Site-uri'!$A$2:$A$20,0))</f>
        <v>/</v>
      </c>
      <c r="H40" s="10" t="str">
        <f aca="false">Config!$B$3</f>
        <v>2610_ff_lansare</v>
      </c>
      <c r="I40" s="10" t="str">
        <f aca="false">D40&amp;"_"&amp;Config!$B$4</f>
        <v>fierbinte_general</v>
      </c>
      <c r="J40" s="10" t="str">
        <f aca="false">"https://"&amp;B40&amp;G40&amp;"?utm_source="&amp;E40&amp;"&amp;utm_medium="&amp;F40&amp;"&amp;utm_campaign="&amp;H40&amp;"&amp;utm_content="&amp;I40</f>
        <v>https://5thelement.ai/?utm_source=whatsapp&amp;utm_medium=dm&amp;utm_campaign=2610_ff_lansare&amp;utm_content=fierbinte_general</v>
      </c>
    </row>
    <row r="41" customFormat="false" ht="15" hidden="false" customHeight="false" outlineLevel="0" collapsed="false">
      <c r="A41" s="10" t="s">
        <v>46</v>
      </c>
      <c r="B41" s="10" t="str">
        <f aca="false">INDEX('Site-uri'!$B$2:$B$20,MATCH(A41,'Site-uri'!$A$2:$A$20,0))</f>
        <v>5thelement.ai</v>
      </c>
      <c r="C41" s="10" t="s">
        <v>137</v>
      </c>
      <c r="D41" s="10" t="s">
        <v>237</v>
      </c>
      <c r="E41" s="10" t="str">
        <f aca="false">INDEX(Canale!$C$2:$C$30,MATCH(C41,Canale!$A$2:$A$30,0))</f>
        <v>whatsapp</v>
      </c>
      <c r="F41" s="10" t="str">
        <f aca="false">INDEX(Canale!$D$2:$D$30,MATCH(C41,Canale!$A$2:$A$30,0))</f>
        <v>dm</v>
      </c>
      <c r="G41" s="10" t="str">
        <f aca="false">INDEX('Site-uri'!$C$2:$C$20,MATCH(A41,'Site-uri'!$A$2:$A$20,0))</f>
        <v>/</v>
      </c>
      <c r="H41" s="10" t="str">
        <f aca="false">Config!$B$3</f>
        <v>2610_ff_lansare</v>
      </c>
      <c r="I41" s="10" t="str">
        <f aca="false">D41&amp;"_"&amp;Config!$B$4</f>
        <v>client_general</v>
      </c>
      <c r="J41" s="10" t="str">
        <f aca="false">"https://"&amp;B41&amp;G41&amp;"?utm_source="&amp;E41&amp;"&amp;utm_medium="&amp;F41&amp;"&amp;utm_campaign="&amp;H41&amp;"&amp;utm_content="&amp;I41</f>
        <v>https://5thelement.ai/?utm_source=whatsapp&amp;utm_medium=dm&amp;utm_campaign=2610_ff_lansare&amp;utm_content=client_general</v>
      </c>
    </row>
    <row r="42" customFormat="false" ht="15" hidden="false" customHeight="false" outlineLevel="0" collapsed="false">
      <c r="A42" s="10" t="s">
        <v>46</v>
      </c>
      <c r="B42" s="10" t="str">
        <f aca="false">INDEX('Site-uri'!$B$2:$B$20,MATCH(A42,'Site-uri'!$A$2:$A$20,0))</f>
        <v>5thelement.ai</v>
      </c>
      <c r="C42" s="10" t="s">
        <v>141</v>
      </c>
      <c r="D42" s="10" t="s">
        <v>219</v>
      </c>
      <c r="E42" s="10" t="str">
        <f aca="false">INDEX(Canale!$C$2:$C$30,MATCH(C42,Canale!$A$2:$A$30,0))</f>
        <v>google</v>
      </c>
      <c r="F42" s="10" t="str">
        <f aca="false">INDEX(Canale!$D$2:$D$30,MATCH(C42,Canale!$A$2:$A$30,0))</f>
        <v>cpc</v>
      </c>
      <c r="G42" s="10" t="str">
        <f aca="false">INDEX('Site-uri'!$C$2:$C$20,MATCH(A42,'Site-uri'!$A$2:$A$20,0))</f>
        <v>/</v>
      </c>
      <c r="H42" s="10" t="str">
        <f aca="false">Config!$B$3</f>
        <v>2610_ff_lansare</v>
      </c>
      <c r="I42" s="10" t="str">
        <f aca="false">D42&amp;"_"&amp;Config!$B$4</f>
        <v>rece_general</v>
      </c>
      <c r="J42" s="10" t="str">
        <f aca="false">"https://"&amp;B42&amp;G42&amp;"?utm_source="&amp;E42&amp;"&amp;utm_medium="&amp;F42&amp;"&amp;utm_campaign="&amp;H42&amp;"&amp;utm_content="&amp;I42</f>
        <v>https://5thelement.ai/?utm_source=google&amp;utm_medium=cpc&amp;utm_campaign=2610_ff_lansare&amp;utm_content=rece_general</v>
      </c>
    </row>
    <row r="43" customFormat="false" ht="15" hidden="false" customHeight="false" outlineLevel="0" collapsed="false">
      <c r="A43" s="10" t="s">
        <v>46</v>
      </c>
      <c r="B43" s="10" t="str">
        <f aca="false">INDEX('Site-uri'!$B$2:$B$20,MATCH(A43,'Site-uri'!$A$2:$A$20,0))</f>
        <v>5thelement.ai</v>
      </c>
      <c r="C43" s="10" t="s">
        <v>141</v>
      </c>
      <c r="D43" s="10" t="s">
        <v>225</v>
      </c>
      <c r="E43" s="10" t="str">
        <f aca="false">INDEX(Canale!$C$2:$C$30,MATCH(C43,Canale!$A$2:$A$30,0))</f>
        <v>google</v>
      </c>
      <c r="F43" s="10" t="str">
        <f aca="false">INDEX(Canale!$D$2:$D$30,MATCH(C43,Canale!$A$2:$A$30,0))</f>
        <v>cpc</v>
      </c>
      <c r="G43" s="10" t="str">
        <f aca="false">INDEX('Site-uri'!$C$2:$C$20,MATCH(A43,'Site-uri'!$A$2:$A$20,0))</f>
        <v>/</v>
      </c>
      <c r="H43" s="10" t="str">
        <f aca="false">Config!$B$3</f>
        <v>2610_ff_lansare</v>
      </c>
      <c r="I43" s="10" t="str">
        <f aca="false">D43&amp;"_"&amp;Config!$B$4</f>
        <v>cald_general</v>
      </c>
      <c r="J43" s="10" t="str">
        <f aca="false">"https://"&amp;B43&amp;G43&amp;"?utm_source="&amp;E43&amp;"&amp;utm_medium="&amp;F43&amp;"&amp;utm_campaign="&amp;H43&amp;"&amp;utm_content="&amp;I43</f>
        <v>https://5thelement.ai/?utm_source=google&amp;utm_medium=cpc&amp;utm_campaign=2610_ff_lansare&amp;utm_content=cald_general</v>
      </c>
    </row>
    <row r="44" customFormat="false" ht="15" hidden="false" customHeight="false" outlineLevel="0" collapsed="false">
      <c r="A44" s="10" t="s">
        <v>46</v>
      </c>
      <c r="B44" s="10" t="str">
        <f aca="false">INDEX('Site-uri'!$B$2:$B$20,MATCH(A44,'Site-uri'!$A$2:$A$20,0))</f>
        <v>5thelement.ai</v>
      </c>
      <c r="C44" s="10" t="s">
        <v>141</v>
      </c>
      <c r="D44" s="10" t="s">
        <v>231</v>
      </c>
      <c r="E44" s="10" t="str">
        <f aca="false">INDEX(Canale!$C$2:$C$30,MATCH(C44,Canale!$A$2:$A$30,0))</f>
        <v>google</v>
      </c>
      <c r="F44" s="10" t="str">
        <f aca="false">INDEX(Canale!$D$2:$D$30,MATCH(C44,Canale!$A$2:$A$30,0))</f>
        <v>cpc</v>
      </c>
      <c r="G44" s="10" t="str">
        <f aca="false">INDEX('Site-uri'!$C$2:$C$20,MATCH(A44,'Site-uri'!$A$2:$A$20,0))</f>
        <v>/</v>
      </c>
      <c r="H44" s="10" t="str">
        <f aca="false">Config!$B$3</f>
        <v>2610_ff_lansare</v>
      </c>
      <c r="I44" s="10" t="str">
        <f aca="false">D44&amp;"_"&amp;Config!$B$4</f>
        <v>fierbinte_general</v>
      </c>
      <c r="J44" s="10" t="str">
        <f aca="false">"https://"&amp;B44&amp;G44&amp;"?utm_source="&amp;E44&amp;"&amp;utm_medium="&amp;F44&amp;"&amp;utm_campaign="&amp;H44&amp;"&amp;utm_content="&amp;I44</f>
        <v>https://5thelement.ai/?utm_source=google&amp;utm_medium=cpc&amp;utm_campaign=2610_ff_lansare&amp;utm_content=fierbinte_general</v>
      </c>
    </row>
    <row r="45" customFormat="false" ht="15" hidden="false" customHeight="false" outlineLevel="0" collapsed="false">
      <c r="A45" s="10" t="s">
        <v>46</v>
      </c>
      <c r="B45" s="10" t="str">
        <f aca="false">INDEX('Site-uri'!$B$2:$B$20,MATCH(A45,'Site-uri'!$A$2:$A$20,0))</f>
        <v>5thelement.ai</v>
      </c>
      <c r="C45" s="10" t="s">
        <v>141</v>
      </c>
      <c r="D45" s="10" t="s">
        <v>237</v>
      </c>
      <c r="E45" s="10" t="str">
        <f aca="false">INDEX(Canale!$C$2:$C$30,MATCH(C45,Canale!$A$2:$A$30,0))</f>
        <v>google</v>
      </c>
      <c r="F45" s="10" t="str">
        <f aca="false">INDEX(Canale!$D$2:$D$30,MATCH(C45,Canale!$A$2:$A$30,0))</f>
        <v>cpc</v>
      </c>
      <c r="G45" s="10" t="str">
        <f aca="false">INDEX('Site-uri'!$C$2:$C$20,MATCH(A45,'Site-uri'!$A$2:$A$20,0))</f>
        <v>/</v>
      </c>
      <c r="H45" s="10" t="str">
        <f aca="false">Config!$B$3</f>
        <v>2610_ff_lansare</v>
      </c>
      <c r="I45" s="10" t="str">
        <f aca="false">D45&amp;"_"&amp;Config!$B$4</f>
        <v>client_general</v>
      </c>
      <c r="J45" s="10" t="str">
        <f aca="false">"https://"&amp;B45&amp;G45&amp;"?utm_source="&amp;E45&amp;"&amp;utm_medium="&amp;F45&amp;"&amp;utm_campaign="&amp;H45&amp;"&amp;utm_content="&amp;I45</f>
        <v>https://5thelement.ai/?utm_source=google&amp;utm_medium=cpc&amp;utm_campaign=2610_ff_lansare&amp;utm_content=client_general</v>
      </c>
    </row>
    <row r="46" customFormat="false" ht="15" hidden="false" customHeight="false" outlineLevel="0" collapsed="false">
      <c r="A46" s="10" t="s">
        <v>46</v>
      </c>
      <c r="B46" s="10" t="str">
        <f aca="false">INDEX('Site-uri'!$B$2:$B$20,MATCH(A46,'Site-uri'!$A$2:$A$20,0))</f>
        <v>5thelement.ai</v>
      </c>
      <c r="C46" s="10" t="s">
        <v>146</v>
      </c>
      <c r="D46" s="10" t="s">
        <v>219</v>
      </c>
      <c r="E46" s="10" t="str">
        <f aca="false">INDEX(Canale!$C$2:$C$30,MATCH(C46,Canale!$A$2:$A$30,0))</f>
        <v>bing</v>
      </c>
      <c r="F46" s="10" t="str">
        <f aca="false">INDEX(Canale!$D$2:$D$30,MATCH(C46,Canale!$A$2:$A$30,0))</f>
        <v>cpc</v>
      </c>
      <c r="G46" s="10" t="str">
        <f aca="false">INDEX('Site-uri'!$C$2:$C$20,MATCH(A46,'Site-uri'!$A$2:$A$20,0))</f>
        <v>/</v>
      </c>
      <c r="H46" s="10" t="str">
        <f aca="false">Config!$B$3</f>
        <v>2610_ff_lansare</v>
      </c>
      <c r="I46" s="10" t="str">
        <f aca="false">D46&amp;"_"&amp;Config!$B$4</f>
        <v>rece_general</v>
      </c>
      <c r="J46" s="10" t="str">
        <f aca="false">"https://"&amp;B46&amp;G46&amp;"?utm_source="&amp;E46&amp;"&amp;utm_medium="&amp;F46&amp;"&amp;utm_campaign="&amp;H46&amp;"&amp;utm_content="&amp;I46</f>
        <v>https://5thelement.ai/?utm_source=bing&amp;utm_medium=cpc&amp;utm_campaign=2610_ff_lansare&amp;utm_content=rece_general</v>
      </c>
    </row>
    <row r="47" customFormat="false" ht="15" hidden="false" customHeight="false" outlineLevel="0" collapsed="false">
      <c r="A47" s="10" t="s">
        <v>46</v>
      </c>
      <c r="B47" s="10" t="str">
        <f aca="false">INDEX('Site-uri'!$B$2:$B$20,MATCH(A47,'Site-uri'!$A$2:$A$20,0))</f>
        <v>5thelement.ai</v>
      </c>
      <c r="C47" s="10" t="s">
        <v>146</v>
      </c>
      <c r="D47" s="10" t="s">
        <v>225</v>
      </c>
      <c r="E47" s="10" t="str">
        <f aca="false">INDEX(Canale!$C$2:$C$30,MATCH(C47,Canale!$A$2:$A$30,0))</f>
        <v>bing</v>
      </c>
      <c r="F47" s="10" t="str">
        <f aca="false">INDEX(Canale!$D$2:$D$30,MATCH(C47,Canale!$A$2:$A$30,0))</f>
        <v>cpc</v>
      </c>
      <c r="G47" s="10" t="str">
        <f aca="false">INDEX('Site-uri'!$C$2:$C$20,MATCH(A47,'Site-uri'!$A$2:$A$20,0))</f>
        <v>/</v>
      </c>
      <c r="H47" s="10" t="str">
        <f aca="false">Config!$B$3</f>
        <v>2610_ff_lansare</v>
      </c>
      <c r="I47" s="10" t="str">
        <f aca="false">D47&amp;"_"&amp;Config!$B$4</f>
        <v>cald_general</v>
      </c>
      <c r="J47" s="10" t="str">
        <f aca="false">"https://"&amp;B47&amp;G47&amp;"?utm_source="&amp;E47&amp;"&amp;utm_medium="&amp;F47&amp;"&amp;utm_campaign="&amp;H47&amp;"&amp;utm_content="&amp;I47</f>
        <v>https://5thelement.ai/?utm_source=bing&amp;utm_medium=cpc&amp;utm_campaign=2610_ff_lansare&amp;utm_content=cald_general</v>
      </c>
    </row>
    <row r="48" customFormat="false" ht="15" hidden="false" customHeight="false" outlineLevel="0" collapsed="false">
      <c r="A48" s="10" t="s">
        <v>46</v>
      </c>
      <c r="B48" s="10" t="str">
        <f aca="false">INDEX('Site-uri'!$B$2:$B$20,MATCH(A48,'Site-uri'!$A$2:$A$20,0))</f>
        <v>5thelement.ai</v>
      </c>
      <c r="C48" s="10" t="s">
        <v>146</v>
      </c>
      <c r="D48" s="10" t="s">
        <v>231</v>
      </c>
      <c r="E48" s="10" t="str">
        <f aca="false">INDEX(Canale!$C$2:$C$30,MATCH(C48,Canale!$A$2:$A$30,0))</f>
        <v>bing</v>
      </c>
      <c r="F48" s="10" t="str">
        <f aca="false">INDEX(Canale!$D$2:$D$30,MATCH(C48,Canale!$A$2:$A$30,0))</f>
        <v>cpc</v>
      </c>
      <c r="G48" s="10" t="str">
        <f aca="false">INDEX('Site-uri'!$C$2:$C$20,MATCH(A48,'Site-uri'!$A$2:$A$20,0))</f>
        <v>/</v>
      </c>
      <c r="H48" s="10" t="str">
        <f aca="false">Config!$B$3</f>
        <v>2610_ff_lansare</v>
      </c>
      <c r="I48" s="10" t="str">
        <f aca="false">D48&amp;"_"&amp;Config!$B$4</f>
        <v>fierbinte_general</v>
      </c>
      <c r="J48" s="10" t="str">
        <f aca="false">"https://"&amp;B48&amp;G48&amp;"?utm_source="&amp;E48&amp;"&amp;utm_medium="&amp;F48&amp;"&amp;utm_campaign="&amp;H48&amp;"&amp;utm_content="&amp;I48</f>
        <v>https://5thelement.ai/?utm_source=bing&amp;utm_medium=cpc&amp;utm_campaign=2610_ff_lansare&amp;utm_content=fierbinte_general</v>
      </c>
    </row>
    <row r="49" customFormat="false" ht="15" hidden="false" customHeight="false" outlineLevel="0" collapsed="false">
      <c r="A49" s="10" t="s">
        <v>46</v>
      </c>
      <c r="B49" s="10" t="str">
        <f aca="false">INDEX('Site-uri'!$B$2:$B$20,MATCH(A49,'Site-uri'!$A$2:$A$20,0))</f>
        <v>5thelement.ai</v>
      </c>
      <c r="C49" s="10" t="s">
        <v>146</v>
      </c>
      <c r="D49" s="10" t="s">
        <v>237</v>
      </c>
      <c r="E49" s="10" t="str">
        <f aca="false">INDEX(Canale!$C$2:$C$30,MATCH(C49,Canale!$A$2:$A$30,0))</f>
        <v>bing</v>
      </c>
      <c r="F49" s="10" t="str">
        <f aca="false">INDEX(Canale!$D$2:$D$30,MATCH(C49,Canale!$A$2:$A$30,0))</f>
        <v>cpc</v>
      </c>
      <c r="G49" s="10" t="str">
        <f aca="false">INDEX('Site-uri'!$C$2:$C$20,MATCH(A49,'Site-uri'!$A$2:$A$20,0))</f>
        <v>/</v>
      </c>
      <c r="H49" s="10" t="str">
        <f aca="false">Config!$B$3</f>
        <v>2610_ff_lansare</v>
      </c>
      <c r="I49" s="10" t="str">
        <f aca="false">D49&amp;"_"&amp;Config!$B$4</f>
        <v>client_general</v>
      </c>
      <c r="J49" s="10" t="str">
        <f aca="false">"https://"&amp;B49&amp;G49&amp;"?utm_source="&amp;E49&amp;"&amp;utm_medium="&amp;F49&amp;"&amp;utm_campaign="&amp;H49&amp;"&amp;utm_content="&amp;I49</f>
        <v>https://5thelement.ai/?utm_source=bing&amp;utm_medium=cpc&amp;utm_campaign=2610_ff_lansare&amp;utm_content=client_general</v>
      </c>
    </row>
    <row r="50" customFormat="false" ht="15" hidden="false" customHeight="false" outlineLevel="0" collapsed="false">
      <c r="A50" s="10" t="s">
        <v>46</v>
      </c>
      <c r="B50" s="10" t="str">
        <f aca="false">INDEX('Site-uri'!$B$2:$B$20,MATCH(A50,'Site-uri'!$A$2:$A$20,0))</f>
        <v>5thelement.ai</v>
      </c>
      <c r="C50" s="10" t="s">
        <v>149</v>
      </c>
      <c r="D50" s="10" t="s">
        <v>219</v>
      </c>
      <c r="E50" s="10" t="str">
        <f aca="false">INDEX(Canale!$C$2:$C$30,MATCH(C50,Canale!$A$2:$A$30,0))</f>
        <v>facebook</v>
      </c>
      <c r="F50" s="10" t="str">
        <f aca="false">INDEX(Canale!$D$2:$D$30,MATCH(C50,Canale!$A$2:$A$30,0))</f>
        <v>social</v>
      </c>
      <c r="G50" s="10" t="str">
        <f aca="false">INDEX('Site-uri'!$C$2:$C$20,MATCH(A50,'Site-uri'!$A$2:$A$20,0))</f>
        <v>/</v>
      </c>
      <c r="H50" s="10" t="str">
        <f aca="false">Config!$B$3</f>
        <v>2610_ff_lansare</v>
      </c>
      <c r="I50" s="10" t="str">
        <f aca="false">D50&amp;"_"&amp;Config!$B$4</f>
        <v>rece_general</v>
      </c>
      <c r="J50" s="10" t="str">
        <f aca="false">"https://"&amp;B50&amp;G50&amp;"?utm_source="&amp;E50&amp;"&amp;utm_medium="&amp;F50&amp;"&amp;utm_campaign="&amp;H50&amp;"&amp;utm_content="&amp;I50</f>
        <v>https://5thelement.ai/?utm_source=facebook&amp;utm_medium=social&amp;utm_campaign=2610_ff_lansare&amp;utm_content=rece_general</v>
      </c>
    </row>
    <row r="51" customFormat="false" ht="15" hidden="false" customHeight="false" outlineLevel="0" collapsed="false">
      <c r="A51" s="10" t="s">
        <v>46</v>
      </c>
      <c r="B51" s="10" t="str">
        <f aca="false">INDEX('Site-uri'!$B$2:$B$20,MATCH(A51,'Site-uri'!$A$2:$A$20,0))</f>
        <v>5thelement.ai</v>
      </c>
      <c r="C51" s="10" t="s">
        <v>149</v>
      </c>
      <c r="D51" s="10" t="s">
        <v>225</v>
      </c>
      <c r="E51" s="10" t="str">
        <f aca="false">INDEX(Canale!$C$2:$C$30,MATCH(C51,Canale!$A$2:$A$30,0))</f>
        <v>facebook</v>
      </c>
      <c r="F51" s="10" t="str">
        <f aca="false">INDEX(Canale!$D$2:$D$30,MATCH(C51,Canale!$A$2:$A$30,0))</f>
        <v>social</v>
      </c>
      <c r="G51" s="10" t="str">
        <f aca="false">INDEX('Site-uri'!$C$2:$C$20,MATCH(A51,'Site-uri'!$A$2:$A$20,0))</f>
        <v>/</v>
      </c>
      <c r="H51" s="10" t="str">
        <f aca="false">Config!$B$3</f>
        <v>2610_ff_lansare</v>
      </c>
      <c r="I51" s="10" t="str">
        <f aca="false">D51&amp;"_"&amp;Config!$B$4</f>
        <v>cald_general</v>
      </c>
      <c r="J51" s="10" t="str">
        <f aca="false">"https://"&amp;B51&amp;G51&amp;"?utm_source="&amp;E51&amp;"&amp;utm_medium="&amp;F51&amp;"&amp;utm_campaign="&amp;H51&amp;"&amp;utm_content="&amp;I51</f>
        <v>https://5thelement.ai/?utm_source=facebook&amp;utm_medium=social&amp;utm_campaign=2610_ff_lansare&amp;utm_content=cald_general</v>
      </c>
    </row>
    <row r="52" customFormat="false" ht="15" hidden="false" customHeight="false" outlineLevel="0" collapsed="false">
      <c r="A52" s="10" t="s">
        <v>46</v>
      </c>
      <c r="B52" s="10" t="str">
        <f aca="false">INDEX('Site-uri'!$B$2:$B$20,MATCH(A52,'Site-uri'!$A$2:$A$20,0))</f>
        <v>5thelement.ai</v>
      </c>
      <c r="C52" s="10" t="s">
        <v>149</v>
      </c>
      <c r="D52" s="10" t="s">
        <v>231</v>
      </c>
      <c r="E52" s="10" t="str">
        <f aca="false">INDEX(Canale!$C$2:$C$30,MATCH(C52,Canale!$A$2:$A$30,0))</f>
        <v>facebook</v>
      </c>
      <c r="F52" s="10" t="str">
        <f aca="false">INDEX(Canale!$D$2:$D$30,MATCH(C52,Canale!$A$2:$A$30,0))</f>
        <v>social</v>
      </c>
      <c r="G52" s="10" t="str">
        <f aca="false">INDEX('Site-uri'!$C$2:$C$20,MATCH(A52,'Site-uri'!$A$2:$A$20,0))</f>
        <v>/</v>
      </c>
      <c r="H52" s="10" t="str">
        <f aca="false">Config!$B$3</f>
        <v>2610_ff_lansare</v>
      </c>
      <c r="I52" s="10" t="str">
        <f aca="false">D52&amp;"_"&amp;Config!$B$4</f>
        <v>fierbinte_general</v>
      </c>
      <c r="J52" s="10" t="str">
        <f aca="false">"https://"&amp;B52&amp;G52&amp;"?utm_source="&amp;E52&amp;"&amp;utm_medium="&amp;F52&amp;"&amp;utm_campaign="&amp;H52&amp;"&amp;utm_content="&amp;I52</f>
        <v>https://5thelement.ai/?utm_source=facebook&amp;utm_medium=social&amp;utm_campaign=2610_ff_lansare&amp;utm_content=fierbinte_general</v>
      </c>
    </row>
    <row r="53" customFormat="false" ht="15" hidden="false" customHeight="false" outlineLevel="0" collapsed="false">
      <c r="A53" s="10" t="s">
        <v>46</v>
      </c>
      <c r="B53" s="10" t="str">
        <f aca="false">INDEX('Site-uri'!$B$2:$B$20,MATCH(A53,'Site-uri'!$A$2:$A$20,0))</f>
        <v>5thelement.ai</v>
      </c>
      <c r="C53" s="10" t="s">
        <v>149</v>
      </c>
      <c r="D53" s="10" t="s">
        <v>237</v>
      </c>
      <c r="E53" s="10" t="str">
        <f aca="false">INDEX(Canale!$C$2:$C$30,MATCH(C53,Canale!$A$2:$A$30,0))</f>
        <v>facebook</v>
      </c>
      <c r="F53" s="10" t="str">
        <f aca="false">INDEX(Canale!$D$2:$D$30,MATCH(C53,Canale!$A$2:$A$30,0))</f>
        <v>social</v>
      </c>
      <c r="G53" s="10" t="str">
        <f aca="false">INDEX('Site-uri'!$C$2:$C$20,MATCH(A53,'Site-uri'!$A$2:$A$20,0))</f>
        <v>/</v>
      </c>
      <c r="H53" s="10" t="str">
        <f aca="false">Config!$B$3</f>
        <v>2610_ff_lansare</v>
      </c>
      <c r="I53" s="10" t="str">
        <f aca="false">D53&amp;"_"&amp;Config!$B$4</f>
        <v>client_general</v>
      </c>
      <c r="J53" s="10" t="str">
        <f aca="false">"https://"&amp;B53&amp;G53&amp;"?utm_source="&amp;E53&amp;"&amp;utm_medium="&amp;F53&amp;"&amp;utm_campaign="&amp;H53&amp;"&amp;utm_content="&amp;I53</f>
        <v>https://5thelement.ai/?utm_source=facebook&amp;utm_medium=social&amp;utm_campaign=2610_ff_lansare&amp;utm_content=client_general</v>
      </c>
    </row>
    <row r="54" customFormat="false" ht="15" hidden="false" customHeight="false" outlineLevel="0" collapsed="false">
      <c r="A54" s="10" t="s">
        <v>46</v>
      </c>
      <c r="B54" s="10" t="str">
        <f aca="false">INDEX('Site-uri'!$B$2:$B$20,MATCH(A54,'Site-uri'!$A$2:$A$20,0))</f>
        <v>5thelement.ai</v>
      </c>
      <c r="C54" s="10" t="s">
        <v>153</v>
      </c>
      <c r="D54" s="10" t="s">
        <v>219</v>
      </c>
      <c r="E54" s="10" t="str">
        <f aca="false">INDEX(Canale!$C$2:$C$30,MATCH(C54,Canale!$A$2:$A$30,0))</f>
        <v>x</v>
      </c>
      <c r="F54" s="10" t="str">
        <f aca="false">INDEX(Canale!$D$2:$D$30,MATCH(C54,Canale!$A$2:$A$30,0))</f>
        <v>social</v>
      </c>
      <c r="G54" s="10" t="str">
        <f aca="false">INDEX('Site-uri'!$C$2:$C$20,MATCH(A54,'Site-uri'!$A$2:$A$20,0))</f>
        <v>/</v>
      </c>
      <c r="H54" s="10" t="str">
        <f aca="false">Config!$B$3</f>
        <v>2610_ff_lansare</v>
      </c>
      <c r="I54" s="10" t="str">
        <f aca="false">D54&amp;"_"&amp;Config!$B$4</f>
        <v>rece_general</v>
      </c>
      <c r="J54" s="10" t="str">
        <f aca="false">"https://"&amp;B54&amp;G54&amp;"?utm_source="&amp;E54&amp;"&amp;utm_medium="&amp;F54&amp;"&amp;utm_campaign="&amp;H54&amp;"&amp;utm_content="&amp;I54</f>
        <v>https://5thelement.ai/?utm_source=x&amp;utm_medium=social&amp;utm_campaign=2610_ff_lansare&amp;utm_content=rece_general</v>
      </c>
    </row>
    <row r="55" customFormat="false" ht="15" hidden="false" customHeight="false" outlineLevel="0" collapsed="false">
      <c r="A55" s="10" t="s">
        <v>46</v>
      </c>
      <c r="B55" s="10" t="str">
        <f aca="false">INDEX('Site-uri'!$B$2:$B$20,MATCH(A55,'Site-uri'!$A$2:$A$20,0))</f>
        <v>5thelement.ai</v>
      </c>
      <c r="C55" s="10" t="s">
        <v>153</v>
      </c>
      <c r="D55" s="10" t="s">
        <v>225</v>
      </c>
      <c r="E55" s="10" t="str">
        <f aca="false">INDEX(Canale!$C$2:$C$30,MATCH(C55,Canale!$A$2:$A$30,0))</f>
        <v>x</v>
      </c>
      <c r="F55" s="10" t="str">
        <f aca="false">INDEX(Canale!$D$2:$D$30,MATCH(C55,Canale!$A$2:$A$30,0))</f>
        <v>social</v>
      </c>
      <c r="G55" s="10" t="str">
        <f aca="false">INDEX('Site-uri'!$C$2:$C$20,MATCH(A55,'Site-uri'!$A$2:$A$20,0))</f>
        <v>/</v>
      </c>
      <c r="H55" s="10" t="str">
        <f aca="false">Config!$B$3</f>
        <v>2610_ff_lansare</v>
      </c>
      <c r="I55" s="10" t="str">
        <f aca="false">D55&amp;"_"&amp;Config!$B$4</f>
        <v>cald_general</v>
      </c>
      <c r="J55" s="10" t="str">
        <f aca="false">"https://"&amp;B55&amp;G55&amp;"?utm_source="&amp;E55&amp;"&amp;utm_medium="&amp;F55&amp;"&amp;utm_campaign="&amp;H55&amp;"&amp;utm_content="&amp;I55</f>
        <v>https://5thelement.ai/?utm_source=x&amp;utm_medium=social&amp;utm_campaign=2610_ff_lansare&amp;utm_content=cald_general</v>
      </c>
    </row>
    <row r="56" customFormat="false" ht="15" hidden="false" customHeight="false" outlineLevel="0" collapsed="false">
      <c r="A56" s="10" t="s">
        <v>46</v>
      </c>
      <c r="B56" s="10" t="str">
        <f aca="false">INDEX('Site-uri'!$B$2:$B$20,MATCH(A56,'Site-uri'!$A$2:$A$20,0))</f>
        <v>5thelement.ai</v>
      </c>
      <c r="C56" s="10" t="s">
        <v>153</v>
      </c>
      <c r="D56" s="10" t="s">
        <v>231</v>
      </c>
      <c r="E56" s="10" t="str">
        <f aca="false">INDEX(Canale!$C$2:$C$30,MATCH(C56,Canale!$A$2:$A$30,0))</f>
        <v>x</v>
      </c>
      <c r="F56" s="10" t="str">
        <f aca="false">INDEX(Canale!$D$2:$D$30,MATCH(C56,Canale!$A$2:$A$30,0))</f>
        <v>social</v>
      </c>
      <c r="G56" s="10" t="str">
        <f aca="false">INDEX('Site-uri'!$C$2:$C$20,MATCH(A56,'Site-uri'!$A$2:$A$20,0))</f>
        <v>/</v>
      </c>
      <c r="H56" s="10" t="str">
        <f aca="false">Config!$B$3</f>
        <v>2610_ff_lansare</v>
      </c>
      <c r="I56" s="10" t="str">
        <f aca="false">D56&amp;"_"&amp;Config!$B$4</f>
        <v>fierbinte_general</v>
      </c>
      <c r="J56" s="10" t="str">
        <f aca="false">"https://"&amp;B56&amp;G56&amp;"?utm_source="&amp;E56&amp;"&amp;utm_medium="&amp;F56&amp;"&amp;utm_campaign="&amp;H56&amp;"&amp;utm_content="&amp;I56</f>
        <v>https://5thelement.ai/?utm_source=x&amp;utm_medium=social&amp;utm_campaign=2610_ff_lansare&amp;utm_content=fierbinte_general</v>
      </c>
    </row>
    <row r="57" customFormat="false" ht="15" hidden="false" customHeight="false" outlineLevel="0" collapsed="false">
      <c r="A57" s="10" t="s">
        <v>46</v>
      </c>
      <c r="B57" s="10" t="str">
        <f aca="false">INDEX('Site-uri'!$B$2:$B$20,MATCH(A57,'Site-uri'!$A$2:$A$20,0))</f>
        <v>5thelement.ai</v>
      </c>
      <c r="C57" s="10" t="s">
        <v>153</v>
      </c>
      <c r="D57" s="10" t="s">
        <v>237</v>
      </c>
      <c r="E57" s="10" t="str">
        <f aca="false">INDEX(Canale!$C$2:$C$30,MATCH(C57,Canale!$A$2:$A$30,0))</f>
        <v>x</v>
      </c>
      <c r="F57" s="10" t="str">
        <f aca="false">INDEX(Canale!$D$2:$D$30,MATCH(C57,Canale!$A$2:$A$30,0))</f>
        <v>social</v>
      </c>
      <c r="G57" s="10" t="str">
        <f aca="false">INDEX('Site-uri'!$C$2:$C$20,MATCH(A57,'Site-uri'!$A$2:$A$20,0))</f>
        <v>/</v>
      </c>
      <c r="H57" s="10" t="str">
        <f aca="false">Config!$B$3</f>
        <v>2610_ff_lansare</v>
      </c>
      <c r="I57" s="10" t="str">
        <f aca="false">D57&amp;"_"&amp;Config!$B$4</f>
        <v>client_general</v>
      </c>
      <c r="J57" s="10" t="str">
        <f aca="false">"https://"&amp;B57&amp;G57&amp;"?utm_source="&amp;E57&amp;"&amp;utm_medium="&amp;F57&amp;"&amp;utm_campaign="&amp;H57&amp;"&amp;utm_content="&amp;I57</f>
        <v>https://5thelement.ai/?utm_source=x&amp;utm_medium=social&amp;utm_campaign=2610_ff_lansare&amp;utm_content=client_general</v>
      </c>
    </row>
    <row r="58" customFormat="false" ht="15" hidden="false" customHeight="false" outlineLevel="0" collapsed="false">
      <c r="A58" s="10" t="s">
        <v>46</v>
      </c>
      <c r="B58" s="10" t="str">
        <f aca="false">INDEX('Site-uri'!$B$2:$B$20,MATCH(A58,'Site-uri'!$A$2:$A$20,0))</f>
        <v>5thelement.ai</v>
      </c>
      <c r="C58" s="10" t="s">
        <v>155</v>
      </c>
      <c r="D58" s="10" t="s">
        <v>219</v>
      </c>
      <c r="E58" s="10" t="str">
        <f aca="false">INDEX(Canale!$C$2:$C$30,MATCH(C58,Canale!$A$2:$A$30,0))</f>
        <v>youtube</v>
      </c>
      <c r="F58" s="10" t="str">
        <f aca="false">INDEX(Canale!$D$2:$D$30,MATCH(C58,Canale!$A$2:$A$30,0))</f>
        <v>video</v>
      </c>
      <c r="G58" s="10" t="str">
        <f aca="false">INDEX('Site-uri'!$C$2:$C$20,MATCH(A58,'Site-uri'!$A$2:$A$20,0))</f>
        <v>/</v>
      </c>
      <c r="H58" s="10" t="str">
        <f aca="false">Config!$B$3</f>
        <v>2610_ff_lansare</v>
      </c>
      <c r="I58" s="10" t="str">
        <f aca="false">D58&amp;"_"&amp;Config!$B$4</f>
        <v>rece_general</v>
      </c>
      <c r="J58" s="10" t="str">
        <f aca="false">"https://"&amp;B58&amp;G58&amp;"?utm_source="&amp;E58&amp;"&amp;utm_medium="&amp;F58&amp;"&amp;utm_campaign="&amp;H58&amp;"&amp;utm_content="&amp;I58</f>
        <v>https://5thelement.ai/?utm_source=youtube&amp;utm_medium=video&amp;utm_campaign=2610_ff_lansare&amp;utm_content=rece_general</v>
      </c>
    </row>
    <row r="59" customFormat="false" ht="15" hidden="false" customHeight="false" outlineLevel="0" collapsed="false">
      <c r="A59" s="10" t="s">
        <v>46</v>
      </c>
      <c r="B59" s="10" t="str">
        <f aca="false">INDEX('Site-uri'!$B$2:$B$20,MATCH(A59,'Site-uri'!$A$2:$A$20,0))</f>
        <v>5thelement.ai</v>
      </c>
      <c r="C59" s="10" t="s">
        <v>155</v>
      </c>
      <c r="D59" s="10" t="s">
        <v>225</v>
      </c>
      <c r="E59" s="10" t="str">
        <f aca="false">INDEX(Canale!$C$2:$C$30,MATCH(C59,Canale!$A$2:$A$30,0))</f>
        <v>youtube</v>
      </c>
      <c r="F59" s="10" t="str">
        <f aca="false">INDEX(Canale!$D$2:$D$30,MATCH(C59,Canale!$A$2:$A$30,0))</f>
        <v>video</v>
      </c>
      <c r="G59" s="10" t="str">
        <f aca="false">INDEX('Site-uri'!$C$2:$C$20,MATCH(A59,'Site-uri'!$A$2:$A$20,0))</f>
        <v>/</v>
      </c>
      <c r="H59" s="10" t="str">
        <f aca="false">Config!$B$3</f>
        <v>2610_ff_lansare</v>
      </c>
      <c r="I59" s="10" t="str">
        <f aca="false">D59&amp;"_"&amp;Config!$B$4</f>
        <v>cald_general</v>
      </c>
      <c r="J59" s="10" t="str">
        <f aca="false">"https://"&amp;B59&amp;G59&amp;"?utm_source="&amp;E59&amp;"&amp;utm_medium="&amp;F59&amp;"&amp;utm_campaign="&amp;H59&amp;"&amp;utm_content="&amp;I59</f>
        <v>https://5thelement.ai/?utm_source=youtube&amp;utm_medium=video&amp;utm_campaign=2610_ff_lansare&amp;utm_content=cald_general</v>
      </c>
    </row>
    <row r="60" customFormat="false" ht="15" hidden="false" customHeight="false" outlineLevel="0" collapsed="false">
      <c r="A60" s="10" t="s">
        <v>46</v>
      </c>
      <c r="B60" s="10" t="str">
        <f aca="false">INDEX('Site-uri'!$B$2:$B$20,MATCH(A60,'Site-uri'!$A$2:$A$20,0))</f>
        <v>5thelement.ai</v>
      </c>
      <c r="C60" s="10" t="s">
        <v>155</v>
      </c>
      <c r="D60" s="10" t="s">
        <v>231</v>
      </c>
      <c r="E60" s="10" t="str">
        <f aca="false">INDEX(Canale!$C$2:$C$30,MATCH(C60,Canale!$A$2:$A$30,0))</f>
        <v>youtube</v>
      </c>
      <c r="F60" s="10" t="str">
        <f aca="false">INDEX(Canale!$D$2:$D$30,MATCH(C60,Canale!$A$2:$A$30,0))</f>
        <v>video</v>
      </c>
      <c r="G60" s="10" t="str">
        <f aca="false">INDEX('Site-uri'!$C$2:$C$20,MATCH(A60,'Site-uri'!$A$2:$A$20,0))</f>
        <v>/</v>
      </c>
      <c r="H60" s="10" t="str">
        <f aca="false">Config!$B$3</f>
        <v>2610_ff_lansare</v>
      </c>
      <c r="I60" s="10" t="str">
        <f aca="false">D60&amp;"_"&amp;Config!$B$4</f>
        <v>fierbinte_general</v>
      </c>
      <c r="J60" s="10" t="str">
        <f aca="false">"https://"&amp;B60&amp;G60&amp;"?utm_source="&amp;E60&amp;"&amp;utm_medium="&amp;F60&amp;"&amp;utm_campaign="&amp;H60&amp;"&amp;utm_content="&amp;I60</f>
        <v>https://5thelement.ai/?utm_source=youtube&amp;utm_medium=video&amp;utm_campaign=2610_ff_lansare&amp;utm_content=fierbinte_general</v>
      </c>
    </row>
    <row r="61" customFormat="false" ht="15" hidden="false" customHeight="false" outlineLevel="0" collapsed="false">
      <c r="A61" s="10" t="s">
        <v>46</v>
      </c>
      <c r="B61" s="10" t="str">
        <f aca="false">INDEX('Site-uri'!$B$2:$B$20,MATCH(A61,'Site-uri'!$A$2:$A$20,0))</f>
        <v>5thelement.ai</v>
      </c>
      <c r="C61" s="10" t="s">
        <v>155</v>
      </c>
      <c r="D61" s="10" t="s">
        <v>237</v>
      </c>
      <c r="E61" s="10" t="str">
        <f aca="false">INDEX(Canale!$C$2:$C$30,MATCH(C61,Canale!$A$2:$A$30,0))</f>
        <v>youtube</v>
      </c>
      <c r="F61" s="10" t="str">
        <f aca="false">INDEX(Canale!$D$2:$D$30,MATCH(C61,Canale!$A$2:$A$30,0))</f>
        <v>video</v>
      </c>
      <c r="G61" s="10" t="str">
        <f aca="false">INDEX('Site-uri'!$C$2:$C$20,MATCH(A61,'Site-uri'!$A$2:$A$20,0))</f>
        <v>/</v>
      </c>
      <c r="H61" s="10" t="str">
        <f aca="false">Config!$B$3</f>
        <v>2610_ff_lansare</v>
      </c>
      <c r="I61" s="10" t="str">
        <f aca="false">D61&amp;"_"&amp;Config!$B$4</f>
        <v>client_general</v>
      </c>
      <c r="J61" s="10" t="str">
        <f aca="false">"https://"&amp;B61&amp;G61&amp;"?utm_source="&amp;E61&amp;"&amp;utm_medium="&amp;F61&amp;"&amp;utm_campaign="&amp;H61&amp;"&amp;utm_content="&amp;I61</f>
        <v>https://5thelement.ai/?utm_source=youtube&amp;utm_medium=video&amp;utm_campaign=2610_ff_lansare&amp;utm_content=client_general</v>
      </c>
    </row>
    <row r="62" customFormat="false" ht="15" hidden="false" customHeight="false" outlineLevel="0" collapsed="false">
      <c r="A62" s="10" t="s">
        <v>46</v>
      </c>
      <c r="B62" s="10" t="str">
        <f aca="false">INDEX('Site-uri'!$B$2:$B$20,MATCH(A62,'Site-uri'!$A$2:$A$20,0))</f>
        <v>5thelement.ai</v>
      </c>
      <c r="C62" s="10" t="s">
        <v>160</v>
      </c>
      <c r="D62" s="10" t="s">
        <v>219</v>
      </c>
      <c r="E62" s="10" t="str">
        <f aca="false">INDEX(Canale!$C$2:$C$30,MATCH(C62,Canale!$A$2:$A$30,0))</f>
        <v>medium</v>
      </c>
      <c r="F62" s="10" t="str">
        <f aca="false">INDEX(Canale!$D$2:$D$30,MATCH(C62,Canale!$A$2:$A$30,0))</f>
        <v>content</v>
      </c>
      <c r="G62" s="10" t="str">
        <f aca="false">INDEX('Site-uri'!$C$2:$C$20,MATCH(A62,'Site-uri'!$A$2:$A$20,0))</f>
        <v>/</v>
      </c>
      <c r="H62" s="10" t="str">
        <f aca="false">Config!$B$3</f>
        <v>2610_ff_lansare</v>
      </c>
      <c r="I62" s="10" t="str">
        <f aca="false">D62&amp;"_"&amp;Config!$B$4</f>
        <v>rece_general</v>
      </c>
      <c r="J62" s="10" t="str">
        <f aca="false">"https://"&amp;B62&amp;G62&amp;"?utm_source="&amp;E62&amp;"&amp;utm_medium="&amp;F62&amp;"&amp;utm_campaign="&amp;H62&amp;"&amp;utm_content="&amp;I62</f>
        <v>https://5thelement.ai/?utm_source=medium&amp;utm_medium=content&amp;utm_campaign=2610_ff_lansare&amp;utm_content=rece_general</v>
      </c>
    </row>
    <row r="63" customFormat="false" ht="15" hidden="false" customHeight="false" outlineLevel="0" collapsed="false">
      <c r="A63" s="10" t="s">
        <v>46</v>
      </c>
      <c r="B63" s="10" t="str">
        <f aca="false">INDEX('Site-uri'!$B$2:$B$20,MATCH(A63,'Site-uri'!$A$2:$A$20,0))</f>
        <v>5thelement.ai</v>
      </c>
      <c r="C63" s="10" t="s">
        <v>160</v>
      </c>
      <c r="D63" s="10" t="s">
        <v>225</v>
      </c>
      <c r="E63" s="10" t="str">
        <f aca="false">INDEX(Canale!$C$2:$C$30,MATCH(C63,Canale!$A$2:$A$30,0))</f>
        <v>medium</v>
      </c>
      <c r="F63" s="10" t="str">
        <f aca="false">INDEX(Canale!$D$2:$D$30,MATCH(C63,Canale!$A$2:$A$30,0))</f>
        <v>content</v>
      </c>
      <c r="G63" s="10" t="str">
        <f aca="false">INDEX('Site-uri'!$C$2:$C$20,MATCH(A63,'Site-uri'!$A$2:$A$20,0))</f>
        <v>/</v>
      </c>
      <c r="H63" s="10" t="str">
        <f aca="false">Config!$B$3</f>
        <v>2610_ff_lansare</v>
      </c>
      <c r="I63" s="10" t="str">
        <f aca="false">D63&amp;"_"&amp;Config!$B$4</f>
        <v>cald_general</v>
      </c>
      <c r="J63" s="10" t="str">
        <f aca="false">"https://"&amp;B63&amp;G63&amp;"?utm_source="&amp;E63&amp;"&amp;utm_medium="&amp;F63&amp;"&amp;utm_campaign="&amp;H63&amp;"&amp;utm_content="&amp;I63</f>
        <v>https://5thelement.ai/?utm_source=medium&amp;utm_medium=content&amp;utm_campaign=2610_ff_lansare&amp;utm_content=cald_general</v>
      </c>
    </row>
    <row r="64" customFormat="false" ht="15" hidden="false" customHeight="false" outlineLevel="0" collapsed="false">
      <c r="A64" s="10" t="s">
        <v>46</v>
      </c>
      <c r="B64" s="10" t="str">
        <f aca="false">INDEX('Site-uri'!$B$2:$B$20,MATCH(A64,'Site-uri'!$A$2:$A$20,0))</f>
        <v>5thelement.ai</v>
      </c>
      <c r="C64" s="10" t="s">
        <v>160</v>
      </c>
      <c r="D64" s="10" t="s">
        <v>231</v>
      </c>
      <c r="E64" s="10" t="str">
        <f aca="false">INDEX(Canale!$C$2:$C$30,MATCH(C64,Canale!$A$2:$A$30,0))</f>
        <v>medium</v>
      </c>
      <c r="F64" s="10" t="str">
        <f aca="false">INDEX(Canale!$D$2:$D$30,MATCH(C64,Canale!$A$2:$A$30,0))</f>
        <v>content</v>
      </c>
      <c r="G64" s="10" t="str">
        <f aca="false">INDEX('Site-uri'!$C$2:$C$20,MATCH(A64,'Site-uri'!$A$2:$A$20,0))</f>
        <v>/</v>
      </c>
      <c r="H64" s="10" t="str">
        <f aca="false">Config!$B$3</f>
        <v>2610_ff_lansare</v>
      </c>
      <c r="I64" s="10" t="str">
        <f aca="false">D64&amp;"_"&amp;Config!$B$4</f>
        <v>fierbinte_general</v>
      </c>
      <c r="J64" s="10" t="str">
        <f aca="false">"https://"&amp;B64&amp;G64&amp;"?utm_source="&amp;E64&amp;"&amp;utm_medium="&amp;F64&amp;"&amp;utm_campaign="&amp;H64&amp;"&amp;utm_content="&amp;I64</f>
        <v>https://5thelement.ai/?utm_source=medium&amp;utm_medium=content&amp;utm_campaign=2610_ff_lansare&amp;utm_content=fierbinte_general</v>
      </c>
    </row>
    <row r="65" customFormat="false" ht="15" hidden="false" customHeight="false" outlineLevel="0" collapsed="false">
      <c r="A65" s="10" t="s">
        <v>46</v>
      </c>
      <c r="B65" s="10" t="str">
        <f aca="false">INDEX('Site-uri'!$B$2:$B$20,MATCH(A65,'Site-uri'!$A$2:$A$20,0))</f>
        <v>5thelement.ai</v>
      </c>
      <c r="C65" s="10" t="s">
        <v>160</v>
      </c>
      <c r="D65" s="10" t="s">
        <v>237</v>
      </c>
      <c r="E65" s="10" t="str">
        <f aca="false">INDEX(Canale!$C$2:$C$30,MATCH(C65,Canale!$A$2:$A$30,0))</f>
        <v>medium</v>
      </c>
      <c r="F65" s="10" t="str">
        <f aca="false">INDEX(Canale!$D$2:$D$30,MATCH(C65,Canale!$A$2:$A$30,0))</f>
        <v>content</v>
      </c>
      <c r="G65" s="10" t="str">
        <f aca="false">INDEX('Site-uri'!$C$2:$C$20,MATCH(A65,'Site-uri'!$A$2:$A$20,0))</f>
        <v>/</v>
      </c>
      <c r="H65" s="10" t="str">
        <f aca="false">Config!$B$3</f>
        <v>2610_ff_lansare</v>
      </c>
      <c r="I65" s="10" t="str">
        <f aca="false">D65&amp;"_"&amp;Config!$B$4</f>
        <v>client_general</v>
      </c>
      <c r="J65" s="10" t="str">
        <f aca="false">"https://"&amp;B65&amp;G65&amp;"?utm_source="&amp;E65&amp;"&amp;utm_medium="&amp;F65&amp;"&amp;utm_campaign="&amp;H65&amp;"&amp;utm_content="&amp;I65</f>
        <v>https://5thelement.ai/?utm_source=medium&amp;utm_medium=content&amp;utm_campaign=2610_ff_lansare&amp;utm_content=client_general</v>
      </c>
    </row>
    <row r="66" customFormat="false" ht="15" hidden="false" customHeight="false" outlineLevel="0" collapsed="false">
      <c r="A66" s="10" t="s">
        <v>46</v>
      </c>
      <c r="B66" s="10" t="str">
        <f aca="false">INDEX('Site-uri'!$B$2:$B$20,MATCH(A66,'Site-uri'!$A$2:$A$20,0))</f>
        <v>5thelement.ai</v>
      </c>
      <c r="C66" s="10" t="s">
        <v>165</v>
      </c>
      <c r="D66" s="10" t="s">
        <v>219</v>
      </c>
      <c r="E66" s="10" t="str">
        <f aca="false">INDEX(Canale!$C$2:$C$30,MATCH(C66,Canale!$A$2:$A$30,0))</f>
        <v>crunchbase</v>
      </c>
      <c r="F66" s="10" t="str">
        <f aca="false">INDEX(Canale!$D$2:$D$30,MATCH(C66,Canale!$A$2:$A$30,0))</f>
        <v>referral</v>
      </c>
      <c r="G66" s="10" t="str">
        <f aca="false">INDEX('Site-uri'!$C$2:$C$20,MATCH(A66,'Site-uri'!$A$2:$A$20,0))</f>
        <v>/</v>
      </c>
      <c r="H66" s="10" t="str">
        <f aca="false">Config!$B$3</f>
        <v>2610_ff_lansare</v>
      </c>
      <c r="I66" s="10" t="str">
        <f aca="false">D66&amp;"_"&amp;Config!$B$4</f>
        <v>rece_general</v>
      </c>
      <c r="J66" s="10" t="str">
        <f aca="false">"https://"&amp;B66&amp;G66&amp;"?utm_source="&amp;E66&amp;"&amp;utm_medium="&amp;F66&amp;"&amp;utm_campaign="&amp;H66&amp;"&amp;utm_content="&amp;I66</f>
        <v>https://5thelement.ai/?utm_source=crunchbase&amp;utm_medium=referral&amp;utm_campaign=2610_ff_lansare&amp;utm_content=rece_general</v>
      </c>
    </row>
    <row r="67" customFormat="false" ht="15" hidden="false" customHeight="false" outlineLevel="0" collapsed="false">
      <c r="A67" s="10" t="s">
        <v>46</v>
      </c>
      <c r="B67" s="10" t="str">
        <f aca="false">INDEX('Site-uri'!$B$2:$B$20,MATCH(A67,'Site-uri'!$A$2:$A$20,0))</f>
        <v>5thelement.ai</v>
      </c>
      <c r="C67" s="10" t="s">
        <v>165</v>
      </c>
      <c r="D67" s="10" t="s">
        <v>225</v>
      </c>
      <c r="E67" s="10" t="str">
        <f aca="false">INDEX(Canale!$C$2:$C$30,MATCH(C67,Canale!$A$2:$A$30,0))</f>
        <v>crunchbase</v>
      </c>
      <c r="F67" s="10" t="str">
        <f aca="false">INDEX(Canale!$D$2:$D$30,MATCH(C67,Canale!$A$2:$A$30,0))</f>
        <v>referral</v>
      </c>
      <c r="G67" s="10" t="str">
        <f aca="false">INDEX('Site-uri'!$C$2:$C$20,MATCH(A67,'Site-uri'!$A$2:$A$20,0))</f>
        <v>/</v>
      </c>
      <c r="H67" s="10" t="str">
        <f aca="false">Config!$B$3</f>
        <v>2610_ff_lansare</v>
      </c>
      <c r="I67" s="10" t="str">
        <f aca="false">D67&amp;"_"&amp;Config!$B$4</f>
        <v>cald_general</v>
      </c>
      <c r="J67" s="10" t="str">
        <f aca="false">"https://"&amp;B67&amp;G67&amp;"?utm_source="&amp;E67&amp;"&amp;utm_medium="&amp;F67&amp;"&amp;utm_campaign="&amp;H67&amp;"&amp;utm_content="&amp;I67</f>
        <v>https://5thelement.ai/?utm_source=crunchbase&amp;utm_medium=referral&amp;utm_campaign=2610_ff_lansare&amp;utm_content=cald_general</v>
      </c>
    </row>
    <row r="68" customFormat="false" ht="15" hidden="false" customHeight="false" outlineLevel="0" collapsed="false">
      <c r="A68" s="10" t="s">
        <v>46</v>
      </c>
      <c r="B68" s="10" t="str">
        <f aca="false">INDEX('Site-uri'!$B$2:$B$20,MATCH(A68,'Site-uri'!$A$2:$A$20,0))</f>
        <v>5thelement.ai</v>
      </c>
      <c r="C68" s="10" t="s">
        <v>165</v>
      </c>
      <c r="D68" s="10" t="s">
        <v>231</v>
      </c>
      <c r="E68" s="10" t="str">
        <f aca="false">INDEX(Canale!$C$2:$C$30,MATCH(C68,Canale!$A$2:$A$30,0))</f>
        <v>crunchbase</v>
      </c>
      <c r="F68" s="10" t="str">
        <f aca="false">INDEX(Canale!$D$2:$D$30,MATCH(C68,Canale!$A$2:$A$30,0))</f>
        <v>referral</v>
      </c>
      <c r="G68" s="10" t="str">
        <f aca="false">INDEX('Site-uri'!$C$2:$C$20,MATCH(A68,'Site-uri'!$A$2:$A$20,0))</f>
        <v>/</v>
      </c>
      <c r="H68" s="10" t="str">
        <f aca="false">Config!$B$3</f>
        <v>2610_ff_lansare</v>
      </c>
      <c r="I68" s="10" t="str">
        <f aca="false">D68&amp;"_"&amp;Config!$B$4</f>
        <v>fierbinte_general</v>
      </c>
      <c r="J68" s="10" t="str">
        <f aca="false">"https://"&amp;B68&amp;G68&amp;"?utm_source="&amp;E68&amp;"&amp;utm_medium="&amp;F68&amp;"&amp;utm_campaign="&amp;H68&amp;"&amp;utm_content="&amp;I68</f>
        <v>https://5thelement.ai/?utm_source=crunchbase&amp;utm_medium=referral&amp;utm_campaign=2610_ff_lansare&amp;utm_content=fierbinte_general</v>
      </c>
    </row>
    <row r="69" customFormat="false" ht="15" hidden="false" customHeight="false" outlineLevel="0" collapsed="false">
      <c r="A69" s="10" t="s">
        <v>46</v>
      </c>
      <c r="B69" s="10" t="str">
        <f aca="false">INDEX('Site-uri'!$B$2:$B$20,MATCH(A69,'Site-uri'!$A$2:$A$20,0))</f>
        <v>5thelement.ai</v>
      </c>
      <c r="C69" s="10" t="s">
        <v>165</v>
      </c>
      <c r="D69" s="10" t="s">
        <v>237</v>
      </c>
      <c r="E69" s="10" t="str">
        <f aca="false">INDEX(Canale!$C$2:$C$30,MATCH(C69,Canale!$A$2:$A$30,0))</f>
        <v>crunchbase</v>
      </c>
      <c r="F69" s="10" t="str">
        <f aca="false">INDEX(Canale!$D$2:$D$30,MATCH(C69,Canale!$A$2:$A$30,0))</f>
        <v>referral</v>
      </c>
      <c r="G69" s="10" t="str">
        <f aca="false">INDEX('Site-uri'!$C$2:$C$20,MATCH(A69,'Site-uri'!$A$2:$A$20,0))</f>
        <v>/</v>
      </c>
      <c r="H69" s="10" t="str">
        <f aca="false">Config!$B$3</f>
        <v>2610_ff_lansare</v>
      </c>
      <c r="I69" s="10" t="str">
        <f aca="false">D69&amp;"_"&amp;Config!$B$4</f>
        <v>client_general</v>
      </c>
      <c r="J69" s="10" t="str">
        <f aca="false">"https://"&amp;B69&amp;G69&amp;"?utm_source="&amp;E69&amp;"&amp;utm_medium="&amp;F69&amp;"&amp;utm_campaign="&amp;H69&amp;"&amp;utm_content="&amp;I69</f>
        <v>https://5thelement.ai/?utm_source=crunchbase&amp;utm_medium=referral&amp;utm_campaign=2610_ff_lansare&amp;utm_content=client_general</v>
      </c>
    </row>
    <row r="70" customFormat="false" ht="15" hidden="false" customHeight="false" outlineLevel="0" collapsed="false">
      <c r="A70" s="10" t="s">
        <v>46</v>
      </c>
      <c r="B70" s="10" t="str">
        <f aca="false">INDEX('Site-uri'!$B$2:$B$20,MATCH(A70,'Site-uri'!$A$2:$A$20,0))</f>
        <v>5thelement.ai</v>
      </c>
      <c r="C70" s="10" t="s">
        <v>170</v>
      </c>
      <c r="D70" s="10" t="s">
        <v>219</v>
      </c>
      <c r="E70" s="10" t="str">
        <f aca="false">INDEX(Canale!$C$2:$C$30,MATCH(C70,Canale!$A$2:$A$30,0))</f>
        <v>zenodo</v>
      </c>
      <c r="F70" s="10" t="str">
        <f aca="false">INDEX(Canale!$D$2:$D$30,MATCH(C70,Canale!$A$2:$A$30,0))</f>
        <v>referral</v>
      </c>
      <c r="G70" s="10" t="str">
        <f aca="false">INDEX('Site-uri'!$C$2:$C$20,MATCH(A70,'Site-uri'!$A$2:$A$20,0))</f>
        <v>/</v>
      </c>
      <c r="H70" s="10" t="str">
        <f aca="false">Config!$B$3</f>
        <v>2610_ff_lansare</v>
      </c>
      <c r="I70" s="10" t="str">
        <f aca="false">D70&amp;"_"&amp;Config!$B$4</f>
        <v>rece_general</v>
      </c>
      <c r="J70" s="10" t="str">
        <f aca="false">"https://"&amp;B70&amp;G70&amp;"?utm_source="&amp;E70&amp;"&amp;utm_medium="&amp;F70&amp;"&amp;utm_campaign="&amp;H70&amp;"&amp;utm_content="&amp;I70</f>
        <v>https://5thelement.ai/?utm_source=zenodo&amp;utm_medium=referral&amp;utm_campaign=2610_ff_lansare&amp;utm_content=rece_general</v>
      </c>
    </row>
    <row r="71" customFormat="false" ht="15" hidden="false" customHeight="false" outlineLevel="0" collapsed="false">
      <c r="A71" s="10" t="s">
        <v>46</v>
      </c>
      <c r="B71" s="10" t="str">
        <f aca="false">INDEX('Site-uri'!$B$2:$B$20,MATCH(A71,'Site-uri'!$A$2:$A$20,0))</f>
        <v>5thelement.ai</v>
      </c>
      <c r="C71" s="10" t="s">
        <v>170</v>
      </c>
      <c r="D71" s="10" t="s">
        <v>225</v>
      </c>
      <c r="E71" s="10" t="str">
        <f aca="false">INDEX(Canale!$C$2:$C$30,MATCH(C71,Canale!$A$2:$A$30,0))</f>
        <v>zenodo</v>
      </c>
      <c r="F71" s="10" t="str">
        <f aca="false">INDEX(Canale!$D$2:$D$30,MATCH(C71,Canale!$A$2:$A$30,0))</f>
        <v>referral</v>
      </c>
      <c r="G71" s="10" t="str">
        <f aca="false">INDEX('Site-uri'!$C$2:$C$20,MATCH(A71,'Site-uri'!$A$2:$A$20,0))</f>
        <v>/</v>
      </c>
      <c r="H71" s="10" t="str">
        <f aca="false">Config!$B$3</f>
        <v>2610_ff_lansare</v>
      </c>
      <c r="I71" s="10" t="str">
        <f aca="false">D71&amp;"_"&amp;Config!$B$4</f>
        <v>cald_general</v>
      </c>
      <c r="J71" s="10" t="str">
        <f aca="false">"https://"&amp;B71&amp;G71&amp;"?utm_source="&amp;E71&amp;"&amp;utm_medium="&amp;F71&amp;"&amp;utm_campaign="&amp;H71&amp;"&amp;utm_content="&amp;I71</f>
        <v>https://5thelement.ai/?utm_source=zenodo&amp;utm_medium=referral&amp;utm_campaign=2610_ff_lansare&amp;utm_content=cald_general</v>
      </c>
    </row>
    <row r="72" customFormat="false" ht="15" hidden="false" customHeight="false" outlineLevel="0" collapsed="false">
      <c r="A72" s="10" t="s">
        <v>46</v>
      </c>
      <c r="B72" s="10" t="str">
        <f aca="false">INDEX('Site-uri'!$B$2:$B$20,MATCH(A72,'Site-uri'!$A$2:$A$20,0))</f>
        <v>5thelement.ai</v>
      </c>
      <c r="C72" s="10" t="s">
        <v>170</v>
      </c>
      <c r="D72" s="10" t="s">
        <v>231</v>
      </c>
      <c r="E72" s="10" t="str">
        <f aca="false">INDEX(Canale!$C$2:$C$30,MATCH(C72,Canale!$A$2:$A$30,0))</f>
        <v>zenodo</v>
      </c>
      <c r="F72" s="10" t="str">
        <f aca="false">INDEX(Canale!$D$2:$D$30,MATCH(C72,Canale!$A$2:$A$30,0))</f>
        <v>referral</v>
      </c>
      <c r="G72" s="10" t="str">
        <f aca="false">INDEX('Site-uri'!$C$2:$C$20,MATCH(A72,'Site-uri'!$A$2:$A$20,0))</f>
        <v>/</v>
      </c>
      <c r="H72" s="10" t="str">
        <f aca="false">Config!$B$3</f>
        <v>2610_ff_lansare</v>
      </c>
      <c r="I72" s="10" t="str">
        <f aca="false">D72&amp;"_"&amp;Config!$B$4</f>
        <v>fierbinte_general</v>
      </c>
      <c r="J72" s="10" t="str">
        <f aca="false">"https://"&amp;B72&amp;G72&amp;"?utm_source="&amp;E72&amp;"&amp;utm_medium="&amp;F72&amp;"&amp;utm_campaign="&amp;H72&amp;"&amp;utm_content="&amp;I72</f>
        <v>https://5thelement.ai/?utm_source=zenodo&amp;utm_medium=referral&amp;utm_campaign=2610_ff_lansare&amp;utm_content=fierbinte_general</v>
      </c>
    </row>
    <row r="73" customFormat="false" ht="15" hidden="false" customHeight="false" outlineLevel="0" collapsed="false">
      <c r="A73" s="10" t="s">
        <v>46</v>
      </c>
      <c r="B73" s="10" t="str">
        <f aca="false">INDEX('Site-uri'!$B$2:$B$20,MATCH(A73,'Site-uri'!$A$2:$A$20,0))</f>
        <v>5thelement.ai</v>
      </c>
      <c r="C73" s="10" t="s">
        <v>170</v>
      </c>
      <c r="D73" s="10" t="s">
        <v>237</v>
      </c>
      <c r="E73" s="10" t="str">
        <f aca="false">INDEX(Canale!$C$2:$C$30,MATCH(C73,Canale!$A$2:$A$30,0))</f>
        <v>zenodo</v>
      </c>
      <c r="F73" s="10" t="str">
        <f aca="false">INDEX(Canale!$D$2:$D$30,MATCH(C73,Canale!$A$2:$A$30,0))</f>
        <v>referral</v>
      </c>
      <c r="G73" s="10" t="str">
        <f aca="false">INDEX('Site-uri'!$C$2:$C$20,MATCH(A73,'Site-uri'!$A$2:$A$20,0))</f>
        <v>/</v>
      </c>
      <c r="H73" s="10" t="str">
        <f aca="false">Config!$B$3</f>
        <v>2610_ff_lansare</v>
      </c>
      <c r="I73" s="10" t="str">
        <f aca="false">D73&amp;"_"&amp;Config!$B$4</f>
        <v>client_general</v>
      </c>
      <c r="J73" s="10" t="str">
        <f aca="false">"https://"&amp;B73&amp;G73&amp;"?utm_source="&amp;E73&amp;"&amp;utm_medium="&amp;F73&amp;"&amp;utm_campaign="&amp;H73&amp;"&amp;utm_content="&amp;I73</f>
        <v>https://5thelement.ai/?utm_source=zenodo&amp;utm_medium=referral&amp;utm_campaign=2610_ff_lansare&amp;utm_content=client_general</v>
      </c>
    </row>
    <row r="74" customFormat="false" ht="15" hidden="false" customHeight="false" outlineLevel="0" collapsed="false">
      <c r="A74" s="10" t="s">
        <v>46</v>
      </c>
      <c r="B74" s="10" t="str">
        <f aca="false">INDEX('Site-uri'!$B$2:$B$20,MATCH(A74,'Site-uri'!$A$2:$A$20,0))</f>
        <v>5thelement.ai</v>
      </c>
      <c r="C74" s="10" t="s">
        <v>173</v>
      </c>
      <c r="D74" s="10" t="s">
        <v>219</v>
      </c>
      <c r="E74" s="10" t="str">
        <f aca="false">INDEX(Canale!$C$2:$C$30,MATCH(C74,Canale!$A$2:$A$30,0))</f>
        <v>orcid</v>
      </c>
      <c r="F74" s="10" t="str">
        <f aca="false">INDEX(Canale!$D$2:$D$30,MATCH(C74,Canale!$A$2:$A$30,0))</f>
        <v>referral</v>
      </c>
      <c r="G74" s="10" t="str">
        <f aca="false">INDEX('Site-uri'!$C$2:$C$20,MATCH(A74,'Site-uri'!$A$2:$A$20,0))</f>
        <v>/</v>
      </c>
      <c r="H74" s="10" t="str">
        <f aca="false">Config!$B$3</f>
        <v>2610_ff_lansare</v>
      </c>
      <c r="I74" s="10" t="str">
        <f aca="false">D74&amp;"_"&amp;Config!$B$4</f>
        <v>rece_general</v>
      </c>
      <c r="J74" s="10" t="str">
        <f aca="false">"https://"&amp;B74&amp;G74&amp;"?utm_source="&amp;E74&amp;"&amp;utm_medium="&amp;F74&amp;"&amp;utm_campaign="&amp;H74&amp;"&amp;utm_content="&amp;I74</f>
        <v>https://5thelement.ai/?utm_source=orcid&amp;utm_medium=referral&amp;utm_campaign=2610_ff_lansare&amp;utm_content=rece_general</v>
      </c>
    </row>
    <row r="75" customFormat="false" ht="15" hidden="false" customHeight="false" outlineLevel="0" collapsed="false">
      <c r="A75" s="10" t="s">
        <v>46</v>
      </c>
      <c r="B75" s="10" t="str">
        <f aca="false">INDEX('Site-uri'!$B$2:$B$20,MATCH(A75,'Site-uri'!$A$2:$A$20,0))</f>
        <v>5thelement.ai</v>
      </c>
      <c r="C75" s="10" t="s">
        <v>173</v>
      </c>
      <c r="D75" s="10" t="s">
        <v>225</v>
      </c>
      <c r="E75" s="10" t="str">
        <f aca="false">INDEX(Canale!$C$2:$C$30,MATCH(C75,Canale!$A$2:$A$30,0))</f>
        <v>orcid</v>
      </c>
      <c r="F75" s="10" t="str">
        <f aca="false">INDEX(Canale!$D$2:$D$30,MATCH(C75,Canale!$A$2:$A$30,0))</f>
        <v>referral</v>
      </c>
      <c r="G75" s="10" t="str">
        <f aca="false">INDEX('Site-uri'!$C$2:$C$20,MATCH(A75,'Site-uri'!$A$2:$A$20,0))</f>
        <v>/</v>
      </c>
      <c r="H75" s="10" t="str">
        <f aca="false">Config!$B$3</f>
        <v>2610_ff_lansare</v>
      </c>
      <c r="I75" s="10" t="str">
        <f aca="false">D75&amp;"_"&amp;Config!$B$4</f>
        <v>cald_general</v>
      </c>
      <c r="J75" s="10" t="str">
        <f aca="false">"https://"&amp;B75&amp;G75&amp;"?utm_source="&amp;E75&amp;"&amp;utm_medium="&amp;F75&amp;"&amp;utm_campaign="&amp;H75&amp;"&amp;utm_content="&amp;I75</f>
        <v>https://5thelement.ai/?utm_source=orcid&amp;utm_medium=referral&amp;utm_campaign=2610_ff_lansare&amp;utm_content=cald_general</v>
      </c>
    </row>
    <row r="76" customFormat="false" ht="15" hidden="false" customHeight="false" outlineLevel="0" collapsed="false">
      <c r="A76" s="10" t="s">
        <v>46</v>
      </c>
      <c r="B76" s="10" t="str">
        <f aca="false">INDEX('Site-uri'!$B$2:$B$20,MATCH(A76,'Site-uri'!$A$2:$A$20,0))</f>
        <v>5thelement.ai</v>
      </c>
      <c r="C76" s="10" t="s">
        <v>173</v>
      </c>
      <c r="D76" s="10" t="s">
        <v>231</v>
      </c>
      <c r="E76" s="10" t="str">
        <f aca="false">INDEX(Canale!$C$2:$C$30,MATCH(C76,Canale!$A$2:$A$30,0))</f>
        <v>orcid</v>
      </c>
      <c r="F76" s="10" t="str">
        <f aca="false">INDEX(Canale!$D$2:$D$30,MATCH(C76,Canale!$A$2:$A$30,0))</f>
        <v>referral</v>
      </c>
      <c r="G76" s="10" t="str">
        <f aca="false">INDEX('Site-uri'!$C$2:$C$20,MATCH(A76,'Site-uri'!$A$2:$A$20,0))</f>
        <v>/</v>
      </c>
      <c r="H76" s="10" t="str">
        <f aca="false">Config!$B$3</f>
        <v>2610_ff_lansare</v>
      </c>
      <c r="I76" s="10" t="str">
        <f aca="false">D76&amp;"_"&amp;Config!$B$4</f>
        <v>fierbinte_general</v>
      </c>
      <c r="J76" s="10" t="str">
        <f aca="false">"https://"&amp;B76&amp;G76&amp;"?utm_source="&amp;E76&amp;"&amp;utm_medium="&amp;F76&amp;"&amp;utm_campaign="&amp;H76&amp;"&amp;utm_content="&amp;I76</f>
        <v>https://5thelement.ai/?utm_source=orcid&amp;utm_medium=referral&amp;utm_campaign=2610_ff_lansare&amp;utm_content=fierbinte_general</v>
      </c>
    </row>
    <row r="77" customFormat="false" ht="15" hidden="false" customHeight="false" outlineLevel="0" collapsed="false">
      <c r="A77" s="10" t="s">
        <v>46</v>
      </c>
      <c r="B77" s="10" t="str">
        <f aca="false">INDEX('Site-uri'!$B$2:$B$20,MATCH(A77,'Site-uri'!$A$2:$A$20,0))</f>
        <v>5thelement.ai</v>
      </c>
      <c r="C77" s="10" t="s">
        <v>173</v>
      </c>
      <c r="D77" s="10" t="s">
        <v>237</v>
      </c>
      <c r="E77" s="10" t="str">
        <f aca="false">INDEX(Canale!$C$2:$C$30,MATCH(C77,Canale!$A$2:$A$30,0))</f>
        <v>orcid</v>
      </c>
      <c r="F77" s="10" t="str">
        <f aca="false">INDEX(Canale!$D$2:$D$30,MATCH(C77,Canale!$A$2:$A$30,0))</f>
        <v>referral</v>
      </c>
      <c r="G77" s="10" t="str">
        <f aca="false">INDEX('Site-uri'!$C$2:$C$20,MATCH(A77,'Site-uri'!$A$2:$A$20,0))</f>
        <v>/</v>
      </c>
      <c r="H77" s="10" t="str">
        <f aca="false">Config!$B$3</f>
        <v>2610_ff_lansare</v>
      </c>
      <c r="I77" s="10" t="str">
        <f aca="false">D77&amp;"_"&amp;Config!$B$4</f>
        <v>client_general</v>
      </c>
      <c r="J77" s="10" t="str">
        <f aca="false">"https://"&amp;B77&amp;G77&amp;"?utm_source="&amp;E77&amp;"&amp;utm_medium="&amp;F77&amp;"&amp;utm_campaign="&amp;H77&amp;"&amp;utm_content="&amp;I77</f>
        <v>https://5thelement.ai/?utm_source=orcid&amp;utm_medium=referral&amp;utm_campaign=2610_ff_lansare&amp;utm_content=client_general</v>
      </c>
    </row>
    <row r="78" customFormat="false" ht="15" hidden="false" customHeight="false" outlineLevel="0" collapsed="false">
      <c r="A78" s="10" t="s">
        <v>46</v>
      </c>
      <c r="B78" s="10" t="str">
        <f aca="false">INDEX('Site-uri'!$B$2:$B$20,MATCH(A78,'Site-uri'!$A$2:$A$20,0))</f>
        <v>5thelement.ai</v>
      </c>
      <c r="C78" s="10" t="s">
        <v>176</v>
      </c>
      <c r="D78" s="10" t="s">
        <v>219</v>
      </c>
      <c r="E78" s="10" t="str">
        <f aca="false">INDEX(Canale!$C$2:$C$30,MATCH(C78,Canale!$A$2:$A$30,0))</f>
        <v>github</v>
      </c>
      <c r="F78" s="10" t="str">
        <f aca="false">INDEX(Canale!$D$2:$D$30,MATCH(C78,Canale!$A$2:$A$30,0))</f>
        <v>referral</v>
      </c>
      <c r="G78" s="10" t="str">
        <f aca="false">INDEX('Site-uri'!$C$2:$C$20,MATCH(A78,'Site-uri'!$A$2:$A$20,0))</f>
        <v>/</v>
      </c>
      <c r="H78" s="10" t="str">
        <f aca="false">Config!$B$3</f>
        <v>2610_ff_lansare</v>
      </c>
      <c r="I78" s="10" t="str">
        <f aca="false">D78&amp;"_"&amp;Config!$B$4</f>
        <v>rece_general</v>
      </c>
      <c r="J78" s="10" t="str">
        <f aca="false">"https://"&amp;B78&amp;G78&amp;"?utm_source="&amp;E78&amp;"&amp;utm_medium="&amp;F78&amp;"&amp;utm_campaign="&amp;H78&amp;"&amp;utm_content="&amp;I78</f>
        <v>https://5thelement.ai/?utm_source=github&amp;utm_medium=referral&amp;utm_campaign=2610_ff_lansare&amp;utm_content=rece_general</v>
      </c>
    </row>
    <row r="79" customFormat="false" ht="15" hidden="false" customHeight="false" outlineLevel="0" collapsed="false">
      <c r="A79" s="10" t="s">
        <v>46</v>
      </c>
      <c r="B79" s="10" t="str">
        <f aca="false">INDEX('Site-uri'!$B$2:$B$20,MATCH(A79,'Site-uri'!$A$2:$A$20,0))</f>
        <v>5thelement.ai</v>
      </c>
      <c r="C79" s="10" t="s">
        <v>176</v>
      </c>
      <c r="D79" s="10" t="s">
        <v>225</v>
      </c>
      <c r="E79" s="10" t="str">
        <f aca="false">INDEX(Canale!$C$2:$C$30,MATCH(C79,Canale!$A$2:$A$30,0))</f>
        <v>github</v>
      </c>
      <c r="F79" s="10" t="str">
        <f aca="false">INDEX(Canale!$D$2:$D$30,MATCH(C79,Canale!$A$2:$A$30,0))</f>
        <v>referral</v>
      </c>
      <c r="G79" s="10" t="str">
        <f aca="false">INDEX('Site-uri'!$C$2:$C$20,MATCH(A79,'Site-uri'!$A$2:$A$20,0))</f>
        <v>/</v>
      </c>
      <c r="H79" s="10" t="str">
        <f aca="false">Config!$B$3</f>
        <v>2610_ff_lansare</v>
      </c>
      <c r="I79" s="10" t="str">
        <f aca="false">D79&amp;"_"&amp;Config!$B$4</f>
        <v>cald_general</v>
      </c>
      <c r="J79" s="10" t="str">
        <f aca="false">"https://"&amp;B79&amp;G79&amp;"?utm_source="&amp;E79&amp;"&amp;utm_medium="&amp;F79&amp;"&amp;utm_campaign="&amp;H79&amp;"&amp;utm_content="&amp;I79</f>
        <v>https://5thelement.ai/?utm_source=github&amp;utm_medium=referral&amp;utm_campaign=2610_ff_lansare&amp;utm_content=cald_general</v>
      </c>
    </row>
    <row r="80" customFormat="false" ht="15" hidden="false" customHeight="false" outlineLevel="0" collapsed="false">
      <c r="A80" s="10" t="s">
        <v>46</v>
      </c>
      <c r="B80" s="10" t="str">
        <f aca="false">INDEX('Site-uri'!$B$2:$B$20,MATCH(A80,'Site-uri'!$A$2:$A$20,0))</f>
        <v>5thelement.ai</v>
      </c>
      <c r="C80" s="10" t="s">
        <v>176</v>
      </c>
      <c r="D80" s="10" t="s">
        <v>231</v>
      </c>
      <c r="E80" s="10" t="str">
        <f aca="false">INDEX(Canale!$C$2:$C$30,MATCH(C80,Canale!$A$2:$A$30,0))</f>
        <v>github</v>
      </c>
      <c r="F80" s="10" t="str">
        <f aca="false">INDEX(Canale!$D$2:$D$30,MATCH(C80,Canale!$A$2:$A$30,0))</f>
        <v>referral</v>
      </c>
      <c r="G80" s="10" t="str">
        <f aca="false">INDEX('Site-uri'!$C$2:$C$20,MATCH(A80,'Site-uri'!$A$2:$A$20,0))</f>
        <v>/</v>
      </c>
      <c r="H80" s="10" t="str">
        <f aca="false">Config!$B$3</f>
        <v>2610_ff_lansare</v>
      </c>
      <c r="I80" s="10" t="str">
        <f aca="false">D80&amp;"_"&amp;Config!$B$4</f>
        <v>fierbinte_general</v>
      </c>
      <c r="J80" s="10" t="str">
        <f aca="false">"https://"&amp;B80&amp;G80&amp;"?utm_source="&amp;E80&amp;"&amp;utm_medium="&amp;F80&amp;"&amp;utm_campaign="&amp;H80&amp;"&amp;utm_content="&amp;I80</f>
        <v>https://5thelement.ai/?utm_source=github&amp;utm_medium=referral&amp;utm_campaign=2610_ff_lansare&amp;utm_content=fierbinte_general</v>
      </c>
    </row>
    <row r="81" customFormat="false" ht="15" hidden="false" customHeight="false" outlineLevel="0" collapsed="false">
      <c r="A81" s="10" t="s">
        <v>46</v>
      </c>
      <c r="B81" s="10" t="str">
        <f aca="false">INDEX('Site-uri'!$B$2:$B$20,MATCH(A81,'Site-uri'!$A$2:$A$20,0))</f>
        <v>5thelement.ai</v>
      </c>
      <c r="C81" s="10" t="s">
        <v>176</v>
      </c>
      <c r="D81" s="10" t="s">
        <v>237</v>
      </c>
      <c r="E81" s="10" t="str">
        <f aca="false">INDEX(Canale!$C$2:$C$30,MATCH(C81,Canale!$A$2:$A$30,0))</f>
        <v>github</v>
      </c>
      <c r="F81" s="10" t="str">
        <f aca="false">INDEX(Canale!$D$2:$D$30,MATCH(C81,Canale!$A$2:$A$30,0))</f>
        <v>referral</v>
      </c>
      <c r="G81" s="10" t="str">
        <f aca="false">INDEX('Site-uri'!$C$2:$C$20,MATCH(A81,'Site-uri'!$A$2:$A$20,0))</f>
        <v>/</v>
      </c>
      <c r="H81" s="10" t="str">
        <f aca="false">Config!$B$3</f>
        <v>2610_ff_lansare</v>
      </c>
      <c r="I81" s="10" t="str">
        <f aca="false">D81&amp;"_"&amp;Config!$B$4</f>
        <v>client_general</v>
      </c>
      <c r="J81" s="10" t="str">
        <f aca="false">"https://"&amp;B81&amp;G81&amp;"?utm_source="&amp;E81&amp;"&amp;utm_medium="&amp;F81&amp;"&amp;utm_campaign="&amp;H81&amp;"&amp;utm_content="&amp;I81</f>
        <v>https://5thelement.ai/?utm_source=github&amp;utm_medium=referral&amp;utm_campaign=2610_ff_lansare&amp;utm_content=client_general</v>
      </c>
    </row>
    <row r="82" customFormat="false" ht="15" hidden="false" customHeight="false" outlineLevel="0" collapsed="false">
      <c r="A82" s="10" t="s">
        <v>46</v>
      </c>
      <c r="B82" s="10" t="str">
        <f aca="false">INDEX('Site-uri'!$B$2:$B$20,MATCH(A82,'Site-uri'!$A$2:$A$20,0))</f>
        <v>5thelement.ai</v>
      </c>
      <c r="C82" s="10" t="s">
        <v>179</v>
      </c>
      <c r="D82" s="10" t="s">
        <v>219</v>
      </c>
      <c r="E82" s="10" t="str">
        <f aca="false">INDEX(Canale!$C$2:$C$30,MATCH(C82,Canale!$A$2:$A$30,0))</f>
        <v>kdp_book</v>
      </c>
      <c r="F82" s="10" t="str">
        <f aca="false">INDEX(Canale!$D$2:$D$30,MATCH(C82,Canale!$A$2:$A$30,0))</f>
        <v>book</v>
      </c>
      <c r="G82" s="10" t="str">
        <f aca="false">INDEX('Site-uri'!$C$2:$C$20,MATCH(A82,'Site-uri'!$A$2:$A$20,0))</f>
        <v>/</v>
      </c>
      <c r="H82" s="10" t="str">
        <f aca="false">Config!$B$3</f>
        <v>2610_ff_lansare</v>
      </c>
      <c r="I82" s="10" t="str">
        <f aca="false">D82&amp;"_"&amp;Config!$B$4</f>
        <v>rece_general</v>
      </c>
      <c r="J82" s="10" t="str">
        <f aca="false">"https://"&amp;B82&amp;G82&amp;"?utm_source="&amp;E82&amp;"&amp;utm_medium="&amp;F82&amp;"&amp;utm_campaign="&amp;H82&amp;"&amp;utm_content="&amp;I82</f>
        <v>https://5thelement.ai/?utm_source=kdp_book&amp;utm_medium=book&amp;utm_campaign=2610_ff_lansare&amp;utm_content=rece_general</v>
      </c>
    </row>
    <row r="83" customFormat="false" ht="15" hidden="false" customHeight="false" outlineLevel="0" collapsed="false">
      <c r="A83" s="10" t="s">
        <v>46</v>
      </c>
      <c r="B83" s="10" t="str">
        <f aca="false">INDEX('Site-uri'!$B$2:$B$20,MATCH(A83,'Site-uri'!$A$2:$A$20,0))</f>
        <v>5thelement.ai</v>
      </c>
      <c r="C83" s="10" t="s">
        <v>179</v>
      </c>
      <c r="D83" s="10" t="s">
        <v>225</v>
      </c>
      <c r="E83" s="10" t="str">
        <f aca="false">INDEX(Canale!$C$2:$C$30,MATCH(C83,Canale!$A$2:$A$30,0))</f>
        <v>kdp_book</v>
      </c>
      <c r="F83" s="10" t="str">
        <f aca="false">INDEX(Canale!$D$2:$D$30,MATCH(C83,Canale!$A$2:$A$30,0))</f>
        <v>book</v>
      </c>
      <c r="G83" s="10" t="str">
        <f aca="false">INDEX('Site-uri'!$C$2:$C$20,MATCH(A83,'Site-uri'!$A$2:$A$20,0))</f>
        <v>/</v>
      </c>
      <c r="H83" s="10" t="str">
        <f aca="false">Config!$B$3</f>
        <v>2610_ff_lansare</v>
      </c>
      <c r="I83" s="10" t="str">
        <f aca="false">D83&amp;"_"&amp;Config!$B$4</f>
        <v>cald_general</v>
      </c>
      <c r="J83" s="10" t="str">
        <f aca="false">"https://"&amp;B83&amp;G83&amp;"?utm_source="&amp;E83&amp;"&amp;utm_medium="&amp;F83&amp;"&amp;utm_campaign="&amp;H83&amp;"&amp;utm_content="&amp;I83</f>
        <v>https://5thelement.ai/?utm_source=kdp_book&amp;utm_medium=book&amp;utm_campaign=2610_ff_lansare&amp;utm_content=cald_general</v>
      </c>
    </row>
    <row r="84" customFormat="false" ht="15" hidden="false" customHeight="false" outlineLevel="0" collapsed="false">
      <c r="A84" s="10" t="s">
        <v>46</v>
      </c>
      <c r="B84" s="10" t="str">
        <f aca="false">INDEX('Site-uri'!$B$2:$B$20,MATCH(A84,'Site-uri'!$A$2:$A$20,0))</f>
        <v>5thelement.ai</v>
      </c>
      <c r="C84" s="10" t="s">
        <v>179</v>
      </c>
      <c r="D84" s="10" t="s">
        <v>231</v>
      </c>
      <c r="E84" s="10" t="str">
        <f aca="false">INDEX(Canale!$C$2:$C$30,MATCH(C84,Canale!$A$2:$A$30,0))</f>
        <v>kdp_book</v>
      </c>
      <c r="F84" s="10" t="str">
        <f aca="false">INDEX(Canale!$D$2:$D$30,MATCH(C84,Canale!$A$2:$A$30,0))</f>
        <v>book</v>
      </c>
      <c r="G84" s="10" t="str">
        <f aca="false">INDEX('Site-uri'!$C$2:$C$20,MATCH(A84,'Site-uri'!$A$2:$A$20,0))</f>
        <v>/</v>
      </c>
      <c r="H84" s="10" t="str">
        <f aca="false">Config!$B$3</f>
        <v>2610_ff_lansare</v>
      </c>
      <c r="I84" s="10" t="str">
        <f aca="false">D84&amp;"_"&amp;Config!$B$4</f>
        <v>fierbinte_general</v>
      </c>
      <c r="J84" s="10" t="str">
        <f aca="false">"https://"&amp;B84&amp;G84&amp;"?utm_source="&amp;E84&amp;"&amp;utm_medium="&amp;F84&amp;"&amp;utm_campaign="&amp;H84&amp;"&amp;utm_content="&amp;I84</f>
        <v>https://5thelement.ai/?utm_source=kdp_book&amp;utm_medium=book&amp;utm_campaign=2610_ff_lansare&amp;utm_content=fierbinte_general</v>
      </c>
    </row>
    <row r="85" customFormat="false" ht="15" hidden="false" customHeight="false" outlineLevel="0" collapsed="false">
      <c r="A85" s="10" t="s">
        <v>46</v>
      </c>
      <c r="B85" s="10" t="str">
        <f aca="false">INDEX('Site-uri'!$B$2:$B$20,MATCH(A85,'Site-uri'!$A$2:$A$20,0))</f>
        <v>5thelement.ai</v>
      </c>
      <c r="C85" s="10" t="s">
        <v>179</v>
      </c>
      <c r="D85" s="10" t="s">
        <v>237</v>
      </c>
      <c r="E85" s="10" t="str">
        <f aca="false">INDEX(Canale!$C$2:$C$30,MATCH(C85,Canale!$A$2:$A$30,0))</f>
        <v>kdp_book</v>
      </c>
      <c r="F85" s="10" t="str">
        <f aca="false">INDEX(Canale!$D$2:$D$30,MATCH(C85,Canale!$A$2:$A$30,0))</f>
        <v>book</v>
      </c>
      <c r="G85" s="10" t="str">
        <f aca="false">INDEX('Site-uri'!$C$2:$C$20,MATCH(A85,'Site-uri'!$A$2:$A$20,0))</f>
        <v>/</v>
      </c>
      <c r="H85" s="10" t="str">
        <f aca="false">Config!$B$3</f>
        <v>2610_ff_lansare</v>
      </c>
      <c r="I85" s="10" t="str">
        <f aca="false">D85&amp;"_"&amp;Config!$B$4</f>
        <v>client_general</v>
      </c>
      <c r="J85" s="10" t="str">
        <f aca="false">"https://"&amp;B85&amp;G85&amp;"?utm_source="&amp;E85&amp;"&amp;utm_medium="&amp;F85&amp;"&amp;utm_campaign="&amp;H85&amp;"&amp;utm_content="&amp;I85</f>
        <v>https://5thelement.ai/?utm_source=kdp_book&amp;utm_medium=book&amp;utm_campaign=2610_ff_lansare&amp;utm_content=client_general</v>
      </c>
    </row>
    <row r="86" customFormat="false" ht="15" hidden="false" customHeight="false" outlineLevel="0" collapsed="false">
      <c r="A86" s="10" t="s">
        <v>46</v>
      </c>
      <c r="B86" s="10" t="str">
        <f aca="false">INDEX('Site-uri'!$B$2:$B$20,MATCH(A86,'Site-uri'!$A$2:$A$20,0))</f>
        <v>5thelement.ai</v>
      </c>
      <c r="C86" s="10" t="s">
        <v>184</v>
      </c>
      <c r="D86" s="10" t="s">
        <v>219</v>
      </c>
      <c r="E86" s="10" t="str">
        <f aca="false">INDEX(Canale!$C$2:$C$30,MATCH(C86,Canale!$A$2:$A$30,0))</f>
        <v>udemy</v>
      </c>
      <c r="F86" s="10" t="str">
        <f aca="false">INDEX(Canale!$D$2:$D$30,MATCH(C86,Canale!$A$2:$A$30,0))</f>
        <v>course</v>
      </c>
      <c r="G86" s="10" t="str">
        <f aca="false">INDEX('Site-uri'!$C$2:$C$20,MATCH(A86,'Site-uri'!$A$2:$A$20,0))</f>
        <v>/</v>
      </c>
      <c r="H86" s="10" t="str">
        <f aca="false">Config!$B$3</f>
        <v>2610_ff_lansare</v>
      </c>
      <c r="I86" s="10" t="str">
        <f aca="false">D86&amp;"_"&amp;Config!$B$4</f>
        <v>rece_general</v>
      </c>
      <c r="J86" s="10" t="str">
        <f aca="false">"https://"&amp;B86&amp;G86&amp;"?utm_source="&amp;E86&amp;"&amp;utm_medium="&amp;F86&amp;"&amp;utm_campaign="&amp;H86&amp;"&amp;utm_content="&amp;I86</f>
        <v>https://5thelement.ai/?utm_source=udemy&amp;utm_medium=course&amp;utm_campaign=2610_ff_lansare&amp;utm_content=rece_general</v>
      </c>
    </row>
    <row r="87" customFormat="false" ht="15" hidden="false" customHeight="false" outlineLevel="0" collapsed="false">
      <c r="A87" s="10" t="s">
        <v>46</v>
      </c>
      <c r="B87" s="10" t="str">
        <f aca="false">INDEX('Site-uri'!$B$2:$B$20,MATCH(A87,'Site-uri'!$A$2:$A$20,0))</f>
        <v>5thelement.ai</v>
      </c>
      <c r="C87" s="10" t="s">
        <v>184</v>
      </c>
      <c r="D87" s="10" t="s">
        <v>225</v>
      </c>
      <c r="E87" s="10" t="str">
        <f aca="false">INDEX(Canale!$C$2:$C$30,MATCH(C87,Canale!$A$2:$A$30,0))</f>
        <v>udemy</v>
      </c>
      <c r="F87" s="10" t="str">
        <f aca="false">INDEX(Canale!$D$2:$D$30,MATCH(C87,Canale!$A$2:$A$30,0))</f>
        <v>course</v>
      </c>
      <c r="G87" s="10" t="str">
        <f aca="false">INDEX('Site-uri'!$C$2:$C$20,MATCH(A87,'Site-uri'!$A$2:$A$20,0))</f>
        <v>/</v>
      </c>
      <c r="H87" s="10" t="str">
        <f aca="false">Config!$B$3</f>
        <v>2610_ff_lansare</v>
      </c>
      <c r="I87" s="10" t="str">
        <f aca="false">D87&amp;"_"&amp;Config!$B$4</f>
        <v>cald_general</v>
      </c>
      <c r="J87" s="10" t="str">
        <f aca="false">"https://"&amp;B87&amp;G87&amp;"?utm_source="&amp;E87&amp;"&amp;utm_medium="&amp;F87&amp;"&amp;utm_campaign="&amp;H87&amp;"&amp;utm_content="&amp;I87</f>
        <v>https://5thelement.ai/?utm_source=udemy&amp;utm_medium=course&amp;utm_campaign=2610_ff_lansare&amp;utm_content=cald_general</v>
      </c>
    </row>
    <row r="88" customFormat="false" ht="15" hidden="false" customHeight="false" outlineLevel="0" collapsed="false">
      <c r="A88" s="10" t="s">
        <v>46</v>
      </c>
      <c r="B88" s="10" t="str">
        <f aca="false">INDEX('Site-uri'!$B$2:$B$20,MATCH(A88,'Site-uri'!$A$2:$A$20,0))</f>
        <v>5thelement.ai</v>
      </c>
      <c r="C88" s="10" t="s">
        <v>184</v>
      </c>
      <c r="D88" s="10" t="s">
        <v>231</v>
      </c>
      <c r="E88" s="10" t="str">
        <f aca="false">INDEX(Canale!$C$2:$C$30,MATCH(C88,Canale!$A$2:$A$30,0))</f>
        <v>udemy</v>
      </c>
      <c r="F88" s="10" t="str">
        <f aca="false">INDEX(Canale!$D$2:$D$30,MATCH(C88,Canale!$A$2:$A$30,0))</f>
        <v>course</v>
      </c>
      <c r="G88" s="10" t="str">
        <f aca="false">INDEX('Site-uri'!$C$2:$C$20,MATCH(A88,'Site-uri'!$A$2:$A$20,0))</f>
        <v>/</v>
      </c>
      <c r="H88" s="10" t="str">
        <f aca="false">Config!$B$3</f>
        <v>2610_ff_lansare</v>
      </c>
      <c r="I88" s="10" t="str">
        <f aca="false">D88&amp;"_"&amp;Config!$B$4</f>
        <v>fierbinte_general</v>
      </c>
      <c r="J88" s="10" t="str">
        <f aca="false">"https://"&amp;B88&amp;G88&amp;"?utm_source="&amp;E88&amp;"&amp;utm_medium="&amp;F88&amp;"&amp;utm_campaign="&amp;H88&amp;"&amp;utm_content="&amp;I88</f>
        <v>https://5thelement.ai/?utm_source=udemy&amp;utm_medium=course&amp;utm_campaign=2610_ff_lansare&amp;utm_content=fierbinte_general</v>
      </c>
    </row>
    <row r="89" customFormat="false" ht="15" hidden="false" customHeight="false" outlineLevel="0" collapsed="false">
      <c r="A89" s="10" t="s">
        <v>46</v>
      </c>
      <c r="B89" s="10" t="str">
        <f aca="false">INDEX('Site-uri'!$B$2:$B$20,MATCH(A89,'Site-uri'!$A$2:$A$20,0))</f>
        <v>5thelement.ai</v>
      </c>
      <c r="C89" s="10" t="s">
        <v>184</v>
      </c>
      <c r="D89" s="10" t="s">
        <v>237</v>
      </c>
      <c r="E89" s="10" t="str">
        <f aca="false">INDEX(Canale!$C$2:$C$30,MATCH(C89,Canale!$A$2:$A$30,0))</f>
        <v>udemy</v>
      </c>
      <c r="F89" s="10" t="str">
        <f aca="false">INDEX(Canale!$D$2:$D$30,MATCH(C89,Canale!$A$2:$A$30,0))</f>
        <v>course</v>
      </c>
      <c r="G89" s="10" t="str">
        <f aca="false">INDEX('Site-uri'!$C$2:$C$20,MATCH(A89,'Site-uri'!$A$2:$A$20,0))</f>
        <v>/</v>
      </c>
      <c r="H89" s="10" t="str">
        <f aca="false">Config!$B$3</f>
        <v>2610_ff_lansare</v>
      </c>
      <c r="I89" s="10" t="str">
        <f aca="false">D89&amp;"_"&amp;Config!$B$4</f>
        <v>client_general</v>
      </c>
      <c r="J89" s="10" t="str">
        <f aca="false">"https://"&amp;B89&amp;G89&amp;"?utm_source="&amp;E89&amp;"&amp;utm_medium="&amp;F89&amp;"&amp;utm_campaign="&amp;H89&amp;"&amp;utm_content="&amp;I89</f>
        <v>https://5thelement.ai/?utm_source=udemy&amp;utm_medium=course&amp;utm_campaign=2610_ff_lansare&amp;utm_content=client_general</v>
      </c>
    </row>
    <row r="90" customFormat="false" ht="15" hidden="false" customHeight="false" outlineLevel="0" collapsed="false">
      <c r="A90" s="10" t="s">
        <v>46</v>
      </c>
      <c r="B90" s="10" t="str">
        <f aca="false">INDEX('Site-uri'!$B$2:$B$20,MATCH(A90,'Site-uri'!$A$2:$A$20,0))</f>
        <v>5thelement.ai</v>
      </c>
      <c r="C90" s="10" t="s">
        <v>187</v>
      </c>
      <c r="D90" s="10" t="s">
        <v>219</v>
      </c>
      <c r="E90" s="10" t="str">
        <f aca="false">INDEX(Canale!$C$2:$C$30,MATCH(C90,Canale!$A$2:$A$30,0))</f>
        <v>directory</v>
      </c>
      <c r="F90" s="10" t="str">
        <f aca="false">INDEX(Canale!$D$2:$D$30,MATCH(C90,Canale!$A$2:$A$30,0))</f>
        <v>referral</v>
      </c>
      <c r="G90" s="10" t="str">
        <f aca="false">INDEX('Site-uri'!$C$2:$C$20,MATCH(A90,'Site-uri'!$A$2:$A$20,0))</f>
        <v>/</v>
      </c>
      <c r="H90" s="10" t="str">
        <f aca="false">Config!$B$3</f>
        <v>2610_ff_lansare</v>
      </c>
      <c r="I90" s="10" t="str">
        <f aca="false">D90&amp;"_"&amp;Config!$B$4</f>
        <v>rece_general</v>
      </c>
      <c r="J90" s="10" t="str">
        <f aca="false">"https://"&amp;B90&amp;G90&amp;"?utm_source="&amp;E90&amp;"&amp;utm_medium="&amp;F90&amp;"&amp;utm_campaign="&amp;H90&amp;"&amp;utm_content="&amp;I90</f>
        <v>https://5thelement.ai/?utm_source=directory&amp;utm_medium=referral&amp;utm_campaign=2610_ff_lansare&amp;utm_content=rece_general</v>
      </c>
    </row>
    <row r="91" customFormat="false" ht="15" hidden="false" customHeight="false" outlineLevel="0" collapsed="false">
      <c r="A91" s="10" t="s">
        <v>46</v>
      </c>
      <c r="B91" s="10" t="str">
        <f aca="false">INDEX('Site-uri'!$B$2:$B$20,MATCH(A91,'Site-uri'!$A$2:$A$20,0))</f>
        <v>5thelement.ai</v>
      </c>
      <c r="C91" s="10" t="s">
        <v>187</v>
      </c>
      <c r="D91" s="10" t="s">
        <v>225</v>
      </c>
      <c r="E91" s="10" t="str">
        <f aca="false">INDEX(Canale!$C$2:$C$30,MATCH(C91,Canale!$A$2:$A$30,0))</f>
        <v>directory</v>
      </c>
      <c r="F91" s="10" t="str">
        <f aca="false">INDEX(Canale!$D$2:$D$30,MATCH(C91,Canale!$A$2:$A$30,0))</f>
        <v>referral</v>
      </c>
      <c r="G91" s="10" t="str">
        <f aca="false">INDEX('Site-uri'!$C$2:$C$20,MATCH(A91,'Site-uri'!$A$2:$A$20,0))</f>
        <v>/</v>
      </c>
      <c r="H91" s="10" t="str">
        <f aca="false">Config!$B$3</f>
        <v>2610_ff_lansare</v>
      </c>
      <c r="I91" s="10" t="str">
        <f aca="false">D91&amp;"_"&amp;Config!$B$4</f>
        <v>cald_general</v>
      </c>
      <c r="J91" s="10" t="str">
        <f aca="false">"https://"&amp;B91&amp;G91&amp;"?utm_source="&amp;E91&amp;"&amp;utm_medium="&amp;F91&amp;"&amp;utm_campaign="&amp;H91&amp;"&amp;utm_content="&amp;I91</f>
        <v>https://5thelement.ai/?utm_source=directory&amp;utm_medium=referral&amp;utm_campaign=2610_ff_lansare&amp;utm_content=cald_general</v>
      </c>
    </row>
    <row r="92" customFormat="false" ht="15" hidden="false" customHeight="false" outlineLevel="0" collapsed="false">
      <c r="A92" s="10" t="s">
        <v>46</v>
      </c>
      <c r="B92" s="10" t="str">
        <f aca="false">INDEX('Site-uri'!$B$2:$B$20,MATCH(A92,'Site-uri'!$A$2:$A$20,0))</f>
        <v>5thelement.ai</v>
      </c>
      <c r="C92" s="10" t="s">
        <v>187</v>
      </c>
      <c r="D92" s="10" t="s">
        <v>231</v>
      </c>
      <c r="E92" s="10" t="str">
        <f aca="false">INDEX(Canale!$C$2:$C$30,MATCH(C92,Canale!$A$2:$A$30,0))</f>
        <v>directory</v>
      </c>
      <c r="F92" s="10" t="str">
        <f aca="false">INDEX(Canale!$D$2:$D$30,MATCH(C92,Canale!$A$2:$A$30,0))</f>
        <v>referral</v>
      </c>
      <c r="G92" s="10" t="str">
        <f aca="false">INDEX('Site-uri'!$C$2:$C$20,MATCH(A92,'Site-uri'!$A$2:$A$20,0))</f>
        <v>/</v>
      </c>
      <c r="H92" s="10" t="str">
        <f aca="false">Config!$B$3</f>
        <v>2610_ff_lansare</v>
      </c>
      <c r="I92" s="10" t="str">
        <f aca="false">D92&amp;"_"&amp;Config!$B$4</f>
        <v>fierbinte_general</v>
      </c>
      <c r="J92" s="10" t="str">
        <f aca="false">"https://"&amp;B92&amp;G92&amp;"?utm_source="&amp;E92&amp;"&amp;utm_medium="&amp;F92&amp;"&amp;utm_campaign="&amp;H92&amp;"&amp;utm_content="&amp;I92</f>
        <v>https://5thelement.ai/?utm_source=directory&amp;utm_medium=referral&amp;utm_campaign=2610_ff_lansare&amp;utm_content=fierbinte_general</v>
      </c>
    </row>
    <row r="93" customFormat="false" ht="15" hidden="false" customHeight="false" outlineLevel="0" collapsed="false">
      <c r="A93" s="10" t="s">
        <v>46</v>
      </c>
      <c r="B93" s="10" t="str">
        <f aca="false">INDEX('Site-uri'!$B$2:$B$20,MATCH(A93,'Site-uri'!$A$2:$A$20,0))</f>
        <v>5thelement.ai</v>
      </c>
      <c r="C93" s="10" t="s">
        <v>187</v>
      </c>
      <c r="D93" s="10" t="s">
        <v>237</v>
      </c>
      <c r="E93" s="10" t="str">
        <f aca="false">INDEX(Canale!$C$2:$C$30,MATCH(C93,Canale!$A$2:$A$30,0))</f>
        <v>directory</v>
      </c>
      <c r="F93" s="10" t="str">
        <f aca="false">INDEX(Canale!$D$2:$D$30,MATCH(C93,Canale!$A$2:$A$30,0))</f>
        <v>referral</v>
      </c>
      <c r="G93" s="10" t="str">
        <f aca="false">INDEX('Site-uri'!$C$2:$C$20,MATCH(A93,'Site-uri'!$A$2:$A$20,0))</f>
        <v>/</v>
      </c>
      <c r="H93" s="10" t="str">
        <f aca="false">Config!$B$3</f>
        <v>2610_ff_lansare</v>
      </c>
      <c r="I93" s="10" t="str">
        <f aca="false">D93&amp;"_"&amp;Config!$B$4</f>
        <v>client_general</v>
      </c>
      <c r="J93" s="10" t="str">
        <f aca="false">"https://"&amp;B93&amp;G93&amp;"?utm_source="&amp;E93&amp;"&amp;utm_medium="&amp;F93&amp;"&amp;utm_campaign="&amp;H93&amp;"&amp;utm_content="&amp;I93</f>
        <v>https://5thelement.ai/?utm_source=directory&amp;utm_medium=referral&amp;utm_campaign=2610_ff_lansare&amp;utm_content=client_general</v>
      </c>
    </row>
    <row r="94" customFormat="false" ht="15" hidden="false" customHeight="false" outlineLevel="0" collapsed="false">
      <c r="A94" s="10" t="s">
        <v>46</v>
      </c>
      <c r="B94" s="10" t="str">
        <f aca="false">INDEX('Site-uri'!$B$2:$B$20,MATCH(A94,'Site-uri'!$A$2:$A$20,0))</f>
        <v>5thelement.ai</v>
      </c>
      <c r="C94" s="10" t="s">
        <v>191</v>
      </c>
      <c r="D94" s="10" t="s">
        <v>219</v>
      </c>
      <c r="E94" s="10" t="str">
        <f aca="false">INDEX(Canale!$C$2:$C$30,MATCH(C94,Canale!$A$2:$A$30,0))</f>
        <v>partner</v>
      </c>
      <c r="F94" s="10" t="str">
        <f aca="false">INDEX(Canale!$D$2:$D$30,MATCH(C94,Canale!$A$2:$A$30,0))</f>
        <v>partner</v>
      </c>
      <c r="G94" s="10" t="str">
        <f aca="false">INDEX('Site-uri'!$C$2:$C$20,MATCH(A94,'Site-uri'!$A$2:$A$20,0))</f>
        <v>/</v>
      </c>
      <c r="H94" s="10" t="str">
        <f aca="false">Config!$B$3</f>
        <v>2610_ff_lansare</v>
      </c>
      <c r="I94" s="10" t="str">
        <f aca="false">D94&amp;"_"&amp;Config!$B$4</f>
        <v>rece_general</v>
      </c>
      <c r="J94" s="10" t="str">
        <f aca="false">"https://"&amp;B94&amp;G94&amp;"?utm_source="&amp;E94&amp;"&amp;utm_medium="&amp;F94&amp;"&amp;utm_campaign="&amp;H94&amp;"&amp;utm_content="&amp;I94</f>
        <v>https://5thelement.ai/?utm_source=partner&amp;utm_medium=partner&amp;utm_campaign=2610_ff_lansare&amp;utm_content=rece_general</v>
      </c>
    </row>
    <row r="95" customFormat="false" ht="15" hidden="false" customHeight="false" outlineLevel="0" collapsed="false">
      <c r="A95" s="10" t="s">
        <v>46</v>
      </c>
      <c r="B95" s="10" t="str">
        <f aca="false">INDEX('Site-uri'!$B$2:$B$20,MATCH(A95,'Site-uri'!$A$2:$A$20,0))</f>
        <v>5thelement.ai</v>
      </c>
      <c r="C95" s="10" t="s">
        <v>191</v>
      </c>
      <c r="D95" s="10" t="s">
        <v>225</v>
      </c>
      <c r="E95" s="10" t="str">
        <f aca="false">INDEX(Canale!$C$2:$C$30,MATCH(C95,Canale!$A$2:$A$30,0))</f>
        <v>partner</v>
      </c>
      <c r="F95" s="10" t="str">
        <f aca="false">INDEX(Canale!$D$2:$D$30,MATCH(C95,Canale!$A$2:$A$30,0))</f>
        <v>partner</v>
      </c>
      <c r="G95" s="10" t="str">
        <f aca="false">INDEX('Site-uri'!$C$2:$C$20,MATCH(A95,'Site-uri'!$A$2:$A$20,0))</f>
        <v>/</v>
      </c>
      <c r="H95" s="10" t="str">
        <f aca="false">Config!$B$3</f>
        <v>2610_ff_lansare</v>
      </c>
      <c r="I95" s="10" t="str">
        <f aca="false">D95&amp;"_"&amp;Config!$B$4</f>
        <v>cald_general</v>
      </c>
      <c r="J95" s="10" t="str">
        <f aca="false">"https://"&amp;B95&amp;G95&amp;"?utm_source="&amp;E95&amp;"&amp;utm_medium="&amp;F95&amp;"&amp;utm_campaign="&amp;H95&amp;"&amp;utm_content="&amp;I95</f>
        <v>https://5thelement.ai/?utm_source=partner&amp;utm_medium=partner&amp;utm_campaign=2610_ff_lansare&amp;utm_content=cald_general</v>
      </c>
    </row>
    <row r="96" customFormat="false" ht="15" hidden="false" customHeight="false" outlineLevel="0" collapsed="false">
      <c r="A96" s="10" t="s">
        <v>46</v>
      </c>
      <c r="B96" s="10" t="str">
        <f aca="false">INDEX('Site-uri'!$B$2:$B$20,MATCH(A96,'Site-uri'!$A$2:$A$20,0))</f>
        <v>5thelement.ai</v>
      </c>
      <c r="C96" s="10" t="s">
        <v>191</v>
      </c>
      <c r="D96" s="10" t="s">
        <v>231</v>
      </c>
      <c r="E96" s="10" t="str">
        <f aca="false">INDEX(Canale!$C$2:$C$30,MATCH(C96,Canale!$A$2:$A$30,0))</f>
        <v>partner</v>
      </c>
      <c r="F96" s="10" t="str">
        <f aca="false">INDEX(Canale!$D$2:$D$30,MATCH(C96,Canale!$A$2:$A$30,0))</f>
        <v>partner</v>
      </c>
      <c r="G96" s="10" t="str">
        <f aca="false">INDEX('Site-uri'!$C$2:$C$20,MATCH(A96,'Site-uri'!$A$2:$A$20,0))</f>
        <v>/</v>
      </c>
      <c r="H96" s="10" t="str">
        <f aca="false">Config!$B$3</f>
        <v>2610_ff_lansare</v>
      </c>
      <c r="I96" s="10" t="str">
        <f aca="false">D96&amp;"_"&amp;Config!$B$4</f>
        <v>fierbinte_general</v>
      </c>
      <c r="J96" s="10" t="str">
        <f aca="false">"https://"&amp;B96&amp;G96&amp;"?utm_source="&amp;E96&amp;"&amp;utm_medium="&amp;F96&amp;"&amp;utm_campaign="&amp;H96&amp;"&amp;utm_content="&amp;I96</f>
        <v>https://5thelement.ai/?utm_source=partner&amp;utm_medium=partner&amp;utm_campaign=2610_ff_lansare&amp;utm_content=fierbinte_general</v>
      </c>
    </row>
    <row r="97" customFormat="false" ht="15" hidden="false" customHeight="false" outlineLevel="0" collapsed="false">
      <c r="A97" s="10" t="s">
        <v>46</v>
      </c>
      <c r="B97" s="10" t="str">
        <f aca="false">INDEX('Site-uri'!$B$2:$B$20,MATCH(A97,'Site-uri'!$A$2:$A$20,0))</f>
        <v>5thelement.ai</v>
      </c>
      <c r="C97" s="10" t="s">
        <v>191</v>
      </c>
      <c r="D97" s="10" t="s">
        <v>237</v>
      </c>
      <c r="E97" s="10" t="str">
        <f aca="false">INDEX(Canale!$C$2:$C$30,MATCH(C97,Canale!$A$2:$A$30,0))</f>
        <v>partner</v>
      </c>
      <c r="F97" s="10" t="str">
        <f aca="false">INDEX(Canale!$D$2:$D$30,MATCH(C97,Canale!$A$2:$A$30,0))</f>
        <v>partner</v>
      </c>
      <c r="G97" s="10" t="str">
        <f aca="false">INDEX('Site-uri'!$C$2:$C$20,MATCH(A97,'Site-uri'!$A$2:$A$20,0))</f>
        <v>/</v>
      </c>
      <c r="H97" s="10" t="str">
        <f aca="false">Config!$B$3</f>
        <v>2610_ff_lansare</v>
      </c>
      <c r="I97" s="10" t="str">
        <f aca="false">D97&amp;"_"&amp;Config!$B$4</f>
        <v>client_general</v>
      </c>
      <c r="J97" s="10" t="str">
        <f aca="false">"https://"&amp;B97&amp;G97&amp;"?utm_source="&amp;E97&amp;"&amp;utm_medium="&amp;F97&amp;"&amp;utm_campaign="&amp;H97&amp;"&amp;utm_content="&amp;I97</f>
        <v>https://5thelement.ai/?utm_source=partner&amp;utm_medium=partner&amp;utm_campaign=2610_ff_lansare&amp;utm_content=client_general</v>
      </c>
    </row>
    <row r="98" customFormat="false" ht="15" hidden="false" customHeight="false" outlineLevel="0" collapsed="false">
      <c r="A98" s="10" t="s">
        <v>46</v>
      </c>
      <c r="B98" s="10" t="str">
        <f aca="false">INDEX('Site-uri'!$B$2:$B$20,MATCH(A98,'Site-uri'!$A$2:$A$20,0))</f>
        <v>5thelement.ai</v>
      </c>
      <c r="C98" s="10" t="s">
        <v>193</v>
      </c>
      <c r="D98" s="10" t="s">
        <v>219</v>
      </c>
      <c r="E98" s="10" t="str">
        <f aca="false">INDEX(Canale!$C$2:$C$30,MATCH(C98,Canale!$A$2:$A$30,0))</f>
        <v>pdf_proposal</v>
      </c>
      <c r="F98" s="10" t="str">
        <f aca="false">INDEX(Canale!$D$2:$D$30,MATCH(C98,Canale!$A$2:$A$30,0))</f>
        <v>document</v>
      </c>
      <c r="G98" s="10" t="str">
        <f aca="false">INDEX('Site-uri'!$C$2:$C$20,MATCH(A98,'Site-uri'!$A$2:$A$20,0))</f>
        <v>/</v>
      </c>
      <c r="H98" s="10" t="str">
        <f aca="false">Config!$B$3</f>
        <v>2610_ff_lansare</v>
      </c>
      <c r="I98" s="10" t="str">
        <f aca="false">D98&amp;"_"&amp;Config!$B$4</f>
        <v>rece_general</v>
      </c>
      <c r="J98" s="10" t="str">
        <f aca="false">"https://"&amp;B98&amp;G98&amp;"?utm_source="&amp;E98&amp;"&amp;utm_medium="&amp;F98&amp;"&amp;utm_campaign="&amp;H98&amp;"&amp;utm_content="&amp;I98</f>
        <v>https://5thelement.ai/?utm_source=pdf_proposal&amp;utm_medium=document&amp;utm_campaign=2610_ff_lansare&amp;utm_content=rece_general</v>
      </c>
    </row>
    <row r="99" customFormat="false" ht="15" hidden="false" customHeight="false" outlineLevel="0" collapsed="false">
      <c r="A99" s="10" t="s">
        <v>46</v>
      </c>
      <c r="B99" s="10" t="str">
        <f aca="false">INDEX('Site-uri'!$B$2:$B$20,MATCH(A99,'Site-uri'!$A$2:$A$20,0))</f>
        <v>5thelement.ai</v>
      </c>
      <c r="C99" s="10" t="s">
        <v>193</v>
      </c>
      <c r="D99" s="10" t="s">
        <v>225</v>
      </c>
      <c r="E99" s="10" t="str">
        <f aca="false">INDEX(Canale!$C$2:$C$30,MATCH(C99,Canale!$A$2:$A$30,0))</f>
        <v>pdf_proposal</v>
      </c>
      <c r="F99" s="10" t="str">
        <f aca="false">INDEX(Canale!$D$2:$D$30,MATCH(C99,Canale!$A$2:$A$30,0))</f>
        <v>document</v>
      </c>
      <c r="G99" s="10" t="str">
        <f aca="false">INDEX('Site-uri'!$C$2:$C$20,MATCH(A99,'Site-uri'!$A$2:$A$20,0))</f>
        <v>/</v>
      </c>
      <c r="H99" s="10" t="str">
        <f aca="false">Config!$B$3</f>
        <v>2610_ff_lansare</v>
      </c>
      <c r="I99" s="10" t="str">
        <f aca="false">D99&amp;"_"&amp;Config!$B$4</f>
        <v>cald_general</v>
      </c>
      <c r="J99" s="10" t="str">
        <f aca="false">"https://"&amp;B99&amp;G99&amp;"?utm_source="&amp;E99&amp;"&amp;utm_medium="&amp;F99&amp;"&amp;utm_campaign="&amp;H99&amp;"&amp;utm_content="&amp;I99</f>
        <v>https://5thelement.ai/?utm_source=pdf_proposal&amp;utm_medium=document&amp;utm_campaign=2610_ff_lansare&amp;utm_content=cald_general</v>
      </c>
    </row>
    <row r="100" customFormat="false" ht="15" hidden="false" customHeight="false" outlineLevel="0" collapsed="false">
      <c r="A100" s="10" t="s">
        <v>46</v>
      </c>
      <c r="B100" s="10" t="str">
        <f aca="false">INDEX('Site-uri'!$B$2:$B$20,MATCH(A100,'Site-uri'!$A$2:$A$20,0))</f>
        <v>5thelement.ai</v>
      </c>
      <c r="C100" s="10" t="s">
        <v>193</v>
      </c>
      <c r="D100" s="10" t="s">
        <v>231</v>
      </c>
      <c r="E100" s="10" t="str">
        <f aca="false">INDEX(Canale!$C$2:$C$30,MATCH(C100,Canale!$A$2:$A$30,0))</f>
        <v>pdf_proposal</v>
      </c>
      <c r="F100" s="10" t="str">
        <f aca="false">INDEX(Canale!$D$2:$D$30,MATCH(C100,Canale!$A$2:$A$30,0))</f>
        <v>document</v>
      </c>
      <c r="G100" s="10" t="str">
        <f aca="false">INDEX('Site-uri'!$C$2:$C$20,MATCH(A100,'Site-uri'!$A$2:$A$20,0))</f>
        <v>/</v>
      </c>
      <c r="H100" s="10" t="str">
        <f aca="false">Config!$B$3</f>
        <v>2610_ff_lansare</v>
      </c>
      <c r="I100" s="10" t="str">
        <f aca="false">D100&amp;"_"&amp;Config!$B$4</f>
        <v>fierbinte_general</v>
      </c>
      <c r="J100" s="10" t="str">
        <f aca="false">"https://"&amp;B100&amp;G100&amp;"?utm_source="&amp;E100&amp;"&amp;utm_medium="&amp;F100&amp;"&amp;utm_campaign="&amp;H100&amp;"&amp;utm_content="&amp;I100</f>
        <v>https://5thelement.ai/?utm_source=pdf_proposal&amp;utm_medium=document&amp;utm_campaign=2610_ff_lansare&amp;utm_content=fierbinte_general</v>
      </c>
    </row>
    <row r="101" customFormat="false" ht="15" hidden="false" customHeight="false" outlineLevel="0" collapsed="false">
      <c r="A101" s="10" t="s">
        <v>46</v>
      </c>
      <c r="B101" s="10" t="str">
        <f aca="false">INDEX('Site-uri'!$B$2:$B$20,MATCH(A101,'Site-uri'!$A$2:$A$20,0))</f>
        <v>5thelement.ai</v>
      </c>
      <c r="C101" s="10" t="s">
        <v>193</v>
      </c>
      <c r="D101" s="10" t="s">
        <v>237</v>
      </c>
      <c r="E101" s="10" t="str">
        <f aca="false">INDEX(Canale!$C$2:$C$30,MATCH(C101,Canale!$A$2:$A$30,0))</f>
        <v>pdf_proposal</v>
      </c>
      <c r="F101" s="10" t="str">
        <f aca="false">INDEX(Canale!$D$2:$D$30,MATCH(C101,Canale!$A$2:$A$30,0))</f>
        <v>document</v>
      </c>
      <c r="G101" s="10" t="str">
        <f aca="false">INDEX('Site-uri'!$C$2:$C$20,MATCH(A101,'Site-uri'!$A$2:$A$20,0))</f>
        <v>/</v>
      </c>
      <c r="H101" s="10" t="str">
        <f aca="false">Config!$B$3</f>
        <v>2610_ff_lansare</v>
      </c>
      <c r="I101" s="10" t="str">
        <f aca="false">D101&amp;"_"&amp;Config!$B$4</f>
        <v>client_general</v>
      </c>
      <c r="J101" s="10" t="str">
        <f aca="false">"https://"&amp;B101&amp;G101&amp;"?utm_source="&amp;E101&amp;"&amp;utm_medium="&amp;F101&amp;"&amp;utm_campaign="&amp;H101&amp;"&amp;utm_content="&amp;I101</f>
        <v>https://5thelement.ai/?utm_source=pdf_proposal&amp;utm_medium=document&amp;utm_campaign=2610_ff_lansare&amp;utm_content=client_general</v>
      </c>
    </row>
    <row r="102" customFormat="false" ht="15" hidden="false" customHeight="false" outlineLevel="0" collapsed="false">
      <c r="A102" s="10" t="s">
        <v>46</v>
      </c>
      <c r="B102" s="10" t="str">
        <f aca="false">INDEX('Site-uri'!$B$2:$B$20,MATCH(A102,'Site-uri'!$A$2:$A$20,0))</f>
        <v>5thelement.ai</v>
      </c>
      <c r="C102" s="10" t="s">
        <v>198</v>
      </c>
      <c r="D102" s="10" t="s">
        <v>219</v>
      </c>
      <c r="E102" s="10" t="str">
        <f aca="false">INDEX(Canale!$C$2:$C$30,MATCH(C102,Canale!$A$2:$A$30,0))</f>
        <v>qr_print</v>
      </c>
      <c r="F102" s="10" t="str">
        <f aca="false">INDEX(Canale!$D$2:$D$30,MATCH(C102,Canale!$A$2:$A$30,0))</f>
        <v>qr</v>
      </c>
      <c r="G102" s="10" t="str">
        <f aca="false">INDEX('Site-uri'!$C$2:$C$20,MATCH(A102,'Site-uri'!$A$2:$A$20,0))</f>
        <v>/</v>
      </c>
      <c r="H102" s="10" t="str">
        <f aca="false">Config!$B$3</f>
        <v>2610_ff_lansare</v>
      </c>
      <c r="I102" s="10" t="str">
        <f aca="false">D102&amp;"_"&amp;Config!$B$4</f>
        <v>rece_general</v>
      </c>
      <c r="J102" s="10" t="str">
        <f aca="false">"https://"&amp;B102&amp;G102&amp;"?utm_source="&amp;E102&amp;"&amp;utm_medium="&amp;F102&amp;"&amp;utm_campaign="&amp;H102&amp;"&amp;utm_content="&amp;I102</f>
        <v>https://5thelement.ai/?utm_source=qr_print&amp;utm_medium=qr&amp;utm_campaign=2610_ff_lansare&amp;utm_content=rece_general</v>
      </c>
    </row>
    <row r="103" customFormat="false" ht="15" hidden="false" customHeight="false" outlineLevel="0" collapsed="false">
      <c r="A103" s="10" t="s">
        <v>46</v>
      </c>
      <c r="B103" s="10" t="str">
        <f aca="false">INDEX('Site-uri'!$B$2:$B$20,MATCH(A103,'Site-uri'!$A$2:$A$20,0))</f>
        <v>5thelement.ai</v>
      </c>
      <c r="C103" s="10" t="s">
        <v>198</v>
      </c>
      <c r="D103" s="10" t="s">
        <v>225</v>
      </c>
      <c r="E103" s="10" t="str">
        <f aca="false">INDEX(Canale!$C$2:$C$30,MATCH(C103,Canale!$A$2:$A$30,0))</f>
        <v>qr_print</v>
      </c>
      <c r="F103" s="10" t="str">
        <f aca="false">INDEX(Canale!$D$2:$D$30,MATCH(C103,Canale!$A$2:$A$30,0))</f>
        <v>qr</v>
      </c>
      <c r="G103" s="10" t="str">
        <f aca="false">INDEX('Site-uri'!$C$2:$C$20,MATCH(A103,'Site-uri'!$A$2:$A$20,0))</f>
        <v>/</v>
      </c>
      <c r="H103" s="10" t="str">
        <f aca="false">Config!$B$3</f>
        <v>2610_ff_lansare</v>
      </c>
      <c r="I103" s="10" t="str">
        <f aca="false">D103&amp;"_"&amp;Config!$B$4</f>
        <v>cald_general</v>
      </c>
      <c r="J103" s="10" t="str">
        <f aca="false">"https://"&amp;B103&amp;G103&amp;"?utm_source="&amp;E103&amp;"&amp;utm_medium="&amp;F103&amp;"&amp;utm_campaign="&amp;H103&amp;"&amp;utm_content="&amp;I103</f>
        <v>https://5thelement.ai/?utm_source=qr_print&amp;utm_medium=qr&amp;utm_campaign=2610_ff_lansare&amp;utm_content=cald_general</v>
      </c>
    </row>
    <row r="104" customFormat="false" ht="15" hidden="false" customHeight="false" outlineLevel="0" collapsed="false">
      <c r="A104" s="10" t="s">
        <v>46</v>
      </c>
      <c r="B104" s="10" t="str">
        <f aca="false">INDEX('Site-uri'!$B$2:$B$20,MATCH(A104,'Site-uri'!$A$2:$A$20,0))</f>
        <v>5thelement.ai</v>
      </c>
      <c r="C104" s="10" t="s">
        <v>198</v>
      </c>
      <c r="D104" s="10" t="s">
        <v>231</v>
      </c>
      <c r="E104" s="10" t="str">
        <f aca="false">INDEX(Canale!$C$2:$C$30,MATCH(C104,Canale!$A$2:$A$30,0))</f>
        <v>qr_print</v>
      </c>
      <c r="F104" s="10" t="str">
        <f aca="false">INDEX(Canale!$D$2:$D$30,MATCH(C104,Canale!$A$2:$A$30,0))</f>
        <v>qr</v>
      </c>
      <c r="G104" s="10" t="str">
        <f aca="false">INDEX('Site-uri'!$C$2:$C$20,MATCH(A104,'Site-uri'!$A$2:$A$20,0))</f>
        <v>/</v>
      </c>
      <c r="H104" s="10" t="str">
        <f aca="false">Config!$B$3</f>
        <v>2610_ff_lansare</v>
      </c>
      <c r="I104" s="10" t="str">
        <f aca="false">D104&amp;"_"&amp;Config!$B$4</f>
        <v>fierbinte_general</v>
      </c>
      <c r="J104" s="10" t="str">
        <f aca="false">"https://"&amp;B104&amp;G104&amp;"?utm_source="&amp;E104&amp;"&amp;utm_medium="&amp;F104&amp;"&amp;utm_campaign="&amp;H104&amp;"&amp;utm_content="&amp;I104</f>
        <v>https://5thelement.ai/?utm_source=qr_print&amp;utm_medium=qr&amp;utm_campaign=2610_ff_lansare&amp;utm_content=fierbinte_general</v>
      </c>
    </row>
    <row r="105" customFormat="false" ht="15" hidden="false" customHeight="false" outlineLevel="0" collapsed="false">
      <c r="A105" s="10" t="s">
        <v>46</v>
      </c>
      <c r="B105" s="10" t="str">
        <f aca="false">INDEX('Site-uri'!$B$2:$B$20,MATCH(A105,'Site-uri'!$A$2:$A$20,0))</f>
        <v>5thelement.ai</v>
      </c>
      <c r="C105" s="10" t="s">
        <v>198</v>
      </c>
      <c r="D105" s="10" t="s">
        <v>237</v>
      </c>
      <c r="E105" s="10" t="str">
        <f aca="false">INDEX(Canale!$C$2:$C$30,MATCH(C105,Canale!$A$2:$A$30,0))</f>
        <v>qr_print</v>
      </c>
      <c r="F105" s="10" t="str">
        <f aca="false">INDEX(Canale!$D$2:$D$30,MATCH(C105,Canale!$A$2:$A$30,0))</f>
        <v>qr</v>
      </c>
      <c r="G105" s="10" t="str">
        <f aca="false">INDEX('Site-uri'!$C$2:$C$20,MATCH(A105,'Site-uri'!$A$2:$A$20,0))</f>
        <v>/</v>
      </c>
      <c r="H105" s="10" t="str">
        <f aca="false">Config!$B$3</f>
        <v>2610_ff_lansare</v>
      </c>
      <c r="I105" s="10" t="str">
        <f aca="false">D105&amp;"_"&amp;Config!$B$4</f>
        <v>client_general</v>
      </c>
      <c r="J105" s="10" t="str">
        <f aca="false">"https://"&amp;B105&amp;G105&amp;"?utm_source="&amp;E105&amp;"&amp;utm_medium="&amp;F105&amp;"&amp;utm_campaign="&amp;H105&amp;"&amp;utm_content="&amp;I105</f>
        <v>https://5thelement.ai/?utm_source=qr_print&amp;utm_medium=qr&amp;utm_campaign=2610_ff_lansare&amp;utm_content=client_general</v>
      </c>
    </row>
    <row r="106" customFormat="false" ht="15" hidden="false" customHeight="false" outlineLevel="0" collapsed="false">
      <c r="A106" s="10" t="s">
        <v>46</v>
      </c>
      <c r="B106" s="10" t="str">
        <f aca="false">INDEX('Site-uri'!$B$2:$B$20,MATCH(A106,'Site-uri'!$A$2:$A$20,0))</f>
        <v>5thelement.ai</v>
      </c>
      <c r="C106" s="10" t="s">
        <v>202</v>
      </c>
      <c r="D106" s="10" t="s">
        <v>219</v>
      </c>
      <c r="E106" s="10" t="str">
        <f aca="false">INDEX(Canale!$C$2:$C$30,MATCH(C106,Canale!$A$2:$A$30,0))</f>
        <v>event</v>
      </c>
      <c r="F106" s="10" t="str">
        <f aca="false">INDEX(Canale!$D$2:$D$30,MATCH(C106,Canale!$A$2:$A$30,0))</f>
        <v>event</v>
      </c>
      <c r="G106" s="10" t="str">
        <f aca="false">INDEX('Site-uri'!$C$2:$C$20,MATCH(A106,'Site-uri'!$A$2:$A$20,0))</f>
        <v>/</v>
      </c>
      <c r="H106" s="10" t="str">
        <f aca="false">Config!$B$3</f>
        <v>2610_ff_lansare</v>
      </c>
      <c r="I106" s="10" t="str">
        <f aca="false">D106&amp;"_"&amp;Config!$B$4</f>
        <v>rece_general</v>
      </c>
      <c r="J106" s="10" t="str">
        <f aca="false">"https://"&amp;B106&amp;G106&amp;"?utm_source="&amp;E106&amp;"&amp;utm_medium="&amp;F106&amp;"&amp;utm_campaign="&amp;H106&amp;"&amp;utm_content="&amp;I106</f>
        <v>https://5thelement.ai/?utm_source=event&amp;utm_medium=event&amp;utm_campaign=2610_ff_lansare&amp;utm_content=rece_general</v>
      </c>
    </row>
    <row r="107" customFormat="false" ht="15" hidden="false" customHeight="false" outlineLevel="0" collapsed="false">
      <c r="A107" s="10" t="s">
        <v>46</v>
      </c>
      <c r="B107" s="10" t="str">
        <f aca="false">INDEX('Site-uri'!$B$2:$B$20,MATCH(A107,'Site-uri'!$A$2:$A$20,0))</f>
        <v>5thelement.ai</v>
      </c>
      <c r="C107" s="10" t="s">
        <v>202</v>
      </c>
      <c r="D107" s="10" t="s">
        <v>225</v>
      </c>
      <c r="E107" s="10" t="str">
        <f aca="false">INDEX(Canale!$C$2:$C$30,MATCH(C107,Canale!$A$2:$A$30,0))</f>
        <v>event</v>
      </c>
      <c r="F107" s="10" t="str">
        <f aca="false">INDEX(Canale!$D$2:$D$30,MATCH(C107,Canale!$A$2:$A$30,0))</f>
        <v>event</v>
      </c>
      <c r="G107" s="10" t="str">
        <f aca="false">INDEX('Site-uri'!$C$2:$C$20,MATCH(A107,'Site-uri'!$A$2:$A$20,0))</f>
        <v>/</v>
      </c>
      <c r="H107" s="10" t="str">
        <f aca="false">Config!$B$3</f>
        <v>2610_ff_lansare</v>
      </c>
      <c r="I107" s="10" t="str">
        <f aca="false">D107&amp;"_"&amp;Config!$B$4</f>
        <v>cald_general</v>
      </c>
      <c r="J107" s="10" t="str">
        <f aca="false">"https://"&amp;B107&amp;G107&amp;"?utm_source="&amp;E107&amp;"&amp;utm_medium="&amp;F107&amp;"&amp;utm_campaign="&amp;H107&amp;"&amp;utm_content="&amp;I107</f>
        <v>https://5thelement.ai/?utm_source=event&amp;utm_medium=event&amp;utm_campaign=2610_ff_lansare&amp;utm_content=cald_general</v>
      </c>
    </row>
    <row r="108" customFormat="false" ht="15" hidden="false" customHeight="false" outlineLevel="0" collapsed="false">
      <c r="A108" s="10" t="s">
        <v>46</v>
      </c>
      <c r="B108" s="10" t="str">
        <f aca="false">INDEX('Site-uri'!$B$2:$B$20,MATCH(A108,'Site-uri'!$A$2:$A$20,0))</f>
        <v>5thelement.ai</v>
      </c>
      <c r="C108" s="10" t="s">
        <v>202</v>
      </c>
      <c r="D108" s="10" t="s">
        <v>231</v>
      </c>
      <c r="E108" s="10" t="str">
        <f aca="false">INDEX(Canale!$C$2:$C$30,MATCH(C108,Canale!$A$2:$A$30,0))</f>
        <v>event</v>
      </c>
      <c r="F108" s="10" t="str">
        <f aca="false">INDEX(Canale!$D$2:$D$30,MATCH(C108,Canale!$A$2:$A$30,0))</f>
        <v>event</v>
      </c>
      <c r="G108" s="10" t="str">
        <f aca="false">INDEX('Site-uri'!$C$2:$C$20,MATCH(A108,'Site-uri'!$A$2:$A$20,0))</f>
        <v>/</v>
      </c>
      <c r="H108" s="10" t="str">
        <f aca="false">Config!$B$3</f>
        <v>2610_ff_lansare</v>
      </c>
      <c r="I108" s="10" t="str">
        <f aca="false">D108&amp;"_"&amp;Config!$B$4</f>
        <v>fierbinte_general</v>
      </c>
      <c r="J108" s="10" t="str">
        <f aca="false">"https://"&amp;B108&amp;G108&amp;"?utm_source="&amp;E108&amp;"&amp;utm_medium="&amp;F108&amp;"&amp;utm_campaign="&amp;H108&amp;"&amp;utm_content="&amp;I108</f>
        <v>https://5thelement.ai/?utm_source=event&amp;utm_medium=event&amp;utm_campaign=2610_ff_lansare&amp;utm_content=fierbinte_general</v>
      </c>
    </row>
    <row r="109" customFormat="false" ht="15" hidden="false" customHeight="false" outlineLevel="0" collapsed="false">
      <c r="A109" s="10" t="s">
        <v>46</v>
      </c>
      <c r="B109" s="10" t="str">
        <f aca="false">INDEX('Site-uri'!$B$2:$B$20,MATCH(A109,'Site-uri'!$A$2:$A$20,0))</f>
        <v>5thelement.ai</v>
      </c>
      <c r="C109" s="10" t="s">
        <v>202</v>
      </c>
      <c r="D109" s="10" t="s">
        <v>237</v>
      </c>
      <c r="E109" s="10" t="str">
        <f aca="false">INDEX(Canale!$C$2:$C$30,MATCH(C109,Canale!$A$2:$A$30,0))</f>
        <v>event</v>
      </c>
      <c r="F109" s="10" t="str">
        <f aca="false">INDEX(Canale!$D$2:$D$30,MATCH(C109,Canale!$A$2:$A$30,0))</f>
        <v>event</v>
      </c>
      <c r="G109" s="10" t="str">
        <f aca="false">INDEX('Site-uri'!$C$2:$C$20,MATCH(A109,'Site-uri'!$A$2:$A$20,0))</f>
        <v>/</v>
      </c>
      <c r="H109" s="10" t="str">
        <f aca="false">Config!$B$3</f>
        <v>2610_ff_lansare</v>
      </c>
      <c r="I109" s="10" t="str">
        <f aca="false">D109&amp;"_"&amp;Config!$B$4</f>
        <v>client_general</v>
      </c>
      <c r="J109" s="10" t="str">
        <f aca="false">"https://"&amp;B109&amp;G109&amp;"?utm_source="&amp;E109&amp;"&amp;utm_medium="&amp;F109&amp;"&amp;utm_campaign="&amp;H109&amp;"&amp;utm_content="&amp;I109</f>
        <v>https://5thelement.ai/?utm_source=event&amp;utm_medium=event&amp;utm_campaign=2610_ff_lansare&amp;utm_content=client_general</v>
      </c>
    </row>
    <row r="110" customFormat="false" ht="15" hidden="false" customHeight="false" outlineLevel="0" collapsed="false">
      <c r="A110" s="10" t="s">
        <v>46</v>
      </c>
      <c r="B110" s="10" t="str">
        <f aca="false">INDEX('Site-uri'!$B$2:$B$20,MATCH(A110,'Site-uri'!$A$2:$A$20,0))</f>
        <v>5thelement.ai</v>
      </c>
      <c r="C110" s="10" t="s">
        <v>204</v>
      </c>
      <c r="D110" s="10" t="s">
        <v>219</v>
      </c>
      <c r="E110" s="10" t="str">
        <f aca="false">INDEX(Canale!$C$2:$C$30,MATCH(C110,Canale!$A$2:$A$30,0))</f>
        <v>a2a_agent_card</v>
      </c>
      <c r="F110" s="10" t="str">
        <f aca="false">INDEX(Canale!$D$2:$D$30,MATCH(C110,Canale!$A$2:$A$30,0))</f>
        <v>agent</v>
      </c>
      <c r="G110" s="10" t="str">
        <f aca="false">INDEX('Site-uri'!$C$2:$C$20,MATCH(A110,'Site-uri'!$A$2:$A$20,0))</f>
        <v>/</v>
      </c>
      <c r="H110" s="10" t="str">
        <f aca="false">Config!$B$3</f>
        <v>2610_ff_lansare</v>
      </c>
      <c r="I110" s="10" t="str">
        <f aca="false">D110&amp;"_"&amp;Config!$B$4</f>
        <v>rece_general</v>
      </c>
      <c r="J110" s="10" t="str">
        <f aca="false">"https://"&amp;B110&amp;G110&amp;"?utm_source="&amp;E110&amp;"&amp;utm_medium="&amp;F110&amp;"&amp;utm_campaign="&amp;H110&amp;"&amp;utm_content="&amp;I110</f>
        <v>https://5thelement.ai/?utm_source=a2a_agent_card&amp;utm_medium=agent&amp;utm_campaign=2610_ff_lansare&amp;utm_content=rece_general</v>
      </c>
    </row>
    <row r="111" customFormat="false" ht="15" hidden="false" customHeight="false" outlineLevel="0" collapsed="false">
      <c r="A111" s="10" t="s">
        <v>46</v>
      </c>
      <c r="B111" s="10" t="str">
        <f aca="false">INDEX('Site-uri'!$B$2:$B$20,MATCH(A111,'Site-uri'!$A$2:$A$20,0))</f>
        <v>5thelement.ai</v>
      </c>
      <c r="C111" s="10" t="s">
        <v>204</v>
      </c>
      <c r="D111" s="10" t="s">
        <v>225</v>
      </c>
      <c r="E111" s="10" t="str">
        <f aca="false">INDEX(Canale!$C$2:$C$30,MATCH(C111,Canale!$A$2:$A$30,0))</f>
        <v>a2a_agent_card</v>
      </c>
      <c r="F111" s="10" t="str">
        <f aca="false">INDEX(Canale!$D$2:$D$30,MATCH(C111,Canale!$A$2:$A$30,0))</f>
        <v>agent</v>
      </c>
      <c r="G111" s="10" t="str">
        <f aca="false">INDEX('Site-uri'!$C$2:$C$20,MATCH(A111,'Site-uri'!$A$2:$A$20,0))</f>
        <v>/</v>
      </c>
      <c r="H111" s="10" t="str">
        <f aca="false">Config!$B$3</f>
        <v>2610_ff_lansare</v>
      </c>
      <c r="I111" s="10" t="str">
        <f aca="false">D111&amp;"_"&amp;Config!$B$4</f>
        <v>cald_general</v>
      </c>
      <c r="J111" s="10" t="str">
        <f aca="false">"https://"&amp;B111&amp;G111&amp;"?utm_source="&amp;E111&amp;"&amp;utm_medium="&amp;F111&amp;"&amp;utm_campaign="&amp;H111&amp;"&amp;utm_content="&amp;I111</f>
        <v>https://5thelement.ai/?utm_source=a2a_agent_card&amp;utm_medium=agent&amp;utm_campaign=2610_ff_lansare&amp;utm_content=cald_general</v>
      </c>
    </row>
    <row r="112" customFormat="false" ht="15" hidden="false" customHeight="false" outlineLevel="0" collapsed="false">
      <c r="A112" s="10" t="s">
        <v>46</v>
      </c>
      <c r="B112" s="10" t="str">
        <f aca="false">INDEX('Site-uri'!$B$2:$B$20,MATCH(A112,'Site-uri'!$A$2:$A$20,0))</f>
        <v>5thelement.ai</v>
      </c>
      <c r="C112" s="10" t="s">
        <v>204</v>
      </c>
      <c r="D112" s="10" t="s">
        <v>231</v>
      </c>
      <c r="E112" s="10" t="str">
        <f aca="false">INDEX(Canale!$C$2:$C$30,MATCH(C112,Canale!$A$2:$A$30,0))</f>
        <v>a2a_agent_card</v>
      </c>
      <c r="F112" s="10" t="str">
        <f aca="false">INDEX(Canale!$D$2:$D$30,MATCH(C112,Canale!$A$2:$A$30,0))</f>
        <v>agent</v>
      </c>
      <c r="G112" s="10" t="str">
        <f aca="false">INDEX('Site-uri'!$C$2:$C$20,MATCH(A112,'Site-uri'!$A$2:$A$20,0))</f>
        <v>/</v>
      </c>
      <c r="H112" s="10" t="str">
        <f aca="false">Config!$B$3</f>
        <v>2610_ff_lansare</v>
      </c>
      <c r="I112" s="10" t="str">
        <f aca="false">D112&amp;"_"&amp;Config!$B$4</f>
        <v>fierbinte_general</v>
      </c>
      <c r="J112" s="10" t="str">
        <f aca="false">"https://"&amp;B112&amp;G112&amp;"?utm_source="&amp;E112&amp;"&amp;utm_medium="&amp;F112&amp;"&amp;utm_campaign="&amp;H112&amp;"&amp;utm_content="&amp;I112</f>
        <v>https://5thelement.ai/?utm_source=a2a_agent_card&amp;utm_medium=agent&amp;utm_campaign=2610_ff_lansare&amp;utm_content=fierbinte_general</v>
      </c>
    </row>
    <row r="113" customFormat="false" ht="15" hidden="false" customHeight="false" outlineLevel="0" collapsed="false">
      <c r="A113" s="10" t="s">
        <v>46</v>
      </c>
      <c r="B113" s="10" t="str">
        <f aca="false">INDEX('Site-uri'!$B$2:$B$20,MATCH(A113,'Site-uri'!$A$2:$A$20,0))</f>
        <v>5thelement.ai</v>
      </c>
      <c r="C113" s="10" t="s">
        <v>204</v>
      </c>
      <c r="D113" s="10" t="s">
        <v>237</v>
      </c>
      <c r="E113" s="10" t="str">
        <f aca="false">INDEX(Canale!$C$2:$C$30,MATCH(C113,Canale!$A$2:$A$30,0))</f>
        <v>a2a_agent_card</v>
      </c>
      <c r="F113" s="10" t="str">
        <f aca="false">INDEX(Canale!$D$2:$D$30,MATCH(C113,Canale!$A$2:$A$30,0))</f>
        <v>agent</v>
      </c>
      <c r="G113" s="10" t="str">
        <f aca="false">INDEX('Site-uri'!$C$2:$C$20,MATCH(A113,'Site-uri'!$A$2:$A$20,0))</f>
        <v>/</v>
      </c>
      <c r="H113" s="10" t="str">
        <f aca="false">Config!$B$3</f>
        <v>2610_ff_lansare</v>
      </c>
      <c r="I113" s="10" t="str">
        <f aca="false">D113&amp;"_"&amp;Config!$B$4</f>
        <v>client_general</v>
      </c>
      <c r="J113" s="10" t="str">
        <f aca="false">"https://"&amp;B113&amp;G113&amp;"?utm_source="&amp;E113&amp;"&amp;utm_medium="&amp;F113&amp;"&amp;utm_campaign="&amp;H113&amp;"&amp;utm_content="&amp;I113</f>
        <v>https://5thelement.ai/?utm_source=a2a_agent_card&amp;utm_medium=agent&amp;utm_campaign=2610_ff_lansare&amp;utm_content=client_general</v>
      </c>
    </row>
    <row r="114" customFormat="false" ht="15" hidden="false" customHeight="false" outlineLevel="0" collapsed="false">
      <c r="A114" s="10" t="s">
        <v>46</v>
      </c>
      <c r="B114" s="10" t="str">
        <f aca="false">INDEX('Site-uri'!$B$2:$B$20,MATCH(A114,'Site-uri'!$A$2:$A$20,0))</f>
        <v>5thelement.ai</v>
      </c>
      <c r="C114" s="10" t="s">
        <v>209</v>
      </c>
      <c r="D114" s="10" t="s">
        <v>219</v>
      </c>
      <c r="E114" s="10" t="str">
        <f aca="false">INDEX(Canale!$C$2:$C$30,MATCH(C114,Canale!$A$2:$A$30,0))</f>
        <v>llms_txt</v>
      </c>
      <c r="F114" s="10" t="str">
        <f aca="false">INDEX(Canale!$D$2:$D$30,MATCH(C114,Canale!$A$2:$A$30,0))</f>
        <v>ai_web</v>
      </c>
      <c r="G114" s="10" t="str">
        <f aca="false">INDEX('Site-uri'!$C$2:$C$20,MATCH(A114,'Site-uri'!$A$2:$A$20,0))</f>
        <v>/</v>
      </c>
      <c r="H114" s="10" t="str">
        <f aca="false">Config!$B$3</f>
        <v>2610_ff_lansare</v>
      </c>
      <c r="I114" s="10" t="str">
        <f aca="false">D114&amp;"_"&amp;Config!$B$4</f>
        <v>rece_general</v>
      </c>
      <c r="J114" s="10" t="str">
        <f aca="false">"https://"&amp;B114&amp;G114&amp;"?utm_source="&amp;E114&amp;"&amp;utm_medium="&amp;F114&amp;"&amp;utm_campaign="&amp;H114&amp;"&amp;utm_content="&amp;I114</f>
        <v>https://5thelement.ai/?utm_source=llms_txt&amp;utm_medium=ai_web&amp;utm_campaign=2610_ff_lansare&amp;utm_content=rece_general</v>
      </c>
    </row>
    <row r="115" customFormat="false" ht="15" hidden="false" customHeight="false" outlineLevel="0" collapsed="false">
      <c r="A115" s="10" t="s">
        <v>46</v>
      </c>
      <c r="B115" s="10" t="str">
        <f aca="false">INDEX('Site-uri'!$B$2:$B$20,MATCH(A115,'Site-uri'!$A$2:$A$20,0))</f>
        <v>5thelement.ai</v>
      </c>
      <c r="C115" s="10" t="s">
        <v>209</v>
      </c>
      <c r="D115" s="10" t="s">
        <v>225</v>
      </c>
      <c r="E115" s="10" t="str">
        <f aca="false">INDEX(Canale!$C$2:$C$30,MATCH(C115,Canale!$A$2:$A$30,0))</f>
        <v>llms_txt</v>
      </c>
      <c r="F115" s="10" t="str">
        <f aca="false">INDEX(Canale!$D$2:$D$30,MATCH(C115,Canale!$A$2:$A$30,0))</f>
        <v>ai_web</v>
      </c>
      <c r="G115" s="10" t="str">
        <f aca="false">INDEX('Site-uri'!$C$2:$C$20,MATCH(A115,'Site-uri'!$A$2:$A$20,0))</f>
        <v>/</v>
      </c>
      <c r="H115" s="10" t="str">
        <f aca="false">Config!$B$3</f>
        <v>2610_ff_lansare</v>
      </c>
      <c r="I115" s="10" t="str">
        <f aca="false">D115&amp;"_"&amp;Config!$B$4</f>
        <v>cald_general</v>
      </c>
      <c r="J115" s="10" t="str">
        <f aca="false">"https://"&amp;B115&amp;G115&amp;"?utm_source="&amp;E115&amp;"&amp;utm_medium="&amp;F115&amp;"&amp;utm_campaign="&amp;H115&amp;"&amp;utm_content="&amp;I115</f>
        <v>https://5thelement.ai/?utm_source=llms_txt&amp;utm_medium=ai_web&amp;utm_campaign=2610_ff_lansare&amp;utm_content=cald_general</v>
      </c>
    </row>
    <row r="116" customFormat="false" ht="15" hidden="false" customHeight="false" outlineLevel="0" collapsed="false">
      <c r="A116" s="10" t="s">
        <v>46</v>
      </c>
      <c r="B116" s="10" t="str">
        <f aca="false">INDEX('Site-uri'!$B$2:$B$20,MATCH(A116,'Site-uri'!$A$2:$A$20,0))</f>
        <v>5thelement.ai</v>
      </c>
      <c r="C116" s="10" t="s">
        <v>209</v>
      </c>
      <c r="D116" s="10" t="s">
        <v>231</v>
      </c>
      <c r="E116" s="10" t="str">
        <f aca="false">INDEX(Canale!$C$2:$C$30,MATCH(C116,Canale!$A$2:$A$30,0))</f>
        <v>llms_txt</v>
      </c>
      <c r="F116" s="10" t="str">
        <f aca="false">INDEX(Canale!$D$2:$D$30,MATCH(C116,Canale!$A$2:$A$30,0))</f>
        <v>ai_web</v>
      </c>
      <c r="G116" s="10" t="str">
        <f aca="false">INDEX('Site-uri'!$C$2:$C$20,MATCH(A116,'Site-uri'!$A$2:$A$20,0))</f>
        <v>/</v>
      </c>
      <c r="H116" s="10" t="str">
        <f aca="false">Config!$B$3</f>
        <v>2610_ff_lansare</v>
      </c>
      <c r="I116" s="10" t="str">
        <f aca="false">D116&amp;"_"&amp;Config!$B$4</f>
        <v>fierbinte_general</v>
      </c>
      <c r="J116" s="10" t="str">
        <f aca="false">"https://"&amp;B116&amp;G116&amp;"?utm_source="&amp;E116&amp;"&amp;utm_medium="&amp;F116&amp;"&amp;utm_campaign="&amp;H116&amp;"&amp;utm_content="&amp;I116</f>
        <v>https://5thelement.ai/?utm_source=llms_txt&amp;utm_medium=ai_web&amp;utm_campaign=2610_ff_lansare&amp;utm_content=fierbinte_general</v>
      </c>
    </row>
    <row r="117" customFormat="false" ht="15" hidden="false" customHeight="false" outlineLevel="0" collapsed="false">
      <c r="A117" s="10" t="s">
        <v>46</v>
      </c>
      <c r="B117" s="10" t="str">
        <f aca="false">INDEX('Site-uri'!$B$2:$B$20,MATCH(A117,'Site-uri'!$A$2:$A$20,0))</f>
        <v>5thelement.ai</v>
      </c>
      <c r="C117" s="10" t="s">
        <v>209</v>
      </c>
      <c r="D117" s="10" t="s">
        <v>237</v>
      </c>
      <c r="E117" s="10" t="str">
        <f aca="false">INDEX(Canale!$C$2:$C$30,MATCH(C117,Canale!$A$2:$A$30,0))</f>
        <v>llms_txt</v>
      </c>
      <c r="F117" s="10" t="str">
        <f aca="false">INDEX(Canale!$D$2:$D$30,MATCH(C117,Canale!$A$2:$A$30,0))</f>
        <v>ai_web</v>
      </c>
      <c r="G117" s="10" t="str">
        <f aca="false">INDEX('Site-uri'!$C$2:$C$20,MATCH(A117,'Site-uri'!$A$2:$A$20,0))</f>
        <v>/</v>
      </c>
      <c r="H117" s="10" t="str">
        <f aca="false">Config!$B$3</f>
        <v>2610_ff_lansare</v>
      </c>
      <c r="I117" s="10" t="str">
        <f aca="false">D117&amp;"_"&amp;Config!$B$4</f>
        <v>client_general</v>
      </c>
      <c r="J117" s="10" t="str">
        <f aca="false">"https://"&amp;B117&amp;G117&amp;"?utm_source="&amp;E117&amp;"&amp;utm_medium="&amp;F117&amp;"&amp;utm_campaign="&amp;H117&amp;"&amp;utm_content="&amp;I117</f>
        <v>https://5thelement.ai/?utm_source=llms_txt&amp;utm_medium=ai_web&amp;utm_campaign=2610_ff_lansare&amp;utm_content=client_general</v>
      </c>
    </row>
    <row r="118" customFormat="false" ht="15" hidden="false" customHeight="false" outlineLevel="0" collapsed="false">
      <c r="A118" s="10" t="s">
        <v>50</v>
      </c>
      <c r="B118" s="10" t="str">
        <f aca="false">INDEX('Site-uri'!$B$2:$B$20,MATCH(A118,'Site-uri'!$A$2:$A$20,0))</f>
        <v>aiventure.ro</v>
      </c>
      <c r="C118" s="10" t="s">
        <v>104</v>
      </c>
      <c r="D118" s="10" t="s">
        <v>219</v>
      </c>
      <c r="E118" s="10" t="str">
        <f aca="false">INDEX(Canale!$C$2:$C$30,MATCH(C118,Canale!$A$2:$A$30,0))</f>
        <v>linkedin_personal</v>
      </c>
      <c r="F118" s="10" t="str">
        <f aca="false">INDEX(Canale!$D$2:$D$30,MATCH(C118,Canale!$A$2:$A$30,0))</f>
        <v>social</v>
      </c>
      <c r="G118" s="10" t="str">
        <f aca="false">INDEX('Site-uri'!$C$2:$C$20,MATCH(A118,'Site-uri'!$A$2:$A$20,0))</f>
        <v>/</v>
      </c>
      <c r="H118" s="10" t="str">
        <f aca="false">Config!$B$3</f>
        <v>2610_ff_lansare</v>
      </c>
      <c r="I118" s="10" t="str">
        <f aca="false">D118&amp;"_"&amp;Config!$B$4</f>
        <v>rece_general</v>
      </c>
      <c r="J118" s="10" t="str">
        <f aca="false">"https://"&amp;B118&amp;G118&amp;"?utm_source="&amp;E118&amp;"&amp;utm_medium="&amp;F118&amp;"&amp;utm_campaign="&amp;H118&amp;"&amp;utm_content="&amp;I118</f>
        <v>https://aiventure.ro/?utm_source=linkedin_personal&amp;utm_medium=social&amp;utm_campaign=2610_ff_lansare&amp;utm_content=rece_general</v>
      </c>
    </row>
    <row r="119" customFormat="false" ht="15" hidden="false" customHeight="false" outlineLevel="0" collapsed="false">
      <c r="A119" s="10" t="s">
        <v>50</v>
      </c>
      <c r="B119" s="10" t="str">
        <f aca="false">INDEX('Site-uri'!$B$2:$B$20,MATCH(A119,'Site-uri'!$A$2:$A$20,0))</f>
        <v>aiventure.ro</v>
      </c>
      <c r="C119" s="10" t="s">
        <v>104</v>
      </c>
      <c r="D119" s="10" t="s">
        <v>225</v>
      </c>
      <c r="E119" s="10" t="str">
        <f aca="false">INDEX(Canale!$C$2:$C$30,MATCH(C119,Canale!$A$2:$A$30,0))</f>
        <v>linkedin_personal</v>
      </c>
      <c r="F119" s="10" t="str">
        <f aca="false">INDEX(Canale!$D$2:$D$30,MATCH(C119,Canale!$A$2:$A$30,0))</f>
        <v>social</v>
      </c>
      <c r="G119" s="10" t="str">
        <f aca="false">INDEX('Site-uri'!$C$2:$C$20,MATCH(A119,'Site-uri'!$A$2:$A$20,0))</f>
        <v>/</v>
      </c>
      <c r="H119" s="10" t="str">
        <f aca="false">Config!$B$3</f>
        <v>2610_ff_lansare</v>
      </c>
      <c r="I119" s="10" t="str">
        <f aca="false">D119&amp;"_"&amp;Config!$B$4</f>
        <v>cald_general</v>
      </c>
      <c r="J119" s="10" t="str">
        <f aca="false">"https://"&amp;B119&amp;G119&amp;"?utm_source="&amp;E119&amp;"&amp;utm_medium="&amp;F119&amp;"&amp;utm_campaign="&amp;H119&amp;"&amp;utm_content="&amp;I119</f>
        <v>https://aiventure.ro/?utm_source=linkedin_personal&amp;utm_medium=social&amp;utm_campaign=2610_ff_lansare&amp;utm_content=cald_general</v>
      </c>
    </row>
    <row r="120" customFormat="false" ht="15" hidden="false" customHeight="false" outlineLevel="0" collapsed="false">
      <c r="A120" s="10" t="s">
        <v>50</v>
      </c>
      <c r="B120" s="10" t="str">
        <f aca="false">INDEX('Site-uri'!$B$2:$B$20,MATCH(A120,'Site-uri'!$A$2:$A$20,0))</f>
        <v>aiventure.ro</v>
      </c>
      <c r="C120" s="10" t="s">
        <v>104</v>
      </c>
      <c r="D120" s="10" t="s">
        <v>231</v>
      </c>
      <c r="E120" s="10" t="str">
        <f aca="false">INDEX(Canale!$C$2:$C$30,MATCH(C120,Canale!$A$2:$A$30,0))</f>
        <v>linkedin_personal</v>
      </c>
      <c r="F120" s="10" t="str">
        <f aca="false">INDEX(Canale!$D$2:$D$30,MATCH(C120,Canale!$A$2:$A$30,0))</f>
        <v>social</v>
      </c>
      <c r="G120" s="10" t="str">
        <f aca="false">INDEX('Site-uri'!$C$2:$C$20,MATCH(A120,'Site-uri'!$A$2:$A$20,0))</f>
        <v>/</v>
      </c>
      <c r="H120" s="10" t="str">
        <f aca="false">Config!$B$3</f>
        <v>2610_ff_lansare</v>
      </c>
      <c r="I120" s="10" t="str">
        <f aca="false">D120&amp;"_"&amp;Config!$B$4</f>
        <v>fierbinte_general</v>
      </c>
      <c r="J120" s="10" t="str">
        <f aca="false">"https://"&amp;B120&amp;G120&amp;"?utm_source="&amp;E120&amp;"&amp;utm_medium="&amp;F120&amp;"&amp;utm_campaign="&amp;H120&amp;"&amp;utm_content="&amp;I120</f>
        <v>https://aiventure.ro/?utm_source=linkedin_personal&amp;utm_medium=social&amp;utm_campaign=2610_ff_lansare&amp;utm_content=fierbinte_general</v>
      </c>
    </row>
    <row r="121" customFormat="false" ht="15" hidden="false" customHeight="false" outlineLevel="0" collapsed="false">
      <c r="A121" s="10" t="s">
        <v>50</v>
      </c>
      <c r="B121" s="10" t="str">
        <f aca="false">INDEX('Site-uri'!$B$2:$B$20,MATCH(A121,'Site-uri'!$A$2:$A$20,0))</f>
        <v>aiventure.ro</v>
      </c>
      <c r="C121" s="10" t="s">
        <v>104</v>
      </c>
      <c r="D121" s="10" t="s">
        <v>237</v>
      </c>
      <c r="E121" s="10" t="str">
        <f aca="false">INDEX(Canale!$C$2:$C$30,MATCH(C121,Canale!$A$2:$A$30,0))</f>
        <v>linkedin_personal</v>
      </c>
      <c r="F121" s="10" t="str">
        <f aca="false">INDEX(Canale!$D$2:$D$30,MATCH(C121,Canale!$A$2:$A$30,0))</f>
        <v>social</v>
      </c>
      <c r="G121" s="10" t="str">
        <f aca="false">INDEX('Site-uri'!$C$2:$C$20,MATCH(A121,'Site-uri'!$A$2:$A$20,0))</f>
        <v>/</v>
      </c>
      <c r="H121" s="10" t="str">
        <f aca="false">Config!$B$3</f>
        <v>2610_ff_lansare</v>
      </c>
      <c r="I121" s="10" t="str">
        <f aca="false">D121&amp;"_"&amp;Config!$B$4</f>
        <v>client_general</v>
      </c>
      <c r="J121" s="10" t="str">
        <f aca="false">"https://"&amp;B121&amp;G121&amp;"?utm_source="&amp;E121&amp;"&amp;utm_medium="&amp;F121&amp;"&amp;utm_campaign="&amp;H121&amp;"&amp;utm_content="&amp;I121</f>
        <v>https://aiventure.ro/?utm_source=linkedin_personal&amp;utm_medium=social&amp;utm_campaign=2610_ff_lansare&amp;utm_content=client_general</v>
      </c>
    </row>
    <row r="122" customFormat="false" ht="15" hidden="false" customHeight="false" outlineLevel="0" collapsed="false">
      <c r="A122" s="10" t="s">
        <v>50</v>
      </c>
      <c r="B122" s="10" t="str">
        <f aca="false">INDEX('Site-uri'!$B$2:$B$20,MATCH(A122,'Site-uri'!$A$2:$A$20,0))</f>
        <v>aiventure.ro</v>
      </c>
      <c r="C122" s="10" t="s">
        <v>109</v>
      </c>
      <c r="D122" s="10" t="s">
        <v>219</v>
      </c>
      <c r="E122" s="10" t="str">
        <f aca="false">INDEX(Canale!$C$2:$C$30,MATCH(C122,Canale!$A$2:$A$30,0))</f>
        <v>linkedin_company</v>
      </c>
      <c r="F122" s="10" t="str">
        <f aca="false">INDEX(Canale!$D$2:$D$30,MATCH(C122,Canale!$A$2:$A$30,0))</f>
        <v>social</v>
      </c>
      <c r="G122" s="10" t="str">
        <f aca="false">INDEX('Site-uri'!$C$2:$C$20,MATCH(A122,'Site-uri'!$A$2:$A$20,0))</f>
        <v>/</v>
      </c>
      <c r="H122" s="10" t="str">
        <f aca="false">Config!$B$3</f>
        <v>2610_ff_lansare</v>
      </c>
      <c r="I122" s="10" t="str">
        <f aca="false">D122&amp;"_"&amp;Config!$B$4</f>
        <v>rece_general</v>
      </c>
      <c r="J122" s="10" t="str">
        <f aca="false">"https://"&amp;B122&amp;G122&amp;"?utm_source="&amp;E122&amp;"&amp;utm_medium="&amp;F122&amp;"&amp;utm_campaign="&amp;H122&amp;"&amp;utm_content="&amp;I122</f>
        <v>https://aiventure.ro/?utm_source=linkedin_company&amp;utm_medium=social&amp;utm_campaign=2610_ff_lansare&amp;utm_content=rece_general</v>
      </c>
    </row>
    <row r="123" customFormat="false" ht="15" hidden="false" customHeight="false" outlineLevel="0" collapsed="false">
      <c r="A123" s="10" t="s">
        <v>50</v>
      </c>
      <c r="B123" s="10" t="str">
        <f aca="false">INDEX('Site-uri'!$B$2:$B$20,MATCH(A123,'Site-uri'!$A$2:$A$20,0))</f>
        <v>aiventure.ro</v>
      </c>
      <c r="C123" s="10" t="s">
        <v>109</v>
      </c>
      <c r="D123" s="10" t="s">
        <v>225</v>
      </c>
      <c r="E123" s="10" t="str">
        <f aca="false">INDEX(Canale!$C$2:$C$30,MATCH(C123,Canale!$A$2:$A$30,0))</f>
        <v>linkedin_company</v>
      </c>
      <c r="F123" s="10" t="str">
        <f aca="false">INDEX(Canale!$D$2:$D$30,MATCH(C123,Canale!$A$2:$A$30,0))</f>
        <v>social</v>
      </c>
      <c r="G123" s="10" t="str">
        <f aca="false">INDEX('Site-uri'!$C$2:$C$20,MATCH(A123,'Site-uri'!$A$2:$A$20,0))</f>
        <v>/</v>
      </c>
      <c r="H123" s="10" t="str">
        <f aca="false">Config!$B$3</f>
        <v>2610_ff_lansare</v>
      </c>
      <c r="I123" s="10" t="str">
        <f aca="false">D123&amp;"_"&amp;Config!$B$4</f>
        <v>cald_general</v>
      </c>
      <c r="J123" s="10" t="str">
        <f aca="false">"https://"&amp;B123&amp;G123&amp;"?utm_source="&amp;E123&amp;"&amp;utm_medium="&amp;F123&amp;"&amp;utm_campaign="&amp;H123&amp;"&amp;utm_content="&amp;I123</f>
        <v>https://aiventure.ro/?utm_source=linkedin_company&amp;utm_medium=social&amp;utm_campaign=2610_ff_lansare&amp;utm_content=cald_general</v>
      </c>
    </row>
    <row r="124" customFormat="false" ht="15" hidden="false" customHeight="false" outlineLevel="0" collapsed="false">
      <c r="A124" s="10" t="s">
        <v>50</v>
      </c>
      <c r="B124" s="10" t="str">
        <f aca="false">INDEX('Site-uri'!$B$2:$B$20,MATCH(A124,'Site-uri'!$A$2:$A$20,0))</f>
        <v>aiventure.ro</v>
      </c>
      <c r="C124" s="10" t="s">
        <v>109</v>
      </c>
      <c r="D124" s="10" t="s">
        <v>231</v>
      </c>
      <c r="E124" s="10" t="str">
        <f aca="false">INDEX(Canale!$C$2:$C$30,MATCH(C124,Canale!$A$2:$A$30,0))</f>
        <v>linkedin_company</v>
      </c>
      <c r="F124" s="10" t="str">
        <f aca="false">INDEX(Canale!$D$2:$D$30,MATCH(C124,Canale!$A$2:$A$30,0))</f>
        <v>social</v>
      </c>
      <c r="G124" s="10" t="str">
        <f aca="false">INDEX('Site-uri'!$C$2:$C$20,MATCH(A124,'Site-uri'!$A$2:$A$20,0))</f>
        <v>/</v>
      </c>
      <c r="H124" s="10" t="str">
        <f aca="false">Config!$B$3</f>
        <v>2610_ff_lansare</v>
      </c>
      <c r="I124" s="10" t="str">
        <f aca="false">D124&amp;"_"&amp;Config!$B$4</f>
        <v>fierbinte_general</v>
      </c>
      <c r="J124" s="10" t="str">
        <f aca="false">"https://"&amp;B124&amp;G124&amp;"?utm_source="&amp;E124&amp;"&amp;utm_medium="&amp;F124&amp;"&amp;utm_campaign="&amp;H124&amp;"&amp;utm_content="&amp;I124</f>
        <v>https://aiventure.ro/?utm_source=linkedin_company&amp;utm_medium=social&amp;utm_campaign=2610_ff_lansare&amp;utm_content=fierbinte_general</v>
      </c>
    </row>
    <row r="125" customFormat="false" ht="15" hidden="false" customHeight="false" outlineLevel="0" collapsed="false">
      <c r="A125" s="10" t="s">
        <v>50</v>
      </c>
      <c r="B125" s="10" t="str">
        <f aca="false">INDEX('Site-uri'!$B$2:$B$20,MATCH(A125,'Site-uri'!$A$2:$A$20,0))</f>
        <v>aiventure.ro</v>
      </c>
      <c r="C125" s="10" t="s">
        <v>109</v>
      </c>
      <c r="D125" s="10" t="s">
        <v>237</v>
      </c>
      <c r="E125" s="10" t="str">
        <f aca="false">INDEX(Canale!$C$2:$C$30,MATCH(C125,Canale!$A$2:$A$30,0))</f>
        <v>linkedin_company</v>
      </c>
      <c r="F125" s="10" t="str">
        <f aca="false">INDEX(Canale!$D$2:$D$30,MATCH(C125,Canale!$A$2:$A$30,0))</f>
        <v>social</v>
      </c>
      <c r="G125" s="10" t="str">
        <f aca="false">INDEX('Site-uri'!$C$2:$C$20,MATCH(A125,'Site-uri'!$A$2:$A$20,0))</f>
        <v>/</v>
      </c>
      <c r="H125" s="10" t="str">
        <f aca="false">Config!$B$3</f>
        <v>2610_ff_lansare</v>
      </c>
      <c r="I125" s="10" t="str">
        <f aca="false">D125&amp;"_"&amp;Config!$B$4</f>
        <v>client_general</v>
      </c>
      <c r="J125" s="10" t="str">
        <f aca="false">"https://"&amp;B125&amp;G125&amp;"?utm_source="&amp;E125&amp;"&amp;utm_medium="&amp;F125&amp;"&amp;utm_campaign="&amp;H125&amp;"&amp;utm_content="&amp;I125</f>
        <v>https://aiventure.ro/?utm_source=linkedin_company&amp;utm_medium=social&amp;utm_campaign=2610_ff_lansare&amp;utm_content=client_general</v>
      </c>
    </row>
    <row r="126" customFormat="false" ht="15" hidden="false" customHeight="false" outlineLevel="0" collapsed="false">
      <c r="A126" s="10" t="s">
        <v>50</v>
      </c>
      <c r="B126" s="10" t="str">
        <f aca="false">INDEX('Site-uri'!$B$2:$B$20,MATCH(A126,'Site-uri'!$A$2:$A$20,0))</f>
        <v>aiventure.ro</v>
      </c>
      <c r="C126" s="10" t="s">
        <v>112</v>
      </c>
      <c r="D126" s="10" t="s">
        <v>219</v>
      </c>
      <c r="E126" s="10" t="str">
        <f aca="false">INDEX(Canale!$C$2:$C$30,MATCH(C126,Canale!$A$2:$A$30,0))</f>
        <v>linkedin_showcase</v>
      </c>
      <c r="F126" s="10" t="str">
        <f aca="false">INDEX(Canale!$D$2:$D$30,MATCH(C126,Canale!$A$2:$A$30,0))</f>
        <v>social</v>
      </c>
      <c r="G126" s="10" t="str">
        <f aca="false">INDEX('Site-uri'!$C$2:$C$20,MATCH(A126,'Site-uri'!$A$2:$A$20,0))</f>
        <v>/</v>
      </c>
      <c r="H126" s="10" t="str">
        <f aca="false">Config!$B$3</f>
        <v>2610_ff_lansare</v>
      </c>
      <c r="I126" s="10" t="str">
        <f aca="false">D126&amp;"_"&amp;Config!$B$4</f>
        <v>rece_general</v>
      </c>
      <c r="J126" s="10" t="str">
        <f aca="false">"https://"&amp;B126&amp;G126&amp;"?utm_source="&amp;E126&amp;"&amp;utm_medium="&amp;F126&amp;"&amp;utm_campaign="&amp;H126&amp;"&amp;utm_content="&amp;I126</f>
        <v>https://aiventure.ro/?utm_source=linkedin_showcase&amp;utm_medium=social&amp;utm_campaign=2610_ff_lansare&amp;utm_content=rece_general</v>
      </c>
    </row>
    <row r="127" customFormat="false" ht="15" hidden="false" customHeight="false" outlineLevel="0" collapsed="false">
      <c r="A127" s="10" t="s">
        <v>50</v>
      </c>
      <c r="B127" s="10" t="str">
        <f aca="false">INDEX('Site-uri'!$B$2:$B$20,MATCH(A127,'Site-uri'!$A$2:$A$20,0))</f>
        <v>aiventure.ro</v>
      </c>
      <c r="C127" s="10" t="s">
        <v>112</v>
      </c>
      <c r="D127" s="10" t="s">
        <v>225</v>
      </c>
      <c r="E127" s="10" t="str">
        <f aca="false">INDEX(Canale!$C$2:$C$30,MATCH(C127,Canale!$A$2:$A$30,0))</f>
        <v>linkedin_showcase</v>
      </c>
      <c r="F127" s="10" t="str">
        <f aca="false">INDEX(Canale!$D$2:$D$30,MATCH(C127,Canale!$A$2:$A$30,0))</f>
        <v>social</v>
      </c>
      <c r="G127" s="10" t="str">
        <f aca="false">INDEX('Site-uri'!$C$2:$C$20,MATCH(A127,'Site-uri'!$A$2:$A$20,0))</f>
        <v>/</v>
      </c>
      <c r="H127" s="10" t="str">
        <f aca="false">Config!$B$3</f>
        <v>2610_ff_lansare</v>
      </c>
      <c r="I127" s="10" t="str">
        <f aca="false">D127&amp;"_"&amp;Config!$B$4</f>
        <v>cald_general</v>
      </c>
      <c r="J127" s="10" t="str">
        <f aca="false">"https://"&amp;B127&amp;G127&amp;"?utm_source="&amp;E127&amp;"&amp;utm_medium="&amp;F127&amp;"&amp;utm_campaign="&amp;H127&amp;"&amp;utm_content="&amp;I127</f>
        <v>https://aiventure.ro/?utm_source=linkedin_showcase&amp;utm_medium=social&amp;utm_campaign=2610_ff_lansare&amp;utm_content=cald_general</v>
      </c>
    </row>
    <row r="128" customFormat="false" ht="15" hidden="false" customHeight="false" outlineLevel="0" collapsed="false">
      <c r="A128" s="10" t="s">
        <v>50</v>
      </c>
      <c r="B128" s="10" t="str">
        <f aca="false">INDEX('Site-uri'!$B$2:$B$20,MATCH(A128,'Site-uri'!$A$2:$A$20,0))</f>
        <v>aiventure.ro</v>
      </c>
      <c r="C128" s="10" t="s">
        <v>112</v>
      </c>
      <c r="D128" s="10" t="s">
        <v>231</v>
      </c>
      <c r="E128" s="10" t="str">
        <f aca="false">INDEX(Canale!$C$2:$C$30,MATCH(C128,Canale!$A$2:$A$30,0))</f>
        <v>linkedin_showcase</v>
      </c>
      <c r="F128" s="10" t="str">
        <f aca="false">INDEX(Canale!$D$2:$D$30,MATCH(C128,Canale!$A$2:$A$30,0))</f>
        <v>social</v>
      </c>
      <c r="G128" s="10" t="str">
        <f aca="false">INDEX('Site-uri'!$C$2:$C$20,MATCH(A128,'Site-uri'!$A$2:$A$20,0))</f>
        <v>/</v>
      </c>
      <c r="H128" s="10" t="str">
        <f aca="false">Config!$B$3</f>
        <v>2610_ff_lansare</v>
      </c>
      <c r="I128" s="10" t="str">
        <f aca="false">D128&amp;"_"&amp;Config!$B$4</f>
        <v>fierbinte_general</v>
      </c>
      <c r="J128" s="10" t="str">
        <f aca="false">"https://"&amp;B128&amp;G128&amp;"?utm_source="&amp;E128&amp;"&amp;utm_medium="&amp;F128&amp;"&amp;utm_campaign="&amp;H128&amp;"&amp;utm_content="&amp;I128</f>
        <v>https://aiventure.ro/?utm_source=linkedin_showcase&amp;utm_medium=social&amp;utm_campaign=2610_ff_lansare&amp;utm_content=fierbinte_general</v>
      </c>
    </row>
    <row r="129" customFormat="false" ht="15" hidden="false" customHeight="false" outlineLevel="0" collapsed="false">
      <c r="A129" s="10" t="s">
        <v>50</v>
      </c>
      <c r="B129" s="10" t="str">
        <f aca="false">INDEX('Site-uri'!$B$2:$B$20,MATCH(A129,'Site-uri'!$A$2:$A$20,0))</f>
        <v>aiventure.ro</v>
      </c>
      <c r="C129" s="10" t="s">
        <v>112</v>
      </c>
      <c r="D129" s="10" t="s">
        <v>237</v>
      </c>
      <c r="E129" s="10" t="str">
        <f aca="false">INDEX(Canale!$C$2:$C$30,MATCH(C129,Canale!$A$2:$A$30,0))</f>
        <v>linkedin_showcase</v>
      </c>
      <c r="F129" s="10" t="str">
        <f aca="false">INDEX(Canale!$D$2:$D$30,MATCH(C129,Canale!$A$2:$A$30,0))</f>
        <v>social</v>
      </c>
      <c r="G129" s="10" t="str">
        <f aca="false">INDEX('Site-uri'!$C$2:$C$20,MATCH(A129,'Site-uri'!$A$2:$A$20,0))</f>
        <v>/</v>
      </c>
      <c r="H129" s="10" t="str">
        <f aca="false">Config!$B$3</f>
        <v>2610_ff_lansare</v>
      </c>
      <c r="I129" s="10" t="str">
        <f aca="false">D129&amp;"_"&amp;Config!$B$4</f>
        <v>client_general</v>
      </c>
      <c r="J129" s="10" t="str">
        <f aca="false">"https://"&amp;B129&amp;G129&amp;"?utm_source="&amp;E129&amp;"&amp;utm_medium="&amp;F129&amp;"&amp;utm_campaign="&amp;H129&amp;"&amp;utm_content="&amp;I129</f>
        <v>https://aiventure.ro/?utm_source=linkedin_showcase&amp;utm_medium=social&amp;utm_campaign=2610_ff_lansare&amp;utm_content=client_general</v>
      </c>
    </row>
    <row r="130" customFormat="false" ht="15" hidden="false" customHeight="false" outlineLevel="0" collapsed="false">
      <c r="A130" s="10" t="s">
        <v>50</v>
      </c>
      <c r="B130" s="10" t="str">
        <f aca="false">INDEX('Site-uri'!$B$2:$B$20,MATCH(A130,'Site-uri'!$A$2:$A$20,0))</f>
        <v>aiventure.ro</v>
      </c>
      <c r="C130" s="10" t="s">
        <v>115</v>
      </c>
      <c r="D130" s="10" t="s">
        <v>219</v>
      </c>
      <c r="E130" s="10" t="str">
        <f aca="false">INDEX(Canale!$C$2:$C$30,MATCH(C130,Canale!$A$2:$A$30,0))</f>
        <v>linkedin_newsletter</v>
      </c>
      <c r="F130" s="10" t="str">
        <f aca="false">INDEX(Canale!$D$2:$D$30,MATCH(C130,Canale!$A$2:$A$30,0))</f>
        <v>social</v>
      </c>
      <c r="G130" s="10" t="str">
        <f aca="false">INDEX('Site-uri'!$C$2:$C$20,MATCH(A130,'Site-uri'!$A$2:$A$20,0))</f>
        <v>/</v>
      </c>
      <c r="H130" s="10" t="str">
        <f aca="false">Config!$B$3</f>
        <v>2610_ff_lansare</v>
      </c>
      <c r="I130" s="10" t="str">
        <f aca="false">D130&amp;"_"&amp;Config!$B$4</f>
        <v>rece_general</v>
      </c>
      <c r="J130" s="10" t="str">
        <f aca="false">"https://"&amp;B130&amp;G130&amp;"?utm_source="&amp;E130&amp;"&amp;utm_medium="&amp;F130&amp;"&amp;utm_campaign="&amp;H130&amp;"&amp;utm_content="&amp;I130</f>
        <v>https://aiventure.ro/?utm_source=linkedin_newsletter&amp;utm_medium=social&amp;utm_campaign=2610_ff_lansare&amp;utm_content=rece_general</v>
      </c>
    </row>
    <row r="131" customFormat="false" ht="15" hidden="false" customHeight="false" outlineLevel="0" collapsed="false">
      <c r="A131" s="10" t="s">
        <v>50</v>
      </c>
      <c r="B131" s="10" t="str">
        <f aca="false">INDEX('Site-uri'!$B$2:$B$20,MATCH(A131,'Site-uri'!$A$2:$A$20,0))</f>
        <v>aiventure.ro</v>
      </c>
      <c r="C131" s="10" t="s">
        <v>115</v>
      </c>
      <c r="D131" s="10" t="s">
        <v>225</v>
      </c>
      <c r="E131" s="10" t="str">
        <f aca="false">INDEX(Canale!$C$2:$C$30,MATCH(C131,Canale!$A$2:$A$30,0))</f>
        <v>linkedin_newsletter</v>
      </c>
      <c r="F131" s="10" t="str">
        <f aca="false">INDEX(Canale!$D$2:$D$30,MATCH(C131,Canale!$A$2:$A$30,0))</f>
        <v>social</v>
      </c>
      <c r="G131" s="10" t="str">
        <f aca="false">INDEX('Site-uri'!$C$2:$C$20,MATCH(A131,'Site-uri'!$A$2:$A$20,0))</f>
        <v>/</v>
      </c>
      <c r="H131" s="10" t="str">
        <f aca="false">Config!$B$3</f>
        <v>2610_ff_lansare</v>
      </c>
      <c r="I131" s="10" t="str">
        <f aca="false">D131&amp;"_"&amp;Config!$B$4</f>
        <v>cald_general</v>
      </c>
      <c r="J131" s="10" t="str">
        <f aca="false">"https://"&amp;B131&amp;G131&amp;"?utm_source="&amp;E131&amp;"&amp;utm_medium="&amp;F131&amp;"&amp;utm_campaign="&amp;H131&amp;"&amp;utm_content="&amp;I131</f>
        <v>https://aiventure.ro/?utm_source=linkedin_newsletter&amp;utm_medium=social&amp;utm_campaign=2610_ff_lansare&amp;utm_content=cald_general</v>
      </c>
    </row>
    <row r="132" customFormat="false" ht="15" hidden="false" customHeight="false" outlineLevel="0" collapsed="false">
      <c r="A132" s="10" t="s">
        <v>50</v>
      </c>
      <c r="B132" s="10" t="str">
        <f aca="false">INDEX('Site-uri'!$B$2:$B$20,MATCH(A132,'Site-uri'!$A$2:$A$20,0))</f>
        <v>aiventure.ro</v>
      </c>
      <c r="C132" s="10" t="s">
        <v>115</v>
      </c>
      <c r="D132" s="10" t="s">
        <v>231</v>
      </c>
      <c r="E132" s="10" t="str">
        <f aca="false">INDEX(Canale!$C$2:$C$30,MATCH(C132,Canale!$A$2:$A$30,0))</f>
        <v>linkedin_newsletter</v>
      </c>
      <c r="F132" s="10" t="str">
        <f aca="false">INDEX(Canale!$D$2:$D$30,MATCH(C132,Canale!$A$2:$A$30,0))</f>
        <v>social</v>
      </c>
      <c r="G132" s="10" t="str">
        <f aca="false">INDEX('Site-uri'!$C$2:$C$20,MATCH(A132,'Site-uri'!$A$2:$A$20,0))</f>
        <v>/</v>
      </c>
      <c r="H132" s="10" t="str">
        <f aca="false">Config!$B$3</f>
        <v>2610_ff_lansare</v>
      </c>
      <c r="I132" s="10" t="str">
        <f aca="false">D132&amp;"_"&amp;Config!$B$4</f>
        <v>fierbinte_general</v>
      </c>
      <c r="J132" s="10" t="str">
        <f aca="false">"https://"&amp;B132&amp;G132&amp;"?utm_source="&amp;E132&amp;"&amp;utm_medium="&amp;F132&amp;"&amp;utm_campaign="&amp;H132&amp;"&amp;utm_content="&amp;I132</f>
        <v>https://aiventure.ro/?utm_source=linkedin_newsletter&amp;utm_medium=social&amp;utm_campaign=2610_ff_lansare&amp;utm_content=fierbinte_general</v>
      </c>
    </row>
    <row r="133" customFormat="false" ht="15" hidden="false" customHeight="false" outlineLevel="0" collapsed="false">
      <c r="A133" s="10" t="s">
        <v>50</v>
      </c>
      <c r="B133" s="10" t="str">
        <f aca="false">INDEX('Site-uri'!$B$2:$B$20,MATCH(A133,'Site-uri'!$A$2:$A$20,0))</f>
        <v>aiventure.ro</v>
      </c>
      <c r="C133" s="10" t="s">
        <v>115</v>
      </c>
      <c r="D133" s="10" t="s">
        <v>237</v>
      </c>
      <c r="E133" s="10" t="str">
        <f aca="false">INDEX(Canale!$C$2:$C$30,MATCH(C133,Canale!$A$2:$A$30,0))</f>
        <v>linkedin_newsletter</v>
      </c>
      <c r="F133" s="10" t="str">
        <f aca="false">INDEX(Canale!$D$2:$D$30,MATCH(C133,Canale!$A$2:$A$30,0))</f>
        <v>social</v>
      </c>
      <c r="G133" s="10" t="str">
        <f aca="false">INDEX('Site-uri'!$C$2:$C$20,MATCH(A133,'Site-uri'!$A$2:$A$20,0))</f>
        <v>/</v>
      </c>
      <c r="H133" s="10" t="str">
        <f aca="false">Config!$B$3</f>
        <v>2610_ff_lansare</v>
      </c>
      <c r="I133" s="10" t="str">
        <f aca="false">D133&amp;"_"&amp;Config!$B$4</f>
        <v>client_general</v>
      </c>
      <c r="J133" s="10" t="str">
        <f aca="false">"https://"&amp;B133&amp;G133&amp;"?utm_source="&amp;E133&amp;"&amp;utm_medium="&amp;F133&amp;"&amp;utm_campaign="&amp;H133&amp;"&amp;utm_content="&amp;I133</f>
        <v>https://aiventure.ro/?utm_source=linkedin_newsletter&amp;utm_medium=social&amp;utm_campaign=2610_ff_lansare&amp;utm_content=client_general</v>
      </c>
    </row>
    <row r="134" customFormat="false" ht="15" hidden="false" customHeight="false" outlineLevel="0" collapsed="false">
      <c r="A134" s="10" t="s">
        <v>50</v>
      </c>
      <c r="B134" s="10" t="str">
        <f aca="false">INDEX('Site-uri'!$B$2:$B$20,MATCH(A134,'Site-uri'!$A$2:$A$20,0))</f>
        <v>aiventure.ro</v>
      </c>
      <c r="C134" s="10" t="s">
        <v>118</v>
      </c>
      <c r="D134" s="10" t="s">
        <v>219</v>
      </c>
      <c r="E134" s="10" t="str">
        <f aca="false">INDEX(Canale!$C$2:$C$30,MATCH(C134,Canale!$A$2:$A$30,0))</f>
        <v>linkedin_ads</v>
      </c>
      <c r="F134" s="10" t="str">
        <f aca="false">INDEX(Canale!$D$2:$D$30,MATCH(C134,Canale!$A$2:$A$30,0))</f>
        <v>paid_social</v>
      </c>
      <c r="G134" s="10" t="str">
        <f aca="false">INDEX('Site-uri'!$C$2:$C$20,MATCH(A134,'Site-uri'!$A$2:$A$20,0))</f>
        <v>/</v>
      </c>
      <c r="H134" s="10" t="str">
        <f aca="false">Config!$B$3</f>
        <v>2610_ff_lansare</v>
      </c>
      <c r="I134" s="10" t="str">
        <f aca="false">D134&amp;"_"&amp;Config!$B$4</f>
        <v>rece_general</v>
      </c>
      <c r="J134" s="10" t="str">
        <f aca="false">"https://"&amp;B134&amp;G134&amp;"?utm_source="&amp;E134&amp;"&amp;utm_medium="&amp;F134&amp;"&amp;utm_campaign="&amp;H134&amp;"&amp;utm_content="&amp;I134</f>
        <v>https://aiventure.ro/?utm_source=linkedin_ads&amp;utm_medium=paid_social&amp;utm_campaign=2610_ff_lansare&amp;utm_content=rece_general</v>
      </c>
    </row>
    <row r="135" customFormat="false" ht="15" hidden="false" customHeight="false" outlineLevel="0" collapsed="false">
      <c r="A135" s="10" t="s">
        <v>50</v>
      </c>
      <c r="B135" s="10" t="str">
        <f aca="false">INDEX('Site-uri'!$B$2:$B$20,MATCH(A135,'Site-uri'!$A$2:$A$20,0))</f>
        <v>aiventure.ro</v>
      </c>
      <c r="C135" s="10" t="s">
        <v>118</v>
      </c>
      <c r="D135" s="10" t="s">
        <v>225</v>
      </c>
      <c r="E135" s="10" t="str">
        <f aca="false">INDEX(Canale!$C$2:$C$30,MATCH(C135,Canale!$A$2:$A$30,0))</f>
        <v>linkedin_ads</v>
      </c>
      <c r="F135" s="10" t="str">
        <f aca="false">INDEX(Canale!$D$2:$D$30,MATCH(C135,Canale!$A$2:$A$30,0))</f>
        <v>paid_social</v>
      </c>
      <c r="G135" s="10" t="str">
        <f aca="false">INDEX('Site-uri'!$C$2:$C$20,MATCH(A135,'Site-uri'!$A$2:$A$20,0))</f>
        <v>/</v>
      </c>
      <c r="H135" s="10" t="str">
        <f aca="false">Config!$B$3</f>
        <v>2610_ff_lansare</v>
      </c>
      <c r="I135" s="10" t="str">
        <f aca="false">D135&amp;"_"&amp;Config!$B$4</f>
        <v>cald_general</v>
      </c>
      <c r="J135" s="10" t="str">
        <f aca="false">"https://"&amp;B135&amp;G135&amp;"?utm_source="&amp;E135&amp;"&amp;utm_medium="&amp;F135&amp;"&amp;utm_campaign="&amp;H135&amp;"&amp;utm_content="&amp;I135</f>
        <v>https://aiventure.ro/?utm_source=linkedin_ads&amp;utm_medium=paid_social&amp;utm_campaign=2610_ff_lansare&amp;utm_content=cald_general</v>
      </c>
    </row>
    <row r="136" customFormat="false" ht="15" hidden="false" customHeight="false" outlineLevel="0" collapsed="false">
      <c r="A136" s="10" t="s">
        <v>50</v>
      </c>
      <c r="B136" s="10" t="str">
        <f aca="false">INDEX('Site-uri'!$B$2:$B$20,MATCH(A136,'Site-uri'!$A$2:$A$20,0))</f>
        <v>aiventure.ro</v>
      </c>
      <c r="C136" s="10" t="s">
        <v>118</v>
      </c>
      <c r="D136" s="10" t="s">
        <v>231</v>
      </c>
      <c r="E136" s="10" t="str">
        <f aca="false">INDEX(Canale!$C$2:$C$30,MATCH(C136,Canale!$A$2:$A$30,0))</f>
        <v>linkedin_ads</v>
      </c>
      <c r="F136" s="10" t="str">
        <f aca="false">INDEX(Canale!$D$2:$D$30,MATCH(C136,Canale!$A$2:$A$30,0))</f>
        <v>paid_social</v>
      </c>
      <c r="G136" s="10" t="str">
        <f aca="false">INDEX('Site-uri'!$C$2:$C$20,MATCH(A136,'Site-uri'!$A$2:$A$20,0))</f>
        <v>/</v>
      </c>
      <c r="H136" s="10" t="str">
        <f aca="false">Config!$B$3</f>
        <v>2610_ff_lansare</v>
      </c>
      <c r="I136" s="10" t="str">
        <f aca="false">D136&amp;"_"&amp;Config!$B$4</f>
        <v>fierbinte_general</v>
      </c>
      <c r="J136" s="10" t="str">
        <f aca="false">"https://"&amp;B136&amp;G136&amp;"?utm_source="&amp;E136&amp;"&amp;utm_medium="&amp;F136&amp;"&amp;utm_campaign="&amp;H136&amp;"&amp;utm_content="&amp;I136</f>
        <v>https://aiventure.ro/?utm_source=linkedin_ads&amp;utm_medium=paid_social&amp;utm_campaign=2610_ff_lansare&amp;utm_content=fierbinte_general</v>
      </c>
    </row>
    <row r="137" customFormat="false" ht="15" hidden="false" customHeight="false" outlineLevel="0" collapsed="false">
      <c r="A137" s="10" t="s">
        <v>50</v>
      </c>
      <c r="B137" s="10" t="str">
        <f aca="false">INDEX('Site-uri'!$B$2:$B$20,MATCH(A137,'Site-uri'!$A$2:$A$20,0))</f>
        <v>aiventure.ro</v>
      </c>
      <c r="C137" s="10" t="s">
        <v>118</v>
      </c>
      <c r="D137" s="10" t="s">
        <v>237</v>
      </c>
      <c r="E137" s="10" t="str">
        <f aca="false">INDEX(Canale!$C$2:$C$30,MATCH(C137,Canale!$A$2:$A$30,0))</f>
        <v>linkedin_ads</v>
      </c>
      <c r="F137" s="10" t="str">
        <f aca="false">INDEX(Canale!$D$2:$D$30,MATCH(C137,Canale!$A$2:$A$30,0))</f>
        <v>paid_social</v>
      </c>
      <c r="G137" s="10" t="str">
        <f aca="false">INDEX('Site-uri'!$C$2:$C$20,MATCH(A137,'Site-uri'!$A$2:$A$20,0))</f>
        <v>/</v>
      </c>
      <c r="H137" s="10" t="str">
        <f aca="false">Config!$B$3</f>
        <v>2610_ff_lansare</v>
      </c>
      <c r="I137" s="10" t="str">
        <f aca="false">D137&amp;"_"&amp;Config!$B$4</f>
        <v>client_general</v>
      </c>
      <c r="J137" s="10" t="str">
        <f aca="false">"https://"&amp;B137&amp;G137&amp;"?utm_source="&amp;E137&amp;"&amp;utm_medium="&amp;F137&amp;"&amp;utm_campaign="&amp;H137&amp;"&amp;utm_content="&amp;I137</f>
        <v>https://aiventure.ro/?utm_source=linkedin_ads&amp;utm_medium=paid_social&amp;utm_campaign=2610_ff_lansare&amp;utm_content=client_general</v>
      </c>
    </row>
    <row r="138" customFormat="false" ht="15" hidden="false" customHeight="false" outlineLevel="0" collapsed="false">
      <c r="A138" s="10" t="s">
        <v>50</v>
      </c>
      <c r="B138" s="10" t="str">
        <f aca="false">INDEX('Site-uri'!$B$2:$B$20,MATCH(A138,'Site-uri'!$A$2:$A$20,0))</f>
        <v>aiventure.ro</v>
      </c>
      <c r="C138" s="10" t="s">
        <v>122</v>
      </c>
      <c r="D138" s="10" t="s">
        <v>219</v>
      </c>
      <c r="E138" s="10" t="str">
        <f aca="false">INDEX(Canale!$C$2:$C$30,MATCH(C138,Canale!$A$2:$A$30,0))</f>
        <v>linkedin_dm</v>
      </c>
      <c r="F138" s="10" t="str">
        <f aca="false">INDEX(Canale!$D$2:$D$30,MATCH(C138,Canale!$A$2:$A$30,0))</f>
        <v>dm</v>
      </c>
      <c r="G138" s="10" t="str">
        <f aca="false">INDEX('Site-uri'!$C$2:$C$20,MATCH(A138,'Site-uri'!$A$2:$A$20,0))</f>
        <v>/</v>
      </c>
      <c r="H138" s="10" t="str">
        <f aca="false">Config!$B$3</f>
        <v>2610_ff_lansare</v>
      </c>
      <c r="I138" s="10" t="str">
        <f aca="false">D138&amp;"_"&amp;Config!$B$4</f>
        <v>rece_general</v>
      </c>
      <c r="J138" s="10" t="str">
        <f aca="false">"https://"&amp;B138&amp;G138&amp;"?utm_source="&amp;E138&amp;"&amp;utm_medium="&amp;F138&amp;"&amp;utm_campaign="&amp;H138&amp;"&amp;utm_content="&amp;I138</f>
        <v>https://aiventure.ro/?utm_source=linkedin_dm&amp;utm_medium=dm&amp;utm_campaign=2610_ff_lansare&amp;utm_content=rece_general</v>
      </c>
    </row>
    <row r="139" customFormat="false" ht="15" hidden="false" customHeight="false" outlineLevel="0" collapsed="false">
      <c r="A139" s="10" t="s">
        <v>50</v>
      </c>
      <c r="B139" s="10" t="str">
        <f aca="false">INDEX('Site-uri'!$B$2:$B$20,MATCH(A139,'Site-uri'!$A$2:$A$20,0))</f>
        <v>aiventure.ro</v>
      </c>
      <c r="C139" s="10" t="s">
        <v>122</v>
      </c>
      <c r="D139" s="10" t="s">
        <v>225</v>
      </c>
      <c r="E139" s="10" t="str">
        <f aca="false">INDEX(Canale!$C$2:$C$30,MATCH(C139,Canale!$A$2:$A$30,0))</f>
        <v>linkedin_dm</v>
      </c>
      <c r="F139" s="10" t="str">
        <f aca="false">INDEX(Canale!$D$2:$D$30,MATCH(C139,Canale!$A$2:$A$30,0))</f>
        <v>dm</v>
      </c>
      <c r="G139" s="10" t="str">
        <f aca="false">INDEX('Site-uri'!$C$2:$C$20,MATCH(A139,'Site-uri'!$A$2:$A$20,0))</f>
        <v>/</v>
      </c>
      <c r="H139" s="10" t="str">
        <f aca="false">Config!$B$3</f>
        <v>2610_ff_lansare</v>
      </c>
      <c r="I139" s="10" t="str">
        <f aca="false">D139&amp;"_"&amp;Config!$B$4</f>
        <v>cald_general</v>
      </c>
      <c r="J139" s="10" t="str">
        <f aca="false">"https://"&amp;B139&amp;G139&amp;"?utm_source="&amp;E139&amp;"&amp;utm_medium="&amp;F139&amp;"&amp;utm_campaign="&amp;H139&amp;"&amp;utm_content="&amp;I139</f>
        <v>https://aiventure.ro/?utm_source=linkedin_dm&amp;utm_medium=dm&amp;utm_campaign=2610_ff_lansare&amp;utm_content=cald_general</v>
      </c>
    </row>
    <row r="140" customFormat="false" ht="15" hidden="false" customHeight="false" outlineLevel="0" collapsed="false">
      <c r="A140" s="10" t="s">
        <v>50</v>
      </c>
      <c r="B140" s="10" t="str">
        <f aca="false">INDEX('Site-uri'!$B$2:$B$20,MATCH(A140,'Site-uri'!$A$2:$A$20,0))</f>
        <v>aiventure.ro</v>
      </c>
      <c r="C140" s="10" t="s">
        <v>122</v>
      </c>
      <c r="D140" s="10" t="s">
        <v>231</v>
      </c>
      <c r="E140" s="10" t="str">
        <f aca="false">INDEX(Canale!$C$2:$C$30,MATCH(C140,Canale!$A$2:$A$30,0))</f>
        <v>linkedin_dm</v>
      </c>
      <c r="F140" s="10" t="str">
        <f aca="false">INDEX(Canale!$D$2:$D$30,MATCH(C140,Canale!$A$2:$A$30,0))</f>
        <v>dm</v>
      </c>
      <c r="G140" s="10" t="str">
        <f aca="false">INDEX('Site-uri'!$C$2:$C$20,MATCH(A140,'Site-uri'!$A$2:$A$20,0))</f>
        <v>/</v>
      </c>
      <c r="H140" s="10" t="str">
        <f aca="false">Config!$B$3</f>
        <v>2610_ff_lansare</v>
      </c>
      <c r="I140" s="10" t="str">
        <f aca="false">D140&amp;"_"&amp;Config!$B$4</f>
        <v>fierbinte_general</v>
      </c>
      <c r="J140" s="10" t="str">
        <f aca="false">"https://"&amp;B140&amp;G140&amp;"?utm_source="&amp;E140&amp;"&amp;utm_medium="&amp;F140&amp;"&amp;utm_campaign="&amp;H140&amp;"&amp;utm_content="&amp;I140</f>
        <v>https://aiventure.ro/?utm_source=linkedin_dm&amp;utm_medium=dm&amp;utm_campaign=2610_ff_lansare&amp;utm_content=fierbinte_general</v>
      </c>
    </row>
    <row r="141" customFormat="false" ht="15" hidden="false" customHeight="false" outlineLevel="0" collapsed="false">
      <c r="A141" s="10" t="s">
        <v>50</v>
      </c>
      <c r="B141" s="10" t="str">
        <f aca="false">INDEX('Site-uri'!$B$2:$B$20,MATCH(A141,'Site-uri'!$A$2:$A$20,0))</f>
        <v>aiventure.ro</v>
      </c>
      <c r="C141" s="10" t="s">
        <v>122</v>
      </c>
      <c r="D141" s="10" t="s">
        <v>237</v>
      </c>
      <c r="E141" s="10" t="str">
        <f aca="false">INDEX(Canale!$C$2:$C$30,MATCH(C141,Canale!$A$2:$A$30,0))</f>
        <v>linkedin_dm</v>
      </c>
      <c r="F141" s="10" t="str">
        <f aca="false">INDEX(Canale!$D$2:$D$30,MATCH(C141,Canale!$A$2:$A$30,0))</f>
        <v>dm</v>
      </c>
      <c r="G141" s="10" t="str">
        <f aca="false">INDEX('Site-uri'!$C$2:$C$20,MATCH(A141,'Site-uri'!$A$2:$A$20,0))</f>
        <v>/</v>
      </c>
      <c r="H141" s="10" t="str">
        <f aca="false">Config!$B$3</f>
        <v>2610_ff_lansare</v>
      </c>
      <c r="I141" s="10" t="str">
        <f aca="false">D141&amp;"_"&amp;Config!$B$4</f>
        <v>client_general</v>
      </c>
      <c r="J141" s="10" t="str">
        <f aca="false">"https://"&amp;B141&amp;G141&amp;"?utm_source="&amp;E141&amp;"&amp;utm_medium="&amp;F141&amp;"&amp;utm_campaign="&amp;H141&amp;"&amp;utm_content="&amp;I141</f>
        <v>https://aiventure.ro/?utm_source=linkedin_dm&amp;utm_medium=dm&amp;utm_campaign=2610_ff_lansare&amp;utm_content=client_general</v>
      </c>
    </row>
    <row r="142" customFormat="false" ht="15" hidden="false" customHeight="false" outlineLevel="0" collapsed="false">
      <c r="A142" s="10" t="s">
        <v>50</v>
      </c>
      <c r="B142" s="10" t="str">
        <f aca="false">INDEX('Site-uri'!$B$2:$B$20,MATCH(A142,'Site-uri'!$A$2:$A$20,0))</f>
        <v>aiventure.ro</v>
      </c>
      <c r="C142" s="10" t="s">
        <v>126</v>
      </c>
      <c r="D142" s="10" t="s">
        <v>219</v>
      </c>
      <c r="E142" s="10" t="str">
        <f aca="false">INDEX(Canale!$C$2:$C$30,MATCH(C142,Canale!$A$2:$A$30,0))</f>
        <v>email_outreach</v>
      </c>
      <c r="F142" s="10" t="str">
        <f aca="false">INDEX(Canale!$D$2:$D$30,MATCH(C142,Canale!$A$2:$A$30,0))</f>
        <v>email</v>
      </c>
      <c r="G142" s="10" t="str">
        <f aca="false">INDEX('Site-uri'!$C$2:$C$20,MATCH(A142,'Site-uri'!$A$2:$A$20,0))</f>
        <v>/</v>
      </c>
      <c r="H142" s="10" t="str">
        <f aca="false">Config!$B$3</f>
        <v>2610_ff_lansare</v>
      </c>
      <c r="I142" s="10" t="str">
        <f aca="false">D142&amp;"_"&amp;Config!$B$4</f>
        <v>rece_general</v>
      </c>
      <c r="J142" s="10" t="str">
        <f aca="false">"https://"&amp;B142&amp;G142&amp;"?utm_source="&amp;E142&amp;"&amp;utm_medium="&amp;F142&amp;"&amp;utm_campaign="&amp;H142&amp;"&amp;utm_content="&amp;I142</f>
        <v>https://aiventure.ro/?utm_source=email_outreach&amp;utm_medium=email&amp;utm_campaign=2610_ff_lansare&amp;utm_content=rece_general</v>
      </c>
    </row>
    <row r="143" customFormat="false" ht="15" hidden="false" customHeight="false" outlineLevel="0" collapsed="false">
      <c r="A143" s="10" t="s">
        <v>50</v>
      </c>
      <c r="B143" s="10" t="str">
        <f aca="false">INDEX('Site-uri'!$B$2:$B$20,MATCH(A143,'Site-uri'!$A$2:$A$20,0))</f>
        <v>aiventure.ro</v>
      </c>
      <c r="C143" s="10" t="s">
        <v>126</v>
      </c>
      <c r="D143" s="10" t="s">
        <v>225</v>
      </c>
      <c r="E143" s="10" t="str">
        <f aca="false">INDEX(Canale!$C$2:$C$30,MATCH(C143,Canale!$A$2:$A$30,0))</f>
        <v>email_outreach</v>
      </c>
      <c r="F143" s="10" t="str">
        <f aca="false">INDEX(Canale!$D$2:$D$30,MATCH(C143,Canale!$A$2:$A$30,0))</f>
        <v>email</v>
      </c>
      <c r="G143" s="10" t="str">
        <f aca="false">INDEX('Site-uri'!$C$2:$C$20,MATCH(A143,'Site-uri'!$A$2:$A$20,0))</f>
        <v>/</v>
      </c>
      <c r="H143" s="10" t="str">
        <f aca="false">Config!$B$3</f>
        <v>2610_ff_lansare</v>
      </c>
      <c r="I143" s="10" t="str">
        <f aca="false">D143&amp;"_"&amp;Config!$B$4</f>
        <v>cald_general</v>
      </c>
      <c r="J143" s="10" t="str">
        <f aca="false">"https://"&amp;B143&amp;G143&amp;"?utm_source="&amp;E143&amp;"&amp;utm_medium="&amp;F143&amp;"&amp;utm_campaign="&amp;H143&amp;"&amp;utm_content="&amp;I143</f>
        <v>https://aiventure.ro/?utm_source=email_outreach&amp;utm_medium=email&amp;utm_campaign=2610_ff_lansare&amp;utm_content=cald_general</v>
      </c>
    </row>
    <row r="144" customFormat="false" ht="15" hidden="false" customHeight="false" outlineLevel="0" collapsed="false">
      <c r="A144" s="10" t="s">
        <v>50</v>
      </c>
      <c r="B144" s="10" t="str">
        <f aca="false">INDEX('Site-uri'!$B$2:$B$20,MATCH(A144,'Site-uri'!$A$2:$A$20,0))</f>
        <v>aiventure.ro</v>
      </c>
      <c r="C144" s="10" t="s">
        <v>126</v>
      </c>
      <c r="D144" s="10" t="s">
        <v>231</v>
      </c>
      <c r="E144" s="10" t="str">
        <f aca="false">INDEX(Canale!$C$2:$C$30,MATCH(C144,Canale!$A$2:$A$30,0))</f>
        <v>email_outreach</v>
      </c>
      <c r="F144" s="10" t="str">
        <f aca="false">INDEX(Canale!$D$2:$D$30,MATCH(C144,Canale!$A$2:$A$30,0))</f>
        <v>email</v>
      </c>
      <c r="G144" s="10" t="str">
        <f aca="false">INDEX('Site-uri'!$C$2:$C$20,MATCH(A144,'Site-uri'!$A$2:$A$20,0))</f>
        <v>/</v>
      </c>
      <c r="H144" s="10" t="str">
        <f aca="false">Config!$B$3</f>
        <v>2610_ff_lansare</v>
      </c>
      <c r="I144" s="10" t="str">
        <f aca="false">D144&amp;"_"&amp;Config!$B$4</f>
        <v>fierbinte_general</v>
      </c>
      <c r="J144" s="10" t="str">
        <f aca="false">"https://"&amp;B144&amp;G144&amp;"?utm_source="&amp;E144&amp;"&amp;utm_medium="&amp;F144&amp;"&amp;utm_campaign="&amp;H144&amp;"&amp;utm_content="&amp;I144</f>
        <v>https://aiventure.ro/?utm_source=email_outreach&amp;utm_medium=email&amp;utm_campaign=2610_ff_lansare&amp;utm_content=fierbinte_general</v>
      </c>
    </row>
    <row r="145" customFormat="false" ht="15" hidden="false" customHeight="false" outlineLevel="0" collapsed="false">
      <c r="A145" s="10" t="s">
        <v>50</v>
      </c>
      <c r="B145" s="10" t="str">
        <f aca="false">INDEX('Site-uri'!$B$2:$B$20,MATCH(A145,'Site-uri'!$A$2:$A$20,0))</f>
        <v>aiventure.ro</v>
      </c>
      <c r="C145" s="10" t="s">
        <v>126</v>
      </c>
      <c r="D145" s="10" t="s">
        <v>237</v>
      </c>
      <c r="E145" s="10" t="str">
        <f aca="false">INDEX(Canale!$C$2:$C$30,MATCH(C145,Canale!$A$2:$A$30,0))</f>
        <v>email_outreach</v>
      </c>
      <c r="F145" s="10" t="str">
        <f aca="false">INDEX(Canale!$D$2:$D$30,MATCH(C145,Canale!$A$2:$A$30,0))</f>
        <v>email</v>
      </c>
      <c r="G145" s="10" t="str">
        <f aca="false">INDEX('Site-uri'!$C$2:$C$20,MATCH(A145,'Site-uri'!$A$2:$A$20,0))</f>
        <v>/</v>
      </c>
      <c r="H145" s="10" t="str">
        <f aca="false">Config!$B$3</f>
        <v>2610_ff_lansare</v>
      </c>
      <c r="I145" s="10" t="str">
        <f aca="false">D145&amp;"_"&amp;Config!$B$4</f>
        <v>client_general</v>
      </c>
      <c r="J145" s="10" t="str">
        <f aca="false">"https://"&amp;B145&amp;G145&amp;"?utm_source="&amp;E145&amp;"&amp;utm_medium="&amp;F145&amp;"&amp;utm_campaign="&amp;H145&amp;"&amp;utm_content="&amp;I145</f>
        <v>https://aiventure.ro/?utm_source=email_outreach&amp;utm_medium=email&amp;utm_campaign=2610_ff_lansare&amp;utm_content=client_general</v>
      </c>
    </row>
    <row r="146" customFormat="false" ht="15" hidden="false" customHeight="false" outlineLevel="0" collapsed="false">
      <c r="A146" s="10" t="s">
        <v>50</v>
      </c>
      <c r="B146" s="10" t="str">
        <f aca="false">INDEX('Site-uri'!$B$2:$B$20,MATCH(A146,'Site-uri'!$A$2:$A$20,0))</f>
        <v>aiventure.ro</v>
      </c>
      <c r="C146" s="10" t="s">
        <v>131</v>
      </c>
      <c r="D146" s="10" t="s">
        <v>219</v>
      </c>
      <c r="E146" s="10" t="str">
        <f aca="false">INDEX(Canale!$C$2:$C$30,MATCH(C146,Canale!$A$2:$A$30,0))</f>
        <v>newsletter</v>
      </c>
      <c r="F146" s="10" t="str">
        <f aca="false">INDEX(Canale!$D$2:$D$30,MATCH(C146,Canale!$A$2:$A$30,0))</f>
        <v>email</v>
      </c>
      <c r="G146" s="10" t="str">
        <f aca="false">INDEX('Site-uri'!$C$2:$C$20,MATCH(A146,'Site-uri'!$A$2:$A$20,0))</f>
        <v>/</v>
      </c>
      <c r="H146" s="10" t="str">
        <f aca="false">Config!$B$3</f>
        <v>2610_ff_lansare</v>
      </c>
      <c r="I146" s="10" t="str">
        <f aca="false">D146&amp;"_"&amp;Config!$B$4</f>
        <v>rece_general</v>
      </c>
      <c r="J146" s="10" t="str">
        <f aca="false">"https://"&amp;B146&amp;G146&amp;"?utm_source="&amp;E146&amp;"&amp;utm_medium="&amp;F146&amp;"&amp;utm_campaign="&amp;H146&amp;"&amp;utm_content="&amp;I146</f>
        <v>https://aiventure.ro/?utm_source=newsletter&amp;utm_medium=email&amp;utm_campaign=2610_ff_lansare&amp;utm_content=rece_general</v>
      </c>
    </row>
    <row r="147" customFormat="false" ht="15" hidden="false" customHeight="false" outlineLevel="0" collapsed="false">
      <c r="A147" s="10" t="s">
        <v>50</v>
      </c>
      <c r="B147" s="10" t="str">
        <f aca="false">INDEX('Site-uri'!$B$2:$B$20,MATCH(A147,'Site-uri'!$A$2:$A$20,0))</f>
        <v>aiventure.ro</v>
      </c>
      <c r="C147" s="10" t="s">
        <v>131</v>
      </c>
      <c r="D147" s="10" t="s">
        <v>225</v>
      </c>
      <c r="E147" s="10" t="str">
        <f aca="false">INDEX(Canale!$C$2:$C$30,MATCH(C147,Canale!$A$2:$A$30,0))</f>
        <v>newsletter</v>
      </c>
      <c r="F147" s="10" t="str">
        <f aca="false">INDEX(Canale!$D$2:$D$30,MATCH(C147,Canale!$A$2:$A$30,0))</f>
        <v>email</v>
      </c>
      <c r="G147" s="10" t="str">
        <f aca="false">INDEX('Site-uri'!$C$2:$C$20,MATCH(A147,'Site-uri'!$A$2:$A$20,0))</f>
        <v>/</v>
      </c>
      <c r="H147" s="10" t="str">
        <f aca="false">Config!$B$3</f>
        <v>2610_ff_lansare</v>
      </c>
      <c r="I147" s="10" t="str">
        <f aca="false">D147&amp;"_"&amp;Config!$B$4</f>
        <v>cald_general</v>
      </c>
      <c r="J147" s="10" t="str">
        <f aca="false">"https://"&amp;B147&amp;G147&amp;"?utm_source="&amp;E147&amp;"&amp;utm_medium="&amp;F147&amp;"&amp;utm_campaign="&amp;H147&amp;"&amp;utm_content="&amp;I147</f>
        <v>https://aiventure.ro/?utm_source=newsletter&amp;utm_medium=email&amp;utm_campaign=2610_ff_lansare&amp;utm_content=cald_general</v>
      </c>
    </row>
    <row r="148" customFormat="false" ht="15" hidden="false" customHeight="false" outlineLevel="0" collapsed="false">
      <c r="A148" s="10" t="s">
        <v>50</v>
      </c>
      <c r="B148" s="10" t="str">
        <f aca="false">INDEX('Site-uri'!$B$2:$B$20,MATCH(A148,'Site-uri'!$A$2:$A$20,0))</f>
        <v>aiventure.ro</v>
      </c>
      <c r="C148" s="10" t="s">
        <v>131</v>
      </c>
      <c r="D148" s="10" t="s">
        <v>231</v>
      </c>
      <c r="E148" s="10" t="str">
        <f aca="false">INDEX(Canale!$C$2:$C$30,MATCH(C148,Canale!$A$2:$A$30,0))</f>
        <v>newsletter</v>
      </c>
      <c r="F148" s="10" t="str">
        <f aca="false">INDEX(Canale!$D$2:$D$30,MATCH(C148,Canale!$A$2:$A$30,0))</f>
        <v>email</v>
      </c>
      <c r="G148" s="10" t="str">
        <f aca="false">INDEX('Site-uri'!$C$2:$C$20,MATCH(A148,'Site-uri'!$A$2:$A$20,0))</f>
        <v>/</v>
      </c>
      <c r="H148" s="10" t="str">
        <f aca="false">Config!$B$3</f>
        <v>2610_ff_lansare</v>
      </c>
      <c r="I148" s="10" t="str">
        <f aca="false">D148&amp;"_"&amp;Config!$B$4</f>
        <v>fierbinte_general</v>
      </c>
      <c r="J148" s="10" t="str">
        <f aca="false">"https://"&amp;B148&amp;G148&amp;"?utm_source="&amp;E148&amp;"&amp;utm_medium="&amp;F148&amp;"&amp;utm_campaign="&amp;H148&amp;"&amp;utm_content="&amp;I148</f>
        <v>https://aiventure.ro/?utm_source=newsletter&amp;utm_medium=email&amp;utm_campaign=2610_ff_lansare&amp;utm_content=fierbinte_general</v>
      </c>
    </row>
    <row r="149" customFormat="false" ht="15" hidden="false" customHeight="false" outlineLevel="0" collapsed="false">
      <c r="A149" s="10" t="s">
        <v>50</v>
      </c>
      <c r="B149" s="10" t="str">
        <f aca="false">INDEX('Site-uri'!$B$2:$B$20,MATCH(A149,'Site-uri'!$A$2:$A$20,0))</f>
        <v>aiventure.ro</v>
      </c>
      <c r="C149" s="10" t="s">
        <v>131</v>
      </c>
      <c r="D149" s="10" t="s">
        <v>237</v>
      </c>
      <c r="E149" s="10" t="str">
        <f aca="false">INDEX(Canale!$C$2:$C$30,MATCH(C149,Canale!$A$2:$A$30,0))</f>
        <v>newsletter</v>
      </c>
      <c r="F149" s="10" t="str">
        <f aca="false">INDEX(Canale!$D$2:$D$30,MATCH(C149,Canale!$A$2:$A$30,0))</f>
        <v>email</v>
      </c>
      <c r="G149" s="10" t="str">
        <f aca="false">INDEX('Site-uri'!$C$2:$C$20,MATCH(A149,'Site-uri'!$A$2:$A$20,0))</f>
        <v>/</v>
      </c>
      <c r="H149" s="10" t="str">
        <f aca="false">Config!$B$3</f>
        <v>2610_ff_lansare</v>
      </c>
      <c r="I149" s="10" t="str">
        <f aca="false">D149&amp;"_"&amp;Config!$B$4</f>
        <v>client_general</v>
      </c>
      <c r="J149" s="10" t="str">
        <f aca="false">"https://"&amp;B149&amp;G149&amp;"?utm_source="&amp;E149&amp;"&amp;utm_medium="&amp;F149&amp;"&amp;utm_campaign="&amp;H149&amp;"&amp;utm_content="&amp;I149</f>
        <v>https://aiventure.ro/?utm_source=newsletter&amp;utm_medium=email&amp;utm_campaign=2610_ff_lansare&amp;utm_content=client_general</v>
      </c>
    </row>
    <row r="150" customFormat="false" ht="15" hidden="false" customHeight="false" outlineLevel="0" collapsed="false">
      <c r="A150" s="10" t="s">
        <v>50</v>
      </c>
      <c r="B150" s="10" t="str">
        <f aca="false">INDEX('Site-uri'!$B$2:$B$20,MATCH(A150,'Site-uri'!$A$2:$A$20,0))</f>
        <v>aiventure.ro</v>
      </c>
      <c r="C150" s="10" t="s">
        <v>134</v>
      </c>
      <c r="D150" s="10" t="s">
        <v>219</v>
      </c>
      <c r="E150" s="10" t="str">
        <f aca="false">INDEX(Canale!$C$2:$C$30,MATCH(C150,Canale!$A$2:$A$30,0))</f>
        <v>email_signature</v>
      </c>
      <c r="F150" s="10" t="str">
        <f aca="false">INDEX(Canale!$D$2:$D$30,MATCH(C150,Canale!$A$2:$A$30,0))</f>
        <v>email</v>
      </c>
      <c r="G150" s="10" t="str">
        <f aca="false">INDEX('Site-uri'!$C$2:$C$20,MATCH(A150,'Site-uri'!$A$2:$A$20,0))</f>
        <v>/</v>
      </c>
      <c r="H150" s="10" t="str">
        <f aca="false">Config!$B$3</f>
        <v>2610_ff_lansare</v>
      </c>
      <c r="I150" s="10" t="str">
        <f aca="false">D150&amp;"_"&amp;Config!$B$4</f>
        <v>rece_general</v>
      </c>
      <c r="J150" s="10" t="str">
        <f aca="false">"https://"&amp;B150&amp;G150&amp;"?utm_source="&amp;E150&amp;"&amp;utm_medium="&amp;F150&amp;"&amp;utm_campaign="&amp;H150&amp;"&amp;utm_content="&amp;I150</f>
        <v>https://aiventure.ro/?utm_source=email_signature&amp;utm_medium=email&amp;utm_campaign=2610_ff_lansare&amp;utm_content=rece_general</v>
      </c>
    </row>
    <row r="151" customFormat="false" ht="15" hidden="false" customHeight="false" outlineLevel="0" collapsed="false">
      <c r="A151" s="10" t="s">
        <v>50</v>
      </c>
      <c r="B151" s="10" t="str">
        <f aca="false">INDEX('Site-uri'!$B$2:$B$20,MATCH(A151,'Site-uri'!$A$2:$A$20,0))</f>
        <v>aiventure.ro</v>
      </c>
      <c r="C151" s="10" t="s">
        <v>134</v>
      </c>
      <c r="D151" s="10" t="s">
        <v>225</v>
      </c>
      <c r="E151" s="10" t="str">
        <f aca="false">INDEX(Canale!$C$2:$C$30,MATCH(C151,Canale!$A$2:$A$30,0))</f>
        <v>email_signature</v>
      </c>
      <c r="F151" s="10" t="str">
        <f aca="false">INDEX(Canale!$D$2:$D$30,MATCH(C151,Canale!$A$2:$A$30,0))</f>
        <v>email</v>
      </c>
      <c r="G151" s="10" t="str">
        <f aca="false">INDEX('Site-uri'!$C$2:$C$20,MATCH(A151,'Site-uri'!$A$2:$A$20,0))</f>
        <v>/</v>
      </c>
      <c r="H151" s="10" t="str">
        <f aca="false">Config!$B$3</f>
        <v>2610_ff_lansare</v>
      </c>
      <c r="I151" s="10" t="str">
        <f aca="false">D151&amp;"_"&amp;Config!$B$4</f>
        <v>cald_general</v>
      </c>
      <c r="J151" s="10" t="str">
        <f aca="false">"https://"&amp;B151&amp;G151&amp;"?utm_source="&amp;E151&amp;"&amp;utm_medium="&amp;F151&amp;"&amp;utm_campaign="&amp;H151&amp;"&amp;utm_content="&amp;I151</f>
        <v>https://aiventure.ro/?utm_source=email_signature&amp;utm_medium=email&amp;utm_campaign=2610_ff_lansare&amp;utm_content=cald_general</v>
      </c>
    </row>
    <row r="152" customFormat="false" ht="15" hidden="false" customHeight="false" outlineLevel="0" collapsed="false">
      <c r="A152" s="10" t="s">
        <v>50</v>
      </c>
      <c r="B152" s="10" t="str">
        <f aca="false">INDEX('Site-uri'!$B$2:$B$20,MATCH(A152,'Site-uri'!$A$2:$A$20,0))</f>
        <v>aiventure.ro</v>
      </c>
      <c r="C152" s="10" t="s">
        <v>134</v>
      </c>
      <c r="D152" s="10" t="s">
        <v>231</v>
      </c>
      <c r="E152" s="10" t="str">
        <f aca="false">INDEX(Canale!$C$2:$C$30,MATCH(C152,Canale!$A$2:$A$30,0))</f>
        <v>email_signature</v>
      </c>
      <c r="F152" s="10" t="str">
        <f aca="false">INDEX(Canale!$D$2:$D$30,MATCH(C152,Canale!$A$2:$A$30,0))</f>
        <v>email</v>
      </c>
      <c r="G152" s="10" t="str">
        <f aca="false">INDEX('Site-uri'!$C$2:$C$20,MATCH(A152,'Site-uri'!$A$2:$A$20,0))</f>
        <v>/</v>
      </c>
      <c r="H152" s="10" t="str">
        <f aca="false">Config!$B$3</f>
        <v>2610_ff_lansare</v>
      </c>
      <c r="I152" s="10" t="str">
        <f aca="false">D152&amp;"_"&amp;Config!$B$4</f>
        <v>fierbinte_general</v>
      </c>
      <c r="J152" s="10" t="str">
        <f aca="false">"https://"&amp;B152&amp;G152&amp;"?utm_source="&amp;E152&amp;"&amp;utm_medium="&amp;F152&amp;"&amp;utm_campaign="&amp;H152&amp;"&amp;utm_content="&amp;I152</f>
        <v>https://aiventure.ro/?utm_source=email_signature&amp;utm_medium=email&amp;utm_campaign=2610_ff_lansare&amp;utm_content=fierbinte_general</v>
      </c>
    </row>
    <row r="153" customFormat="false" ht="15" hidden="false" customHeight="false" outlineLevel="0" collapsed="false">
      <c r="A153" s="10" t="s">
        <v>50</v>
      </c>
      <c r="B153" s="10" t="str">
        <f aca="false">INDEX('Site-uri'!$B$2:$B$20,MATCH(A153,'Site-uri'!$A$2:$A$20,0))</f>
        <v>aiventure.ro</v>
      </c>
      <c r="C153" s="10" t="s">
        <v>134</v>
      </c>
      <c r="D153" s="10" t="s">
        <v>237</v>
      </c>
      <c r="E153" s="10" t="str">
        <f aca="false">INDEX(Canale!$C$2:$C$30,MATCH(C153,Canale!$A$2:$A$30,0))</f>
        <v>email_signature</v>
      </c>
      <c r="F153" s="10" t="str">
        <f aca="false">INDEX(Canale!$D$2:$D$30,MATCH(C153,Canale!$A$2:$A$30,0))</f>
        <v>email</v>
      </c>
      <c r="G153" s="10" t="str">
        <f aca="false">INDEX('Site-uri'!$C$2:$C$20,MATCH(A153,'Site-uri'!$A$2:$A$20,0))</f>
        <v>/</v>
      </c>
      <c r="H153" s="10" t="str">
        <f aca="false">Config!$B$3</f>
        <v>2610_ff_lansare</v>
      </c>
      <c r="I153" s="10" t="str">
        <f aca="false">D153&amp;"_"&amp;Config!$B$4</f>
        <v>client_general</v>
      </c>
      <c r="J153" s="10" t="str">
        <f aca="false">"https://"&amp;B153&amp;G153&amp;"?utm_source="&amp;E153&amp;"&amp;utm_medium="&amp;F153&amp;"&amp;utm_campaign="&amp;H153&amp;"&amp;utm_content="&amp;I153</f>
        <v>https://aiventure.ro/?utm_source=email_signature&amp;utm_medium=email&amp;utm_campaign=2610_ff_lansare&amp;utm_content=client_general</v>
      </c>
    </row>
    <row r="154" customFormat="false" ht="15" hidden="false" customHeight="false" outlineLevel="0" collapsed="false">
      <c r="A154" s="10" t="s">
        <v>50</v>
      </c>
      <c r="B154" s="10" t="str">
        <f aca="false">INDEX('Site-uri'!$B$2:$B$20,MATCH(A154,'Site-uri'!$A$2:$A$20,0))</f>
        <v>aiventure.ro</v>
      </c>
      <c r="C154" s="10" t="s">
        <v>137</v>
      </c>
      <c r="D154" s="10" t="s">
        <v>219</v>
      </c>
      <c r="E154" s="10" t="str">
        <f aca="false">INDEX(Canale!$C$2:$C$30,MATCH(C154,Canale!$A$2:$A$30,0))</f>
        <v>whatsapp</v>
      </c>
      <c r="F154" s="10" t="str">
        <f aca="false">INDEX(Canale!$D$2:$D$30,MATCH(C154,Canale!$A$2:$A$30,0))</f>
        <v>dm</v>
      </c>
      <c r="G154" s="10" t="str">
        <f aca="false">INDEX('Site-uri'!$C$2:$C$20,MATCH(A154,'Site-uri'!$A$2:$A$20,0))</f>
        <v>/</v>
      </c>
      <c r="H154" s="10" t="str">
        <f aca="false">Config!$B$3</f>
        <v>2610_ff_lansare</v>
      </c>
      <c r="I154" s="10" t="str">
        <f aca="false">D154&amp;"_"&amp;Config!$B$4</f>
        <v>rece_general</v>
      </c>
      <c r="J154" s="10" t="str">
        <f aca="false">"https://"&amp;B154&amp;G154&amp;"?utm_source="&amp;E154&amp;"&amp;utm_medium="&amp;F154&amp;"&amp;utm_campaign="&amp;H154&amp;"&amp;utm_content="&amp;I154</f>
        <v>https://aiventure.ro/?utm_source=whatsapp&amp;utm_medium=dm&amp;utm_campaign=2610_ff_lansare&amp;utm_content=rece_general</v>
      </c>
    </row>
    <row r="155" customFormat="false" ht="15" hidden="false" customHeight="false" outlineLevel="0" collapsed="false">
      <c r="A155" s="10" t="s">
        <v>50</v>
      </c>
      <c r="B155" s="10" t="str">
        <f aca="false">INDEX('Site-uri'!$B$2:$B$20,MATCH(A155,'Site-uri'!$A$2:$A$20,0))</f>
        <v>aiventure.ro</v>
      </c>
      <c r="C155" s="10" t="s">
        <v>137</v>
      </c>
      <c r="D155" s="10" t="s">
        <v>225</v>
      </c>
      <c r="E155" s="10" t="str">
        <f aca="false">INDEX(Canale!$C$2:$C$30,MATCH(C155,Canale!$A$2:$A$30,0))</f>
        <v>whatsapp</v>
      </c>
      <c r="F155" s="10" t="str">
        <f aca="false">INDEX(Canale!$D$2:$D$30,MATCH(C155,Canale!$A$2:$A$30,0))</f>
        <v>dm</v>
      </c>
      <c r="G155" s="10" t="str">
        <f aca="false">INDEX('Site-uri'!$C$2:$C$20,MATCH(A155,'Site-uri'!$A$2:$A$20,0))</f>
        <v>/</v>
      </c>
      <c r="H155" s="10" t="str">
        <f aca="false">Config!$B$3</f>
        <v>2610_ff_lansare</v>
      </c>
      <c r="I155" s="10" t="str">
        <f aca="false">D155&amp;"_"&amp;Config!$B$4</f>
        <v>cald_general</v>
      </c>
      <c r="J155" s="10" t="str">
        <f aca="false">"https://"&amp;B155&amp;G155&amp;"?utm_source="&amp;E155&amp;"&amp;utm_medium="&amp;F155&amp;"&amp;utm_campaign="&amp;H155&amp;"&amp;utm_content="&amp;I155</f>
        <v>https://aiventure.ro/?utm_source=whatsapp&amp;utm_medium=dm&amp;utm_campaign=2610_ff_lansare&amp;utm_content=cald_general</v>
      </c>
    </row>
    <row r="156" customFormat="false" ht="15" hidden="false" customHeight="false" outlineLevel="0" collapsed="false">
      <c r="A156" s="10" t="s">
        <v>50</v>
      </c>
      <c r="B156" s="10" t="str">
        <f aca="false">INDEX('Site-uri'!$B$2:$B$20,MATCH(A156,'Site-uri'!$A$2:$A$20,0))</f>
        <v>aiventure.ro</v>
      </c>
      <c r="C156" s="10" t="s">
        <v>137</v>
      </c>
      <c r="D156" s="10" t="s">
        <v>231</v>
      </c>
      <c r="E156" s="10" t="str">
        <f aca="false">INDEX(Canale!$C$2:$C$30,MATCH(C156,Canale!$A$2:$A$30,0))</f>
        <v>whatsapp</v>
      </c>
      <c r="F156" s="10" t="str">
        <f aca="false">INDEX(Canale!$D$2:$D$30,MATCH(C156,Canale!$A$2:$A$30,0))</f>
        <v>dm</v>
      </c>
      <c r="G156" s="10" t="str">
        <f aca="false">INDEX('Site-uri'!$C$2:$C$20,MATCH(A156,'Site-uri'!$A$2:$A$20,0))</f>
        <v>/</v>
      </c>
      <c r="H156" s="10" t="str">
        <f aca="false">Config!$B$3</f>
        <v>2610_ff_lansare</v>
      </c>
      <c r="I156" s="10" t="str">
        <f aca="false">D156&amp;"_"&amp;Config!$B$4</f>
        <v>fierbinte_general</v>
      </c>
      <c r="J156" s="10" t="str">
        <f aca="false">"https://"&amp;B156&amp;G156&amp;"?utm_source="&amp;E156&amp;"&amp;utm_medium="&amp;F156&amp;"&amp;utm_campaign="&amp;H156&amp;"&amp;utm_content="&amp;I156</f>
        <v>https://aiventure.ro/?utm_source=whatsapp&amp;utm_medium=dm&amp;utm_campaign=2610_ff_lansare&amp;utm_content=fierbinte_general</v>
      </c>
    </row>
    <row r="157" customFormat="false" ht="15" hidden="false" customHeight="false" outlineLevel="0" collapsed="false">
      <c r="A157" s="10" t="s">
        <v>50</v>
      </c>
      <c r="B157" s="10" t="str">
        <f aca="false">INDEX('Site-uri'!$B$2:$B$20,MATCH(A157,'Site-uri'!$A$2:$A$20,0))</f>
        <v>aiventure.ro</v>
      </c>
      <c r="C157" s="10" t="s">
        <v>137</v>
      </c>
      <c r="D157" s="10" t="s">
        <v>237</v>
      </c>
      <c r="E157" s="10" t="str">
        <f aca="false">INDEX(Canale!$C$2:$C$30,MATCH(C157,Canale!$A$2:$A$30,0))</f>
        <v>whatsapp</v>
      </c>
      <c r="F157" s="10" t="str">
        <f aca="false">INDEX(Canale!$D$2:$D$30,MATCH(C157,Canale!$A$2:$A$30,0))</f>
        <v>dm</v>
      </c>
      <c r="G157" s="10" t="str">
        <f aca="false">INDEX('Site-uri'!$C$2:$C$20,MATCH(A157,'Site-uri'!$A$2:$A$20,0))</f>
        <v>/</v>
      </c>
      <c r="H157" s="10" t="str">
        <f aca="false">Config!$B$3</f>
        <v>2610_ff_lansare</v>
      </c>
      <c r="I157" s="10" t="str">
        <f aca="false">D157&amp;"_"&amp;Config!$B$4</f>
        <v>client_general</v>
      </c>
      <c r="J157" s="10" t="str">
        <f aca="false">"https://"&amp;B157&amp;G157&amp;"?utm_source="&amp;E157&amp;"&amp;utm_medium="&amp;F157&amp;"&amp;utm_campaign="&amp;H157&amp;"&amp;utm_content="&amp;I157</f>
        <v>https://aiventure.ro/?utm_source=whatsapp&amp;utm_medium=dm&amp;utm_campaign=2610_ff_lansare&amp;utm_content=client_general</v>
      </c>
    </row>
    <row r="158" customFormat="false" ht="15" hidden="false" customHeight="false" outlineLevel="0" collapsed="false">
      <c r="A158" s="10" t="s">
        <v>50</v>
      </c>
      <c r="B158" s="10" t="str">
        <f aca="false">INDEX('Site-uri'!$B$2:$B$20,MATCH(A158,'Site-uri'!$A$2:$A$20,0))</f>
        <v>aiventure.ro</v>
      </c>
      <c r="C158" s="10" t="s">
        <v>141</v>
      </c>
      <c r="D158" s="10" t="s">
        <v>219</v>
      </c>
      <c r="E158" s="10" t="str">
        <f aca="false">INDEX(Canale!$C$2:$C$30,MATCH(C158,Canale!$A$2:$A$30,0))</f>
        <v>google</v>
      </c>
      <c r="F158" s="10" t="str">
        <f aca="false">INDEX(Canale!$D$2:$D$30,MATCH(C158,Canale!$A$2:$A$30,0))</f>
        <v>cpc</v>
      </c>
      <c r="G158" s="10" t="str">
        <f aca="false">INDEX('Site-uri'!$C$2:$C$20,MATCH(A158,'Site-uri'!$A$2:$A$20,0))</f>
        <v>/</v>
      </c>
      <c r="H158" s="10" t="str">
        <f aca="false">Config!$B$3</f>
        <v>2610_ff_lansare</v>
      </c>
      <c r="I158" s="10" t="str">
        <f aca="false">D158&amp;"_"&amp;Config!$B$4</f>
        <v>rece_general</v>
      </c>
      <c r="J158" s="10" t="str">
        <f aca="false">"https://"&amp;B158&amp;G158&amp;"?utm_source="&amp;E158&amp;"&amp;utm_medium="&amp;F158&amp;"&amp;utm_campaign="&amp;H158&amp;"&amp;utm_content="&amp;I158</f>
        <v>https://aiventure.ro/?utm_source=google&amp;utm_medium=cpc&amp;utm_campaign=2610_ff_lansare&amp;utm_content=rece_general</v>
      </c>
    </row>
    <row r="159" customFormat="false" ht="15" hidden="false" customHeight="false" outlineLevel="0" collapsed="false">
      <c r="A159" s="10" t="s">
        <v>50</v>
      </c>
      <c r="B159" s="10" t="str">
        <f aca="false">INDEX('Site-uri'!$B$2:$B$20,MATCH(A159,'Site-uri'!$A$2:$A$20,0))</f>
        <v>aiventure.ro</v>
      </c>
      <c r="C159" s="10" t="s">
        <v>141</v>
      </c>
      <c r="D159" s="10" t="s">
        <v>225</v>
      </c>
      <c r="E159" s="10" t="str">
        <f aca="false">INDEX(Canale!$C$2:$C$30,MATCH(C159,Canale!$A$2:$A$30,0))</f>
        <v>google</v>
      </c>
      <c r="F159" s="10" t="str">
        <f aca="false">INDEX(Canale!$D$2:$D$30,MATCH(C159,Canale!$A$2:$A$30,0))</f>
        <v>cpc</v>
      </c>
      <c r="G159" s="10" t="str">
        <f aca="false">INDEX('Site-uri'!$C$2:$C$20,MATCH(A159,'Site-uri'!$A$2:$A$20,0))</f>
        <v>/</v>
      </c>
      <c r="H159" s="10" t="str">
        <f aca="false">Config!$B$3</f>
        <v>2610_ff_lansare</v>
      </c>
      <c r="I159" s="10" t="str">
        <f aca="false">D159&amp;"_"&amp;Config!$B$4</f>
        <v>cald_general</v>
      </c>
      <c r="J159" s="10" t="str">
        <f aca="false">"https://"&amp;B159&amp;G159&amp;"?utm_source="&amp;E159&amp;"&amp;utm_medium="&amp;F159&amp;"&amp;utm_campaign="&amp;H159&amp;"&amp;utm_content="&amp;I159</f>
        <v>https://aiventure.ro/?utm_source=google&amp;utm_medium=cpc&amp;utm_campaign=2610_ff_lansare&amp;utm_content=cald_general</v>
      </c>
    </row>
    <row r="160" customFormat="false" ht="15" hidden="false" customHeight="false" outlineLevel="0" collapsed="false">
      <c r="A160" s="10" t="s">
        <v>50</v>
      </c>
      <c r="B160" s="10" t="str">
        <f aca="false">INDEX('Site-uri'!$B$2:$B$20,MATCH(A160,'Site-uri'!$A$2:$A$20,0))</f>
        <v>aiventure.ro</v>
      </c>
      <c r="C160" s="10" t="s">
        <v>141</v>
      </c>
      <c r="D160" s="10" t="s">
        <v>231</v>
      </c>
      <c r="E160" s="10" t="str">
        <f aca="false">INDEX(Canale!$C$2:$C$30,MATCH(C160,Canale!$A$2:$A$30,0))</f>
        <v>google</v>
      </c>
      <c r="F160" s="10" t="str">
        <f aca="false">INDEX(Canale!$D$2:$D$30,MATCH(C160,Canale!$A$2:$A$30,0))</f>
        <v>cpc</v>
      </c>
      <c r="G160" s="10" t="str">
        <f aca="false">INDEX('Site-uri'!$C$2:$C$20,MATCH(A160,'Site-uri'!$A$2:$A$20,0))</f>
        <v>/</v>
      </c>
      <c r="H160" s="10" t="str">
        <f aca="false">Config!$B$3</f>
        <v>2610_ff_lansare</v>
      </c>
      <c r="I160" s="10" t="str">
        <f aca="false">D160&amp;"_"&amp;Config!$B$4</f>
        <v>fierbinte_general</v>
      </c>
      <c r="J160" s="10" t="str">
        <f aca="false">"https://"&amp;B160&amp;G160&amp;"?utm_source="&amp;E160&amp;"&amp;utm_medium="&amp;F160&amp;"&amp;utm_campaign="&amp;H160&amp;"&amp;utm_content="&amp;I160</f>
        <v>https://aiventure.ro/?utm_source=google&amp;utm_medium=cpc&amp;utm_campaign=2610_ff_lansare&amp;utm_content=fierbinte_general</v>
      </c>
    </row>
    <row r="161" customFormat="false" ht="15" hidden="false" customHeight="false" outlineLevel="0" collapsed="false">
      <c r="A161" s="10" t="s">
        <v>50</v>
      </c>
      <c r="B161" s="10" t="str">
        <f aca="false">INDEX('Site-uri'!$B$2:$B$20,MATCH(A161,'Site-uri'!$A$2:$A$20,0))</f>
        <v>aiventure.ro</v>
      </c>
      <c r="C161" s="10" t="s">
        <v>141</v>
      </c>
      <c r="D161" s="10" t="s">
        <v>237</v>
      </c>
      <c r="E161" s="10" t="str">
        <f aca="false">INDEX(Canale!$C$2:$C$30,MATCH(C161,Canale!$A$2:$A$30,0))</f>
        <v>google</v>
      </c>
      <c r="F161" s="10" t="str">
        <f aca="false">INDEX(Canale!$D$2:$D$30,MATCH(C161,Canale!$A$2:$A$30,0))</f>
        <v>cpc</v>
      </c>
      <c r="G161" s="10" t="str">
        <f aca="false">INDEX('Site-uri'!$C$2:$C$20,MATCH(A161,'Site-uri'!$A$2:$A$20,0))</f>
        <v>/</v>
      </c>
      <c r="H161" s="10" t="str">
        <f aca="false">Config!$B$3</f>
        <v>2610_ff_lansare</v>
      </c>
      <c r="I161" s="10" t="str">
        <f aca="false">D161&amp;"_"&amp;Config!$B$4</f>
        <v>client_general</v>
      </c>
      <c r="J161" s="10" t="str">
        <f aca="false">"https://"&amp;B161&amp;G161&amp;"?utm_source="&amp;E161&amp;"&amp;utm_medium="&amp;F161&amp;"&amp;utm_campaign="&amp;H161&amp;"&amp;utm_content="&amp;I161</f>
        <v>https://aiventure.ro/?utm_source=google&amp;utm_medium=cpc&amp;utm_campaign=2610_ff_lansare&amp;utm_content=client_general</v>
      </c>
    </row>
    <row r="162" customFormat="false" ht="15" hidden="false" customHeight="false" outlineLevel="0" collapsed="false">
      <c r="A162" s="10" t="s">
        <v>50</v>
      </c>
      <c r="B162" s="10" t="str">
        <f aca="false">INDEX('Site-uri'!$B$2:$B$20,MATCH(A162,'Site-uri'!$A$2:$A$20,0))</f>
        <v>aiventure.ro</v>
      </c>
      <c r="C162" s="10" t="s">
        <v>146</v>
      </c>
      <c r="D162" s="10" t="s">
        <v>219</v>
      </c>
      <c r="E162" s="10" t="str">
        <f aca="false">INDEX(Canale!$C$2:$C$30,MATCH(C162,Canale!$A$2:$A$30,0))</f>
        <v>bing</v>
      </c>
      <c r="F162" s="10" t="str">
        <f aca="false">INDEX(Canale!$D$2:$D$30,MATCH(C162,Canale!$A$2:$A$30,0))</f>
        <v>cpc</v>
      </c>
      <c r="G162" s="10" t="str">
        <f aca="false">INDEX('Site-uri'!$C$2:$C$20,MATCH(A162,'Site-uri'!$A$2:$A$20,0))</f>
        <v>/</v>
      </c>
      <c r="H162" s="10" t="str">
        <f aca="false">Config!$B$3</f>
        <v>2610_ff_lansare</v>
      </c>
      <c r="I162" s="10" t="str">
        <f aca="false">D162&amp;"_"&amp;Config!$B$4</f>
        <v>rece_general</v>
      </c>
      <c r="J162" s="10" t="str">
        <f aca="false">"https://"&amp;B162&amp;G162&amp;"?utm_source="&amp;E162&amp;"&amp;utm_medium="&amp;F162&amp;"&amp;utm_campaign="&amp;H162&amp;"&amp;utm_content="&amp;I162</f>
        <v>https://aiventure.ro/?utm_source=bing&amp;utm_medium=cpc&amp;utm_campaign=2610_ff_lansare&amp;utm_content=rece_general</v>
      </c>
    </row>
    <row r="163" customFormat="false" ht="15" hidden="false" customHeight="false" outlineLevel="0" collapsed="false">
      <c r="A163" s="10" t="s">
        <v>50</v>
      </c>
      <c r="B163" s="10" t="str">
        <f aca="false">INDEX('Site-uri'!$B$2:$B$20,MATCH(A163,'Site-uri'!$A$2:$A$20,0))</f>
        <v>aiventure.ro</v>
      </c>
      <c r="C163" s="10" t="s">
        <v>146</v>
      </c>
      <c r="D163" s="10" t="s">
        <v>225</v>
      </c>
      <c r="E163" s="10" t="str">
        <f aca="false">INDEX(Canale!$C$2:$C$30,MATCH(C163,Canale!$A$2:$A$30,0))</f>
        <v>bing</v>
      </c>
      <c r="F163" s="10" t="str">
        <f aca="false">INDEX(Canale!$D$2:$D$30,MATCH(C163,Canale!$A$2:$A$30,0))</f>
        <v>cpc</v>
      </c>
      <c r="G163" s="10" t="str">
        <f aca="false">INDEX('Site-uri'!$C$2:$C$20,MATCH(A163,'Site-uri'!$A$2:$A$20,0))</f>
        <v>/</v>
      </c>
      <c r="H163" s="10" t="str">
        <f aca="false">Config!$B$3</f>
        <v>2610_ff_lansare</v>
      </c>
      <c r="I163" s="10" t="str">
        <f aca="false">D163&amp;"_"&amp;Config!$B$4</f>
        <v>cald_general</v>
      </c>
      <c r="J163" s="10" t="str">
        <f aca="false">"https://"&amp;B163&amp;G163&amp;"?utm_source="&amp;E163&amp;"&amp;utm_medium="&amp;F163&amp;"&amp;utm_campaign="&amp;H163&amp;"&amp;utm_content="&amp;I163</f>
        <v>https://aiventure.ro/?utm_source=bing&amp;utm_medium=cpc&amp;utm_campaign=2610_ff_lansare&amp;utm_content=cald_general</v>
      </c>
    </row>
    <row r="164" customFormat="false" ht="15" hidden="false" customHeight="false" outlineLevel="0" collapsed="false">
      <c r="A164" s="10" t="s">
        <v>50</v>
      </c>
      <c r="B164" s="10" t="str">
        <f aca="false">INDEX('Site-uri'!$B$2:$B$20,MATCH(A164,'Site-uri'!$A$2:$A$20,0))</f>
        <v>aiventure.ro</v>
      </c>
      <c r="C164" s="10" t="s">
        <v>146</v>
      </c>
      <c r="D164" s="10" t="s">
        <v>231</v>
      </c>
      <c r="E164" s="10" t="str">
        <f aca="false">INDEX(Canale!$C$2:$C$30,MATCH(C164,Canale!$A$2:$A$30,0))</f>
        <v>bing</v>
      </c>
      <c r="F164" s="10" t="str">
        <f aca="false">INDEX(Canale!$D$2:$D$30,MATCH(C164,Canale!$A$2:$A$30,0))</f>
        <v>cpc</v>
      </c>
      <c r="G164" s="10" t="str">
        <f aca="false">INDEX('Site-uri'!$C$2:$C$20,MATCH(A164,'Site-uri'!$A$2:$A$20,0))</f>
        <v>/</v>
      </c>
      <c r="H164" s="10" t="str">
        <f aca="false">Config!$B$3</f>
        <v>2610_ff_lansare</v>
      </c>
      <c r="I164" s="10" t="str">
        <f aca="false">D164&amp;"_"&amp;Config!$B$4</f>
        <v>fierbinte_general</v>
      </c>
      <c r="J164" s="10" t="str">
        <f aca="false">"https://"&amp;B164&amp;G164&amp;"?utm_source="&amp;E164&amp;"&amp;utm_medium="&amp;F164&amp;"&amp;utm_campaign="&amp;H164&amp;"&amp;utm_content="&amp;I164</f>
        <v>https://aiventure.ro/?utm_source=bing&amp;utm_medium=cpc&amp;utm_campaign=2610_ff_lansare&amp;utm_content=fierbinte_general</v>
      </c>
    </row>
    <row r="165" customFormat="false" ht="15" hidden="false" customHeight="false" outlineLevel="0" collapsed="false">
      <c r="A165" s="10" t="s">
        <v>50</v>
      </c>
      <c r="B165" s="10" t="str">
        <f aca="false">INDEX('Site-uri'!$B$2:$B$20,MATCH(A165,'Site-uri'!$A$2:$A$20,0))</f>
        <v>aiventure.ro</v>
      </c>
      <c r="C165" s="10" t="s">
        <v>146</v>
      </c>
      <c r="D165" s="10" t="s">
        <v>237</v>
      </c>
      <c r="E165" s="10" t="str">
        <f aca="false">INDEX(Canale!$C$2:$C$30,MATCH(C165,Canale!$A$2:$A$30,0))</f>
        <v>bing</v>
      </c>
      <c r="F165" s="10" t="str">
        <f aca="false">INDEX(Canale!$D$2:$D$30,MATCH(C165,Canale!$A$2:$A$30,0))</f>
        <v>cpc</v>
      </c>
      <c r="G165" s="10" t="str">
        <f aca="false">INDEX('Site-uri'!$C$2:$C$20,MATCH(A165,'Site-uri'!$A$2:$A$20,0))</f>
        <v>/</v>
      </c>
      <c r="H165" s="10" t="str">
        <f aca="false">Config!$B$3</f>
        <v>2610_ff_lansare</v>
      </c>
      <c r="I165" s="10" t="str">
        <f aca="false">D165&amp;"_"&amp;Config!$B$4</f>
        <v>client_general</v>
      </c>
      <c r="J165" s="10" t="str">
        <f aca="false">"https://"&amp;B165&amp;G165&amp;"?utm_source="&amp;E165&amp;"&amp;utm_medium="&amp;F165&amp;"&amp;utm_campaign="&amp;H165&amp;"&amp;utm_content="&amp;I165</f>
        <v>https://aiventure.ro/?utm_source=bing&amp;utm_medium=cpc&amp;utm_campaign=2610_ff_lansare&amp;utm_content=client_general</v>
      </c>
    </row>
    <row r="166" customFormat="false" ht="15" hidden="false" customHeight="false" outlineLevel="0" collapsed="false">
      <c r="A166" s="10" t="s">
        <v>50</v>
      </c>
      <c r="B166" s="10" t="str">
        <f aca="false">INDEX('Site-uri'!$B$2:$B$20,MATCH(A166,'Site-uri'!$A$2:$A$20,0))</f>
        <v>aiventure.ro</v>
      </c>
      <c r="C166" s="10" t="s">
        <v>149</v>
      </c>
      <c r="D166" s="10" t="s">
        <v>219</v>
      </c>
      <c r="E166" s="10" t="str">
        <f aca="false">INDEX(Canale!$C$2:$C$30,MATCH(C166,Canale!$A$2:$A$30,0))</f>
        <v>facebook</v>
      </c>
      <c r="F166" s="10" t="str">
        <f aca="false">INDEX(Canale!$D$2:$D$30,MATCH(C166,Canale!$A$2:$A$30,0))</f>
        <v>social</v>
      </c>
      <c r="G166" s="10" t="str">
        <f aca="false">INDEX('Site-uri'!$C$2:$C$20,MATCH(A166,'Site-uri'!$A$2:$A$20,0))</f>
        <v>/</v>
      </c>
      <c r="H166" s="10" t="str">
        <f aca="false">Config!$B$3</f>
        <v>2610_ff_lansare</v>
      </c>
      <c r="I166" s="10" t="str">
        <f aca="false">D166&amp;"_"&amp;Config!$B$4</f>
        <v>rece_general</v>
      </c>
      <c r="J166" s="10" t="str">
        <f aca="false">"https://"&amp;B166&amp;G166&amp;"?utm_source="&amp;E166&amp;"&amp;utm_medium="&amp;F166&amp;"&amp;utm_campaign="&amp;H166&amp;"&amp;utm_content="&amp;I166</f>
        <v>https://aiventure.ro/?utm_source=facebook&amp;utm_medium=social&amp;utm_campaign=2610_ff_lansare&amp;utm_content=rece_general</v>
      </c>
    </row>
    <row r="167" customFormat="false" ht="15" hidden="false" customHeight="false" outlineLevel="0" collapsed="false">
      <c r="A167" s="10" t="s">
        <v>50</v>
      </c>
      <c r="B167" s="10" t="str">
        <f aca="false">INDEX('Site-uri'!$B$2:$B$20,MATCH(A167,'Site-uri'!$A$2:$A$20,0))</f>
        <v>aiventure.ro</v>
      </c>
      <c r="C167" s="10" t="s">
        <v>149</v>
      </c>
      <c r="D167" s="10" t="s">
        <v>225</v>
      </c>
      <c r="E167" s="10" t="str">
        <f aca="false">INDEX(Canale!$C$2:$C$30,MATCH(C167,Canale!$A$2:$A$30,0))</f>
        <v>facebook</v>
      </c>
      <c r="F167" s="10" t="str">
        <f aca="false">INDEX(Canale!$D$2:$D$30,MATCH(C167,Canale!$A$2:$A$30,0))</f>
        <v>social</v>
      </c>
      <c r="G167" s="10" t="str">
        <f aca="false">INDEX('Site-uri'!$C$2:$C$20,MATCH(A167,'Site-uri'!$A$2:$A$20,0))</f>
        <v>/</v>
      </c>
      <c r="H167" s="10" t="str">
        <f aca="false">Config!$B$3</f>
        <v>2610_ff_lansare</v>
      </c>
      <c r="I167" s="10" t="str">
        <f aca="false">D167&amp;"_"&amp;Config!$B$4</f>
        <v>cald_general</v>
      </c>
      <c r="J167" s="10" t="str">
        <f aca="false">"https://"&amp;B167&amp;G167&amp;"?utm_source="&amp;E167&amp;"&amp;utm_medium="&amp;F167&amp;"&amp;utm_campaign="&amp;H167&amp;"&amp;utm_content="&amp;I167</f>
        <v>https://aiventure.ro/?utm_source=facebook&amp;utm_medium=social&amp;utm_campaign=2610_ff_lansare&amp;utm_content=cald_general</v>
      </c>
    </row>
    <row r="168" customFormat="false" ht="15" hidden="false" customHeight="false" outlineLevel="0" collapsed="false">
      <c r="A168" s="10" t="s">
        <v>50</v>
      </c>
      <c r="B168" s="10" t="str">
        <f aca="false">INDEX('Site-uri'!$B$2:$B$20,MATCH(A168,'Site-uri'!$A$2:$A$20,0))</f>
        <v>aiventure.ro</v>
      </c>
      <c r="C168" s="10" t="s">
        <v>149</v>
      </c>
      <c r="D168" s="10" t="s">
        <v>231</v>
      </c>
      <c r="E168" s="10" t="str">
        <f aca="false">INDEX(Canale!$C$2:$C$30,MATCH(C168,Canale!$A$2:$A$30,0))</f>
        <v>facebook</v>
      </c>
      <c r="F168" s="10" t="str">
        <f aca="false">INDEX(Canale!$D$2:$D$30,MATCH(C168,Canale!$A$2:$A$30,0))</f>
        <v>social</v>
      </c>
      <c r="G168" s="10" t="str">
        <f aca="false">INDEX('Site-uri'!$C$2:$C$20,MATCH(A168,'Site-uri'!$A$2:$A$20,0))</f>
        <v>/</v>
      </c>
      <c r="H168" s="10" t="str">
        <f aca="false">Config!$B$3</f>
        <v>2610_ff_lansare</v>
      </c>
      <c r="I168" s="10" t="str">
        <f aca="false">D168&amp;"_"&amp;Config!$B$4</f>
        <v>fierbinte_general</v>
      </c>
      <c r="J168" s="10" t="str">
        <f aca="false">"https://"&amp;B168&amp;G168&amp;"?utm_source="&amp;E168&amp;"&amp;utm_medium="&amp;F168&amp;"&amp;utm_campaign="&amp;H168&amp;"&amp;utm_content="&amp;I168</f>
        <v>https://aiventure.ro/?utm_source=facebook&amp;utm_medium=social&amp;utm_campaign=2610_ff_lansare&amp;utm_content=fierbinte_general</v>
      </c>
    </row>
    <row r="169" customFormat="false" ht="15" hidden="false" customHeight="false" outlineLevel="0" collapsed="false">
      <c r="A169" s="10" t="s">
        <v>50</v>
      </c>
      <c r="B169" s="10" t="str">
        <f aca="false">INDEX('Site-uri'!$B$2:$B$20,MATCH(A169,'Site-uri'!$A$2:$A$20,0))</f>
        <v>aiventure.ro</v>
      </c>
      <c r="C169" s="10" t="s">
        <v>149</v>
      </c>
      <c r="D169" s="10" t="s">
        <v>237</v>
      </c>
      <c r="E169" s="10" t="str">
        <f aca="false">INDEX(Canale!$C$2:$C$30,MATCH(C169,Canale!$A$2:$A$30,0))</f>
        <v>facebook</v>
      </c>
      <c r="F169" s="10" t="str">
        <f aca="false">INDEX(Canale!$D$2:$D$30,MATCH(C169,Canale!$A$2:$A$30,0))</f>
        <v>social</v>
      </c>
      <c r="G169" s="10" t="str">
        <f aca="false">INDEX('Site-uri'!$C$2:$C$20,MATCH(A169,'Site-uri'!$A$2:$A$20,0))</f>
        <v>/</v>
      </c>
      <c r="H169" s="10" t="str">
        <f aca="false">Config!$B$3</f>
        <v>2610_ff_lansare</v>
      </c>
      <c r="I169" s="10" t="str">
        <f aca="false">D169&amp;"_"&amp;Config!$B$4</f>
        <v>client_general</v>
      </c>
      <c r="J169" s="10" t="str">
        <f aca="false">"https://"&amp;B169&amp;G169&amp;"?utm_source="&amp;E169&amp;"&amp;utm_medium="&amp;F169&amp;"&amp;utm_campaign="&amp;H169&amp;"&amp;utm_content="&amp;I169</f>
        <v>https://aiventure.ro/?utm_source=facebook&amp;utm_medium=social&amp;utm_campaign=2610_ff_lansare&amp;utm_content=client_general</v>
      </c>
    </row>
    <row r="170" customFormat="false" ht="15" hidden="false" customHeight="false" outlineLevel="0" collapsed="false">
      <c r="A170" s="10" t="s">
        <v>50</v>
      </c>
      <c r="B170" s="10" t="str">
        <f aca="false">INDEX('Site-uri'!$B$2:$B$20,MATCH(A170,'Site-uri'!$A$2:$A$20,0))</f>
        <v>aiventure.ro</v>
      </c>
      <c r="C170" s="10" t="s">
        <v>153</v>
      </c>
      <c r="D170" s="10" t="s">
        <v>219</v>
      </c>
      <c r="E170" s="10" t="str">
        <f aca="false">INDEX(Canale!$C$2:$C$30,MATCH(C170,Canale!$A$2:$A$30,0))</f>
        <v>x</v>
      </c>
      <c r="F170" s="10" t="str">
        <f aca="false">INDEX(Canale!$D$2:$D$30,MATCH(C170,Canale!$A$2:$A$30,0))</f>
        <v>social</v>
      </c>
      <c r="G170" s="10" t="str">
        <f aca="false">INDEX('Site-uri'!$C$2:$C$20,MATCH(A170,'Site-uri'!$A$2:$A$20,0))</f>
        <v>/</v>
      </c>
      <c r="H170" s="10" t="str">
        <f aca="false">Config!$B$3</f>
        <v>2610_ff_lansare</v>
      </c>
      <c r="I170" s="10" t="str">
        <f aca="false">D170&amp;"_"&amp;Config!$B$4</f>
        <v>rece_general</v>
      </c>
      <c r="J170" s="10" t="str">
        <f aca="false">"https://"&amp;B170&amp;G170&amp;"?utm_source="&amp;E170&amp;"&amp;utm_medium="&amp;F170&amp;"&amp;utm_campaign="&amp;H170&amp;"&amp;utm_content="&amp;I170</f>
        <v>https://aiventure.ro/?utm_source=x&amp;utm_medium=social&amp;utm_campaign=2610_ff_lansare&amp;utm_content=rece_general</v>
      </c>
    </row>
    <row r="171" customFormat="false" ht="15" hidden="false" customHeight="false" outlineLevel="0" collapsed="false">
      <c r="A171" s="10" t="s">
        <v>50</v>
      </c>
      <c r="B171" s="10" t="str">
        <f aca="false">INDEX('Site-uri'!$B$2:$B$20,MATCH(A171,'Site-uri'!$A$2:$A$20,0))</f>
        <v>aiventure.ro</v>
      </c>
      <c r="C171" s="10" t="s">
        <v>153</v>
      </c>
      <c r="D171" s="10" t="s">
        <v>225</v>
      </c>
      <c r="E171" s="10" t="str">
        <f aca="false">INDEX(Canale!$C$2:$C$30,MATCH(C171,Canale!$A$2:$A$30,0))</f>
        <v>x</v>
      </c>
      <c r="F171" s="10" t="str">
        <f aca="false">INDEX(Canale!$D$2:$D$30,MATCH(C171,Canale!$A$2:$A$30,0))</f>
        <v>social</v>
      </c>
      <c r="G171" s="10" t="str">
        <f aca="false">INDEX('Site-uri'!$C$2:$C$20,MATCH(A171,'Site-uri'!$A$2:$A$20,0))</f>
        <v>/</v>
      </c>
      <c r="H171" s="10" t="str">
        <f aca="false">Config!$B$3</f>
        <v>2610_ff_lansare</v>
      </c>
      <c r="I171" s="10" t="str">
        <f aca="false">D171&amp;"_"&amp;Config!$B$4</f>
        <v>cald_general</v>
      </c>
      <c r="J171" s="10" t="str">
        <f aca="false">"https://"&amp;B171&amp;G171&amp;"?utm_source="&amp;E171&amp;"&amp;utm_medium="&amp;F171&amp;"&amp;utm_campaign="&amp;H171&amp;"&amp;utm_content="&amp;I171</f>
        <v>https://aiventure.ro/?utm_source=x&amp;utm_medium=social&amp;utm_campaign=2610_ff_lansare&amp;utm_content=cald_general</v>
      </c>
    </row>
    <row r="172" customFormat="false" ht="15" hidden="false" customHeight="false" outlineLevel="0" collapsed="false">
      <c r="A172" s="10" t="s">
        <v>50</v>
      </c>
      <c r="B172" s="10" t="str">
        <f aca="false">INDEX('Site-uri'!$B$2:$B$20,MATCH(A172,'Site-uri'!$A$2:$A$20,0))</f>
        <v>aiventure.ro</v>
      </c>
      <c r="C172" s="10" t="s">
        <v>153</v>
      </c>
      <c r="D172" s="10" t="s">
        <v>231</v>
      </c>
      <c r="E172" s="10" t="str">
        <f aca="false">INDEX(Canale!$C$2:$C$30,MATCH(C172,Canale!$A$2:$A$30,0))</f>
        <v>x</v>
      </c>
      <c r="F172" s="10" t="str">
        <f aca="false">INDEX(Canale!$D$2:$D$30,MATCH(C172,Canale!$A$2:$A$30,0))</f>
        <v>social</v>
      </c>
      <c r="G172" s="10" t="str">
        <f aca="false">INDEX('Site-uri'!$C$2:$C$20,MATCH(A172,'Site-uri'!$A$2:$A$20,0))</f>
        <v>/</v>
      </c>
      <c r="H172" s="10" t="str">
        <f aca="false">Config!$B$3</f>
        <v>2610_ff_lansare</v>
      </c>
      <c r="I172" s="10" t="str">
        <f aca="false">D172&amp;"_"&amp;Config!$B$4</f>
        <v>fierbinte_general</v>
      </c>
      <c r="J172" s="10" t="str">
        <f aca="false">"https://"&amp;B172&amp;G172&amp;"?utm_source="&amp;E172&amp;"&amp;utm_medium="&amp;F172&amp;"&amp;utm_campaign="&amp;H172&amp;"&amp;utm_content="&amp;I172</f>
        <v>https://aiventure.ro/?utm_source=x&amp;utm_medium=social&amp;utm_campaign=2610_ff_lansare&amp;utm_content=fierbinte_general</v>
      </c>
    </row>
    <row r="173" customFormat="false" ht="15" hidden="false" customHeight="false" outlineLevel="0" collapsed="false">
      <c r="A173" s="10" t="s">
        <v>50</v>
      </c>
      <c r="B173" s="10" t="str">
        <f aca="false">INDEX('Site-uri'!$B$2:$B$20,MATCH(A173,'Site-uri'!$A$2:$A$20,0))</f>
        <v>aiventure.ro</v>
      </c>
      <c r="C173" s="10" t="s">
        <v>153</v>
      </c>
      <c r="D173" s="10" t="s">
        <v>237</v>
      </c>
      <c r="E173" s="10" t="str">
        <f aca="false">INDEX(Canale!$C$2:$C$30,MATCH(C173,Canale!$A$2:$A$30,0))</f>
        <v>x</v>
      </c>
      <c r="F173" s="10" t="str">
        <f aca="false">INDEX(Canale!$D$2:$D$30,MATCH(C173,Canale!$A$2:$A$30,0))</f>
        <v>social</v>
      </c>
      <c r="G173" s="10" t="str">
        <f aca="false">INDEX('Site-uri'!$C$2:$C$20,MATCH(A173,'Site-uri'!$A$2:$A$20,0))</f>
        <v>/</v>
      </c>
      <c r="H173" s="10" t="str">
        <f aca="false">Config!$B$3</f>
        <v>2610_ff_lansare</v>
      </c>
      <c r="I173" s="10" t="str">
        <f aca="false">D173&amp;"_"&amp;Config!$B$4</f>
        <v>client_general</v>
      </c>
      <c r="J173" s="10" t="str">
        <f aca="false">"https://"&amp;B173&amp;G173&amp;"?utm_source="&amp;E173&amp;"&amp;utm_medium="&amp;F173&amp;"&amp;utm_campaign="&amp;H173&amp;"&amp;utm_content="&amp;I173</f>
        <v>https://aiventure.ro/?utm_source=x&amp;utm_medium=social&amp;utm_campaign=2610_ff_lansare&amp;utm_content=client_general</v>
      </c>
    </row>
    <row r="174" customFormat="false" ht="15" hidden="false" customHeight="false" outlineLevel="0" collapsed="false">
      <c r="A174" s="10" t="s">
        <v>50</v>
      </c>
      <c r="B174" s="10" t="str">
        <f aca="false">INDEX('Site-uri'!$B$2:$B$20,MATCH(A174,'Site-uri'!$A$2:$A$20,0))</f>
        <v>aiventure.ro</v>
      </c>
      <c r="C174" s="10" t="s">
        <v>155</v>
      </c>
      <c r="D174" s="10" t="s">
        <v>219</v>
      </c>
      <c r="E174" s="10" t="str">
        <f aca="false">INDEX(Canale!$C$2:$C$30,MATCH(C174,Canale!$A$2:$A$30,0))</f>
        <v>youtube</v>
      </c>
      <c r="F174" s="10" t="str">
        <f aca="false">INDEX(Canale!$D$2:$D$30,MATCH(C174,Canale!$A$2:$A$30,0))</f>
        <v>video</v>
      </c>
      <c r="G174" s="10" t="str">
        <f aca="false">INDEX('Site-uri'!$C$2:$C$20,MATCH(A174,'Site-uri'!$A$2:$A$20,0))</f>
        <v>/</v>
      </c>
      <c r="H174" s="10" t="str">
        <f aca="false">Config!$B$3</f>
        <v>2610_ff_lansare</v>
      </c>
      <c r="I174" s="10" t="str">
        <f aca="false">D174&amp;"_"&amp;Config!$B$4</f>
        <v>rece_general</v>
      </c>
      <c r="J174" s="10" t="str">
        <f aca="false">"https://"&amp;B174&amp;G174&amp;"?utm_source="&amp;E174&amp;"&amp;utm_medium="&amp;F174&amp;"&amp;utm_campaign="&amp;H174&amp;"&amp;utm_content="&amp;I174</f>
        <v>https://aiventure.ro/?utm_source=youtube&amp;utm_medium=video&amp;utm_campaign=2610_ff_lansare&amp;utm_content=rece_general</v>
      </c>
    </row>
    <row r="175" customFormat="false" ht="15" hidden="false" customHeight="false" outlineLevel="0" collapsed="false">
      <c r="A175" s="10" t="s">
        <v>50</v>
      </c>
      <c r="B175" s="10" t="str">
        <f aca="false">INDEX('Site-uri'!$B$2:$B$20,MATCH(A175,'Site-uri'!$A$2:$A$20,0))</f>
        <v>aiventure.ro</v>
      </c>
      <c r="C175" s="10" t="s">
        <v>155</v>
      </c>
      <c r="D175" s="10" t="s">
        <v>225</v>
      </c>
      <c r="E175" s="10" t="str">
        <f aca="false">INDEX(Canale!$C$2:$C$30,MATCH(C175,Canale!$A$2:$A$30,0))</f>
        <v>youtube</v>
      </c>
      <c r="F175" s="10" t="str">
        <f aca="false">INDEX(Canale!$D$2:$D$30,MATCH(C175,Canale!$A$2:$A$30,0))</f>
        <v>video</v>
      </c>
      <c r="G175" s="10" t="str">
        <f aca="false">INDEX('Site-uri'!$C$2:$C$20,MATCH(A175,'Site-uri'!$A$2:$A$20,0))</f>
        <v>/</v>
      </c>
      <c r="H175" s="10" t="str">
        <f aca="false">Config!$B$3</f>
        <v>2610_ff_lansare</v>
      </c>
      <c r="I175" s="10" t="str">
        <f aca="false">D175&amp;"_"&amp;Config!$B$4</f>
        <v>cald_general</v>
      </c>
      <c r="J175" s="10" t="str">
        <f aca="false">"https://"&amp;B175&amp;G175&amp;"?utm_source="&amp;E175&amp;"&amp;utm_medium="&amp;F175&amp;"&amp;utm_campaign="&amp;H175&amp;"&amp;utm_content="&amp;I175</f>
        <v>https://aiventure.ro/?utm_source=youtube&amp;utm_medium=video&amp;utm_campaign=2610_ff_lansare&amp;utm_content=cald_general</v>
      </c>
    </row>
    <row r="176" customFormat="false" ht="15" hidden="false" customHeight="false" outlineLevel="0" collapsed="false">
      <c r="A176" s="10" t="s">
        <v>50</v>
      </c>
      <c r="B176" s="10" t="str">
        <f aca="false">INDEX('Site-uri'!$B$2:$B$20,MATCH(A176,'Site-uri'!$A$2:$A$20,0))</f>
        <v>aiventure.ro</v>
      </c>
      <c r="C176" s="10" t="s">
        <v>155</v>
      </c>
      <c r="D176" s="10" t="s">
        <v>231</v>
      </c>
      <c r="E176" s="10" t="str">
        <f aca="false">INDEX(Canale!$C$2:$C$30,MATCH(C176,Canale!$A$2:$A$30,0))</f>
        <v>youtube</v>
      </c>
      <c r="F176" s="10" t="str">
        <f aca="false">INDEX(Canale!$D$2:$D$30,MATCH(C176,Canale!$A$2:$A$30,0))</f>
        <v>video</v>
      </c>
      <c r="G176" s="10" t="str">
        <f aca="false">INDEX('Site-uri'!$C$2:$C$20,MATCH(A176,'Site-uri'!$A$2:$A$20,0))</f>
        <v>/</v>
      </c>
      <c r="H176" s="10" t="str">
        <f aca="false">Config!$B$3</f>
        <v>2610_ff_lansare</v>
      </c>
      <c r="I176" s="10" t="str">
        <f aca="false">D176&amp;"_"&amp;Config!$B$4</f>
        <v>fierbinte_general</v>
      </c>
      <c r="J176" s="10" t="str">
        <f aca="false">"https://"&amp;B176&amp;G176&amp;"?utm_source="&amp;E176&amp;"&amp;utm_medium="&amp;F176&amp;"&amp;utm_campaign="&amp;H176&amp;"&amp;utm_content="&amp;I176</f>
        <v>https://aiventure.ro/?utm_source=youtube&amp;utm_medium=video&amp;utm_campaign=2610_ff_lansare&amp;utm_content=fierbinte_general</v>
      </c>
    </row>
    <row r="177" customFormat="false" ht="15" hidden="false" customHeight="false" outlineLevel="0" collapsed="false">
      <c r="A177" s="10" t="s">
        <v>50</v>
      </c>
      <c r="B177" s="10" t="str">
        <f aca="false">INDEX('Site-uri'!$B$2:$B$20,MATCH(A177,'Site-uri'!$A$2:$A$20,0))</f>
        <v>aiventure.ro</v>
      </c>
      <c r="C177" s="10" t="s">
        <v>155</v>
      </c>
      <c r="D177" s="10" t="s">
        <v>237</v>
      </c>
      <c r="E177" s="10" t="str">
        <f aca="false">INDEX(Canale!$C$2:$C$30,MATCH(C177,Canale!$A$2:$A$30,0))</f>
        <v>youtube</v>
      </c>
      <c r="F177" s="10" t="str">
        <f aca="false">INDEX(Canale!$D$2:$D$30,MATCH(C177,Canale!$A$2:$A$30,0))</f>
        <v>video</v>
      </c>
      <c r="G177" s="10" t="str">
        <f aca="false">INDEX('Site-uri'!$C$2:$C$20,MATCH(A177,'Site-uri'!$A$2:$A$20,0))</f>
        <v>/</v>
      </c>
      <c r="H177" s="10" t="str">
        <f aca="false">Config!$B$3</f>
        <v>2610_ff_lansare</v>
      </c>
      <c r="I177" s="10" t="str">
        <f aca="false">D177&amp;"_"&amp;Config!$B$4</f>
        <v>client_general</v>
      </c>
      <c r="J177" s="10" t="str">
        <f aca="false">"https://"&amp;B177&amp;G177&amp;"?utm_source="&amp;E177&amp;"&amp;utm_medium="&amp;F177&amp;"&amp;utm_campaign="&amp;H177&amp;"&amp;utm_content="&amp;I177</f>
        <v>https://aiventure.ro/?utm_source=youtube&amp;utm_medium=video&amp;utm_campaign=2610_ff_lansare&amp;utm_content=client_general</v>
      </c>
    </row>
    <row r="178" customFormat="false" ht="15" hidden="false" customHeight="false" outlineLevel="0" collapsed="false">
      <c r="A178" s="10" t="s">
        <v>50</v>
      </c>
      <c r="B178" s="10" t="str">
        <f aca="false">INDEX('Site-uri'!$B$2:$B$20,MATCH(A178,'Site-uri'!$A$2:$A$20,0))</f>
        <v>aiventure.ro</v>
      </c>
      <c r="C178" s="10" t="s">
        <v>160</v>
      </c>
      <c r="D178" s="10" t="s">
        <v>219</v>
      </c>
      <c r="E178" s="10" t="str">
        <f aca="false">INDEX(Canale!$C$2:$C$30,MATCH(C178,Canale!$A$2:$A$30,0))</f>
        <v>medium</v>
      </c>
      <c r="F178" s="10" t="str">
        <f aca="false">INDEX(Canale!$D$2:$D$30,MATCH(C178,Canale!$A$2:$A$30,0))</f>
        <v>content</v>
      </c>
      <c r="G178" s="10" t="str">
        <f aca="false">INDEX('Site-uri'!$C$2:$C$20,MATCH(A178,'Site-uri'!$A$2:$A$20,0))</f>
        <v>/</v>
      </c>
      <c r="H178" s="10" t="str">
        <f aca="false">Config!$B$3</f>
        <v>2610_ff_lansare</v>
      </c>
      <c r="I178" s="10" t="str">
        <f aca="false">D178&amp;"_"&amp;Config!$B$4</f>
        <v>rece_general</v>
      </c>
      <c r="J178" s="10" t="str">
        <f aca="false">"https://"&amp;B178&amp;G178&amp;"?utm_source="&amp;E178&amp;"&amp;utm_medium="&amp;F178&amp;"&amp;utm_campaign="&amp;H178&amp;"&amp;utm_content="&amp;I178</f>
        <v>https://aiventure.ro/?utm_source=medium&amp;utm_medium=content&amp;utm_campaign=2610_ff_lansare&amp;utm_content=rece_general</v>
      </c>
    </row>
    <row r="179" customFormat="false" ht="15" hidden="false" customHeight="false" outlineLevel="0" collapsed="false">
      <c r="A179" s="10" t="s">
        <v>50</v>
      </c>
      <c r="B179" s="10" t="str">
        <f aca="false">INDEX('Site-uri'!$B$2:$B$20,MATCH(A179,'Site-uri'!$A$2:$A$20,0))</f>
        <v>aiventure.ro</v>
      </c>
      <c r="C179" s="10" t="s">
        <v>160</v>
      </c>
      <c r="D179" s="10" t="s">
        <v>225</v>
      </c>
      <c r="E179" s="10" t="str">
        <f aca="false">INDEX(Canale!$C$2:$C$30,MATCH(C179,Canale!$A$2:$A$30,0))</f>
        <v>medium</v>
      </c>
      <c r="F179" s="10" t="str">
        <f aca="false">INDEX(Canale!$D$2:$D$30,MATCH(C179,Canale!$A$2:$A$30,0))</f>
        <v>content</v>
      </c>
      <c r="G179" s="10" t="str">
        <f aca="false">INDEX('Site-uri'!$C$2:$C$20,MATCH(A179,'Site-uri'!$A$2:$A$20,0))</f>
        <v>/</v>
      </c>
      <c r="H179" s="10" t="str">
        <f aca="false">Config!$B$3</f>
        <v>2610_ff_lansare</v>
      </c>
      <c r="I179" s="10" t="str">
        <f aca="false">D179&amp;"_"&amp;Config!$B$4</f>
        <v>cald_general</v>
      </c>
      <c r="J179" s="10" t="str">
        <f aca="false">"https://"&amp;B179&amp;G179&amp;"?utm_source="&amp;E179&amp;"&amp;utm_medium="&amp;F179&amp;"&amp;utm_campaign="&amp;H179&amp;"&amp;utm_content="&amp;I179</f>
        <v>https://aiventure.ro/?utm_source=medium&amp;utm_medium=content&amp;utm_campaign=2610_ff_lansare&amp;utm_content=cald_general</v>
      </c>
    </row>
    <row r="180" customFormat="false" ht="15" hidden="false" customHeight="false" outlineLevel="0" collapsed="false">
      <c r="A180" s="10" t="s">
        <v>50</v>
      </c>
      <c r="B180" s="10" t="str">
        <f aca="false">INDEX('Site-uri'!$B$2:$B$20,MATCH(A180,'Site-uri'!$A$2:$A$20,0))</f>
        <v>aiventure.ro</v>
      </c>
      <c r="C180" s="10" t="s">
        <v>160</v>
      </c>
      <c r="D180" s="10" t="s">
        <v>231</v>
      </c>
      <c r="E180" s="10" t="str">
        <f aca="false">INDEX(Canale!$C$2:$C$30,MATCH(C180,Canale!$A$2:$A$30,0))</f>
        <v>medium</v>
      </c>
      <c r="F180" s="10" t="str">
        <f aca="false">INDEX(Canale!$D$2:$D$30,MATCH(C180,Canale!$A$2:$A$30,0))</f>
        <v>content</v>
      </c>
      <c r="G180" s="10" t="str">
        <f aca="false">INDEX('Site-uri'!$C$2:$C$20,MATCH(A180,'Site-uri'!$A$2:$A$20,0))</f>
        <v>/</v>
      </c>
      <c r="H180" s="10" t="str">
        <f aca="false">Config!$B$3</f>
        <v>2610_ff_lansare</v>
      </c>
      <c r="I180" s="10" t="str">
        <f aca="false">D180&amp;"_"&amp;Config!$B$4</f>
        <v>fierbinte_general</v>
      </c>
      <c r="J180" s="10" t="str">
        <f aca="false">"https://"&amp;B180&amp;G180&amp;"?utm_source="&amp;E180&amp;"&amp;utm_medium="&amp;F180&amp;"&amp;utm_campaign="&amp;H180&amp;"&amp;utm_content="&amp;I180</f>
        <v>https://aiventure.ro/?utm_source=medium&amp;utm_medium=content&amp;utm_campaign=2610_ff_lansare&amp;utm_content=fierbinte_general</v>
      </c>
    </row>
    <row r="181" customFormat="false" ht="15" hidden="false" customHeight="false" outlineLevel="0" collapsed="false">
      <c r="A181" s="10" t="s">
        <v>50</v>
      </c>
      <c r="B181" s="10" t="str">
        <f aca="false">INDEX('Site-uri'!$B$2:$B$20,MATCH(A181,'Site-uri'!$A$2:$A$20,0))</f>
        <v>aiventure.ro</v>
      </c>
      <c r="C181" s="10" t="s">
        <v>160</v>
      </c>
      <c r="D181" s="10" t="s">
        <v>237</v>
      </c>
      <c r="E181" s="10" t="str">
        <f aca="false">INDEX(Canale!$C$2:$C$30,MATCH(C181,Canale!$A$2:$A$30,0))</f>
        <v>medium</v>
      </c>
      <c r="F181" s="10" t="str">
        <f aca="false">INDEX(Canale!$D$2:$D$30,MATCH(C181,Canale!$A$2:$A$30,0))</f>
        <v>content</v>
      </c>
      <c r="G181" s="10" t="str">
        <f aca="false">INDEX('Site-uri'!$C$2:$C$20,MATCH(A181,'Site-uri'!$A$2:$A$20,0))</f>
        <v>/</v>
      </c>
      <c r="H181" s="10" t="str">
        <f aca="false">Config!$B$3</f>
        <v>2610_ff_lansare</v>
      </c>
      <c r="I181" s="10" t="str">
        <f aca="false">D181&amp;"_"&amp;Config!$B$4</f>
        <v>client_general</v>
      </c>
      <c r="J181" s="10" t="str">
        <f aca="false">"https://"&amp;B181&amp;G181&amp;"?utm_source="&amp;E181&amp;"&amp;utm_medium="&amp;F181&amp;"&amp;utm_campaign="&amp;H181&amp;"&amp;utm_content="&amp;I181</f>
        <v>https://aiventure.ro/?utm_source=medium&amp;utm_medium=content&amp;utm_campaign=2610_ff_lansare&amp;utm_content=client_general</v>
      </c>
    </row>
    <row r="182" customFormat="false" ht="15" hidden="false" customHeight="false" outlineLevel="0" collapsed="false">
      <c r="A182" s="10" t="s">
        <v>50</v>
      </c>
      <c r="B182" s="10" t="str">
        <f aca="false">INDEX('Site-uri'!$B$2:$B$20,MATCH(A182,'Site-uri'!$A$2:$A$20,0))</f>
        <v>aiventure.ro</v>
      </c>
      <c r="C182" s="10" t="s">
        <v>165</v>
      </c>
      <c r="D182" s="10" t="s">
        <v>219</v>
      </c>
      <c r="E182" s="10" t="str">
        <f aca="false">INDEX(Canale!$C$2:$C$30,MATCH(C182,Canale!$A$2:$A$30,0))</f>
        <v>crunchbase</v>
      </c>
      <c r="F182" s="10" t="str">
        <f aca="false">INDEX(Canale!$D$2:$D$30,MATCH(C182,Canale!$A$2:$A$30,0))</f>
        <v>referral</v>
      </c>
      <c r="G182" s="10" t="str">
        <f aca="false">INDEX('Site-uri'!$C$2:$C$20,MATCH(A182,'Site-uri'!$A$2:$A$20,0))</f>
        <v>/</v>
      </c>
      <c r="H182" s="10" t="str">
        <f aca="false">Config!$B$3</f>
        <v>2610_ff_lansare</v>
      </c>
      <c r="I182" s="10" t="str">
        <f aca="false">D182&amp;"_"&amp;Config!$B$4</f>
        <v>rece_general</v>
      </c>
      <c r="J182" s="10" t="str">
        <f aca="false">"https://"&amp;B182&amp;G182&amp;"?utm_source="&amp;E182&amp;"&amp;utm_medium="&amp;F182&amp;"&amp;utm_campaign="&amp;H182&amp;"&amp;utm_content="&amp;I182</f>
        <v>https://aiventure.ro/?utm_source=crunchbase&amp;utm_medium=referral&amp;utm_campaign=2610_ff_lansare&amp;utm_content=rece_general</v>
      </c>
    </row>
    <row r="183" customFormat="false" ht="15" hidden="false" customHeight="false" outlineLevel="0" collapsed="false">
      <c r="A183" s="10" t="s">
        <v>50</v>
      </c>
      <c r="B183" s="10" t="str">
        <f aca="false">INDEX('Site-uri'!$B$2:$B$20,MATCH(A183,'Site-uri'!$A$2:$A$20,0))</f>
        <v>aiventure.ro</v>
      </c>
      <c r="C183" s="10" t="s">
        <v>165</v>
      </c>
      <c r="D183" s="10" t="s">
        <v>225</v>
      </c>
      <c r="E183" s="10" t="str">
        <f aca="false">INDEX(Canale!$C$2:$C$30,MATCH(C183,Canale!$A$2:$A$30,0))</f>
        <v>crunchbase</v>
      </c>
      <c r="F183" s="10" t="str">
        <f aca="false">INDEX(Canale!$D$2:$D$30,MATCH(C183,Canale!$A$2:$A$30,0))</f>
        <v>referral</v>
      </c>
      <c r="G183" s="10" t="str">
        <f aca="false">INDEX('Site-uri'!$C$2:$C$20,MATCH(A183,'Site-uri'!$A$2:$A$20,0))</f>
        <v>/</v>
      </c>
      <c r="H183" s="10" t="str">
        <f aca="false">Config!$B$3</f>
        <v>2610_ff_lansare</v>
      </c>
      <c r="I183" s="10" t="str">
        <f aca="false">D183&amp;"_"&amp;Config!$B$4</f>
        <v>cald_general</v>
      </c>
      <c r="J183" s="10" t="str">
        <f aca="false">"https://"&amp;B183&amp;G183&amp;"?utm_source="&amp;E183&amp;"&amp;utm_medium="&amp;F183&amp;"&amp;utm_campaign="&amp;H183&amp;"&amp;utm_content="&amp;I183</f>
        <v>https://aiventure.ro/?utm_source=crunchbase&amp;utm_medium=referral&amp;utm_campaign=2610_ff_lansare&amp;utm_content=cald_general</v>
      </c>
    </row>
    <row r="184" customFormat="false" ht="15" hidden="false" customHeight="false" outlineLevel="0" collapsed="false">
      <c r="A184" s="10" t="s">
        <v>50</v>
      </c>
      <c r="B184" s="10" t="str">
        <f aca="false">INDEX('Site-uri'!$B$2:$B$20,MATCH(A184,'Site-uri'!$A$2:$A$20,0))</f>
        <v>aiventure.ro</v>
      </c>
      <c r="C184" s="10" t="s">
        <v>165</v>
      </c>
      <c r="D184" s="10" t="s">
        <v>231</v>
      </c>
      <c r="E184" s="10" t="str">
        <f aca="false">INDEX(Canale!$C$2:$C$30,MATCH(C184,Canale!$A$2:$A$30,0))</f>
        <v>crunchbase</v>
      </c>
      <c r="F184" s="10" t="str">
        <f aca="false">INDEX(Canale!$D$2:$D$30,MATCH(C184,Canale!$A$2:$A$30,0))</f>
        <v>referral</v>
      </c>
      <c r="G184" s="10" t="str">
        <f aca="false">INDEX('Site-uri'!$C$2:$C$20,MATCH(A184,'Site-uri'!$A$2:$A$20,0))</f>
        <v>/</v>
      </c>
      <c r="H184" s="10" t="str">
        <f aca="false">Config!$B$3</f>
        <v>2610_ff_lansare</v>
      </c>
      <c r="I184" s="10" t="str">
        <f aca="false">D184&amp;"_"&amp;Config!$B$4</f>
        <v>fierbinte_general</v>
      </c>
      <c r="J184" s="10" t="str">
        <f aca="false">"https://"&amp;B184&amp;G184&amp;"?utm_source="&amp;E184&amp;"&amp;utm_medium="&amp;F184&amp;"&amp;utm_campaign="&amp;H184&amp;"&amp;utm_content="&amp;I184</f>
        <v>https://aiventure.ro/?utm_source=crunchbase&amp;utm_medium=referral&amp;utm_campaign=2610_ff_lansare&amp;utm_content=fierbinte_general</v>
      </c>
    </row>
    <row r="185" customFormat="false" ht="15" hidden="false" customHeight="false" outlineLevel="0" collapsed="false">
      <c r="A185" s="10" t="s">
        <v>50</v>
      </c>
      <c r="B185" s="10" t="str">
        <f aca="false">INDEX('Site-uri'!$B$2:$B$20,MATCH(A185,'Site-uri'!$A$2:$A$20,0))</f>
        <v>aiventure.ro</v>
      </c>
      <c r="C185" s="10" t="s">
        <v>165</v>
      </c>
      <c r="D185" s="10" t="s">
        <v>237</v>
      </c>
      <c r="E185" s="10" t="str">
        <f aca="false">INDEX(Canale!$C$2:$C$30,MATCH(C185,Canale!$A$2:$A$30,0))</f>
        <v>crunchbase</v>
      </c>
      <c r="F185" s="10" t="str">
        <f aca="false">INDEX(Canale!$D$2:$D$30,MATCH(C185,Canale!$A$2:$A$30,0))</f>
        <v>referral</v>
      </c>
      <c r="G185" s="10" t="str">
        <f aca="false">INDEX('Site-uri'!$C$2:$C$20,MATCH(A185,'Site-uri'!$A$2:$A$20,0))</f>
        <v>/</v>
      </c>
      <c r="H185" s="10" t="str">
        <f aca="false">Config!$B$3</f>
        <v>2610_ff_lansare</v>
      </c>
      <c r="I185" s="10" t="str">
        <f aca="false">D185&amp;"_"&amp;Config!$B$4</f>
        <v>client_general</v>
      </c>
      <c r="J185" s="10" t="str">
        <f aca="false">"https://"&amp;B185&amp;G185&amp;"?utm_source="&amp;E185&amp;"&amp;utm_medium="&amp;F185&amp;"&amp;utm_campaign="&amp;H185&amp;"&amp;utm_content="&amp;I185</f>
        <v>https://aiventure.ro/?utm_source=crunchbase&amp;utm_medium=referral&amp;utm_campaign=2610_ff_lansare&amp;utm_content=client_general</v>
      </c>
    </row>
    <row r="186" customFormat="false" ht="15" hidden="false" customHeight="false" outlineLevel="0" collapsed="false">
      <c r="A186" s="10" t="s">
        <v>50</v>
      </c>
      <c r="B186" s="10" t="str">
        <f aca="false">INDEX('Site-uri'!$B$2:$B$20,MATCH(A186,'Site-uri'!$A$2:$A$20,0))</f>
        <v>aiventure.ro</v>
      </c>
      <c r="C186" s="10" t="s">
        <v>170</v>
      </c>
      <c r="D186" s="10" t="s">
        <v>219</v>
      </c>
      <c r="E186" s="10" t="str">
        <f aca="false">INDEX(Canale!$C$2:$C$30,MATCH(C186,Canale!$A$2:$A$30,0))</f>
        <v>zenodo</v>
      </c>
      <c r="F186" s="10" t="str">
        <f aca="false">INDEX(Canale!$D$2:$D$30,MATCH(C186,Canale!$A$2:$A$30,0))</f>
        <v>referral</v>
      </c>
      <c r="G186" s="10" t="str">
        <f aca="false">INDEX('Site-uri'!$C$2:$C$20,MATCH(A186,'Site-uri'!$A$2:$A$20,0))</f>
        <v>/</v>
      </c>
      <c r="H186" s="10" t="str">
        <f aca="false">Config!$B$3</f>
        <v>2610_ff_lansare</v>
      </c>
      <c r="I186" s="10" t="str">
        <f aca="false">D186&amp;"_"&amp;Config!$B$4</f>
        <v>rece_general</v>
      </c>
      <c r="J186" s="10" t="str">
        <f aca="false">"https://"&amp;B186&amp;G186&amp;"?utm_source="&amp;E186&amp;"&amp;utm_medium="&amp;F186&amp;"&amp;utm_campaign="&amp;H186&amp;"&amp;utm_content="&amp;I186</f>
        <v>https://aiventure.ro/?utm_source=zenodo&amp;utm_medium=referral&amp;utm_campaign=2610_ff_lansare&amp;utm_content=rece_general</v>
      </c>
    </row>
    <row r="187" customFormat="false" ht="15" hidden="false" customHeight="false" outlineLevel="0" collapsed="false">
      <c r="A187" s="10" t="s">
        <v>50</v>
      </c>
      <c r="B187" s="10" t="str">
        <f aca="false">INDEX('Site-uri'!$B$2:$B$20,MATCH(A187,'Site-uri'!$A$2:$A$20,0))</f>
        <v>aiventure.ro</v>
      </c>
      <c r="C187" s="10" t="s">
        <v>170</v>
      </c>
      <c r="D187" s="10" t="s">
        <v>225</v>
      </c>
      <c r="E187" s="10" t="str">
        <f aca="false">INDEX(Canale!$C$2:$C$30,MATCH(C187,Canale!$A$2:$A$30,0))</f>
        <v>zenodo</v>
      </c>
      <c r="F187" s="10" t="str">
        <f aca="false">INDEX(Canale!$D$2:$D$30,MATCH(C187,Canale!$A$2:$A$30,0))</f>
        <v>referral</v>
      </c>
      <c r="G187" s="10" t="str">
        <f aca="false">INDEX('Site-uri'!$C$2:$C$20,MATCH(A187,'Site-uri'!$A$2:$A$20,0))</f>
        <v>/</v>
      </c>
      <c r="H187" s="10" t="str">
        <f aca="false">Config!$B$3</f>
        <v>2610_ff_lansare</v>
      </c>
      <c r="I187" s="10" t="str">
        <f aca="false">D187&amp;"_"&amp;Config!$B$4</f>
        <v>cald_general</v>
      </c>
      <c r="J187" s="10" t="str">
        <f aca="false">"https://"&amp;B187&amp;G187&amp;"?utm_source="&amp;E187&amp;"&amp;utm_medium="&amp;F187&amp;"&amp;utm_campaign="&amp;H187&amp;"&amp;utm_content="&amp;I187</f>
        <v>https://aiventure.ro/?utm_source=zenodo&amp;utm_medium=referral&amp;utm_campaign=2610_ff_lansare&amp;utm_content=cald_general</v>
      </c>
    </row>
    <row r="188" customFormat="false" ht="15" hidden="false" customHeight="false" outlineLevel="0" collapsed="false">
      <c r="A188" s="10" t="s">
        <v>50</v>
      </c>
      <c r="B188" s="10" t="str">
        <f aca="false">INDEX('Site-uri'!$B$2:$B$20,MATCH(A188,'Site-uri'!$A$2:$A$20,0))</f>
        <v>aiventure.ro</v>
      </c>
      <c r="C188" s="10" t="s">
        <v>170</v>
      </c>
      <c r="D188" s="10" t="s">
        <v>231</v>
      </c>
      <c r="E188" s="10" t="str">
        <f aca="false">INDEX(Canale!$C$2:$C$30,MATCH(C188,Canale!$A$2:$A$30,0))</f>
        <v>zenodo</v>
      </c>
      <c r="F188" s="10" t="str">
        <f aca="false">INDEX(Canale!$D$2:$D$30,MATCH(C188,Canale!$A$2:$A$30,0))</f>
        <v>referral</v>
      </c>
      <c r="G188" s="10" t="str">
        <f aca="false">INDEX('Site-uri'!$C$2:$C$20,MATCH(A188,'Site-uri'!$A$2:$A$20,0))</f>
        <v>/</v>
      </c>
      <c r="H188" s="10" t="str">
        <f aca="false">Config!$B$3</f>
        <v>2610_ff_lansare</v>
      </c>
      <c r="I188" s="10" t="str">
        <f aca="false">D188&amp;"_"&amp;Config!$B$4</f>
        <v>fierbinte_general</v>
      </c>
      <c r="J188" s="10" t="str">
        <f aca="false">"https://"&amp;B188&amp;G188&amp;"?utm_source="&amp;E188&amp;"&amp;utm_medium="&amp;F188&amp;"&amp;utm_campaign="&amp;H188&amp;"&amp;utm_content="&amp;I188</f>
        <v>https://aiventure.ro/?utm_source=zenodo&amp;utm_medium=referral&amp;utm_campaign=2610_ff_lansare&amp;utm_content=fierbinte_general</v>
      </c>
    </row>
    <row r="189" customFormat="false" ht="15" hidden="false" customHeight="false" outlineLevel="0" collapsed="false">
      <c r="A189" s="10" t="s">
        <v>50</v>
      </c>
      <c r="B189" s="10" t="str">
        <f aca="false">INDEX('Site-uri'!$B$2:$B$20,MATCH(A189,'Site-uri'!$A$2:$A$20,0))</f>
        <v>aiventure.ro</v>
      </c>
      <c r="C189" s="10" t="s">
        <v>170</v>
      </c>
      <c r="D189" s="10" t="s">
        <v>237</v>
      </c>
      <c r="E189" s="10" t="str">
        <f aca="false">INDEX(Canale!$C$2:$C$30,MATCH(C189,Canale!$A$2:$A$30,0))</f>
        <v>zenodo</v>
      </c>
      <c r="F189" s="10" t="str">
        <f aca="false">INDEX(Canale!$D$2:$D$30,MATCH(C189,Canale!$A$2:$A$30,0))</f>
        <v>referral</v>
      </c>
      <c r="G189" s="10" t="str">
        <f aca="false">INDEX('Site-uri'!$C$2:$C$20,MATCH(A189,'Site-uri'!$A$2:$A$20,0))</f>
        <v>/</v>
      </c>
      <c r="H189" s="10" t="str">
        <f aca="false">Config!$B$3</f>
        <v>2610_ff_lansare</v>
      </c>
      <c r="I189" s="10" t="str">
        <f aca="false">D189&amp;"_"&amp;Config!$B$4</f>
        <v>client_general</v>
      </c>
      <c r="J189" s="10" t="str">
        <f aca="false">"https://"&amp;B189&amp;G189&amp;"?utm_source="&amp;E189&amp;"&amp;utm_medium="&amp;F189&amp;"&amp;utm_campaign="&amp;H189&amp;"&amp;utm_content="&amp;I189</f>
        <v>https://aiventure.ro/?utm_source=zenodo&amp;utm_medium=referral&amp;utm_campaign=2610_ff_lansare&amp;utm_content=client_general</v>
      </c>
    </row>
    <row r="190" customFormat="false" ht="15" hidden="false" customHeight="false" outlineLevel="0" collapsed="false">
      <c r="A190" s="10" t="s">
        <v>50</v>
      </c>
      <c r="B190" s="10" t="str">
        <f aca="false">INDEX('Site-uri'!$B$2:$B$20,MATCH(A190,'Site-uri'!$A$2:$A$20,0))</f>
        <v>aiventure.ro</v>
      </c>
      <c r="C190" s="10" t="s">
        <v>173</v>
      </c>
      <c r="D190" s="10" t="s">
        <v>219</v>
      </c>
      <c r="E190" s="10" t="str">
        <f aca="false">INDEX(Canale!$C$2:$C$30,MATCH(C190,Canale!$A$2:$A$30,0))</f>
        <v>orcid</v>
      </c>
      <c r="F190" s="10" t="str">
        <f aca="false">INDEX(Canale!$D$2:$D$30,MATCH(C190,Canale!$A$2:$A$30,0))</f>
        <v>referral</v>
      </c>
      <c r="G190" s="10" t="str">
        <f aca="false">INDEX('Site-uri'!$C$2:$C$20,MATCH(A190,'Site-uri'!$A$2:$A$20,0))</f>
        <v>/</v>
      </c>
      <c r="H190" s="10" t="str">
        <f aca="false">Config!$B$3</f>
        <v>2610_ff_lansare</v>
      </c>
      <c r="I190" s="10" t="str">
        <f aca="false">D190&amp;"_"&amp;Config!$B$4</f>
        <v>rece_general</v>
      </c>
      <c r="J190" s="10" t="str">
        <f aca="false">"https://"&amp;B190&amp;G190&amp;"?utm_source="&amp;E190&amp;"&amp;utm_medium="&amp;F190&amp;"&amp;utm_campaign="&amp;H190&amp;"&amp;utm_content="&amp;I190</f>
        <v>https://aiventure.ro/?utm_source=orcid&amp;utm_medium=referral&amp;utm_campaign=2610_ff_lansare&amp;utm_content=rece_general</v>
      </c>
    </row>
    <row r="191" customFormat="false" ht="15" hidden="false" customHeight="false" outlineLevel="0" collapsed="false">
      <c r="A191" s="10" t="s">
        <v>50</v>
      </c>
      <c r="B191" s="10" t="str">
        <f aca="false">INDEX('Site-uri'!$B$2:$B$20,MATCH(A191,'Site-uri'!$A$2:$A$20,0))</f>
        <v>aiventure.ro</v>
      </c>
      <c r="C191" s="10" t="s">
        <v>173</v>
      </c>
      <c r="D191" s="10" t="s">
        <v>225</v>
      </c>
      <c r="E191" s="10" t="str">
        <f aca="false">INDEX(Canale!$C$2:$C$30,MATCH(C191,Canale!$A$2:$A$30,0))</f>
        <v>orcid</v>
      </c>
      <c r="F191" s="10" t="str">
        <f aca="false">INDEX(Canale!$D$2:$D$30,MATCH(C191,Canale!$A$2:$A$30,0))</f>
        <v>referral</v>
      </c>
      <c r="G191" s="10" t="str">
        <f aca="false">INDEX('Site-uri'!$C$2:$C$20,MATCH(A191,'Site-uri'!$A$2:$A$20,0))</f>
        <v>/</v>
      </c>
      <c r="H191" s="10" t="str">
        <f aca="false">Config!$B$3</f>
        <v>2610_ff_lansare</v>
      </c>
      <c r="I191" s="10" t="str">
        <f aca="false">D191&amp;"_"&amp;Config!$B$4</f>
        <v>cald_general</v>
      </c>
      <c r="J191" s="10" t="str">
        <f aca="false">"https://"&amp;B191&amp;G191&amp;"?utm_source="&amp;E191&amp;"&amp;utm_medium="&amp;F191&amp;"&amp;utm_campaign="&amp;H191&amp;"&amp;utm_content="&amp;I191</f>
        <v>https://aiventure.ro/?utm_source=orcid&amp;utm_medium=referral&amp;utm_campaign=2610_ff_lansare&amp;utm_content=cald_general</v>
      </c>
    </row>
    <row r="192" customFormat="false" ht="15" hidden="false" customHeight="false" outlineLevel="0" collapsed="false">
      <c r="A192" s="10" t="s">
        <v>50</v>
      </c>
      <c r="B192" s="10" t="str">
        <f aca="false">INDEX('Site-uri'!$B$2:$B$20,MATCH(A192,'Site-uri'!$A$2:$A$20,0))</f>
        <v>aiventure.ro</v>
      </c>
      <c r="C192" s="10" t="s">
        <v>173</v>
      </c>
      <c r="D192" s="10" t="s">
        <v>231</v>
      </c>
      <c r="E192" s="10" t="str">
        <f aca="false">INDEX(Canale!$C$2:$C$30,MATCH(C192,Canale!$A$2:$A$30,0))</f>
        <v>orcid</v>
      </c>
      <c r="F192" s="10" t="str">
        <f aca="false">INDEX(Canale!$D$2:$D$30,MATCH(C192,Canale!$A$2:$A$30,0))</f>
        <v>referral</v>
      </c>
      <c r="G192" s="10" t="str">
        <f aca="false">INDEX('Site-uri'!$C$2:$C$20,MATCH(A192,'Site-uri'!$A$2:$A$20,0))</f>
        <v>/</v>
      </c>
      <c r="H192" s="10" t="str">
        <f aca="false">Config!$B$3</f>
        <v>2610_ff_lansare</v>
      </c>
      <c r="I192" s="10" t="str">
        <f aca="false">D192&amp;"_"&amp;Config!$B$4</f>
        <v>fierbinte_general</v>
      </c>
      <c r="J192" s="10" t="str">
        <f aca="false">"https://"&amp;B192&amp;G192&amp;"?utm_source="&amp;E192&amp;"&amp;utm_medium="&amp;F192&amp;"&amp;utm_campaign="&amp;H192&amp;"&amp;utm_content="&amp;I192</f>
        <v>https://aiventure.ro/?utm_source=orcid&amp;utm_medium=referral&amp;utm_campaign=2610_ff_lansare&amp;utm_content=fierbinte_general</v>
      </c>
    </row>
    <row r="193" customFormat="false" ht="15" hidden="false" customHeight="false" outlineLevel="0" collapsed="false">
      <c r="A193" s="10" t="s">
        <v>50</v>
      </c>
      <c r="B193" s="10" t="str">
        <f aca="false">INDEX('Site-uri'!$B$2:$B$20,MATCH(A193,'Site-uri'!$A$2:$A$20,0))</f>
        <v>aiventure.ro</v>
      </c>
      <c r="C193" s="10" t="s">
        <v>173</v>
      </c>
      <c r="D193" s="10" t="s">
        <v>237</v>
      </c>
      <c r="E193" s="10" t="str">
        <f aca="false">INDEX(Canale!$C$2:$C$30,MATCH(C193,Canale!$A$2:$A$30,0))</f>
        <v>orcid</v>
      </c>
      <c r="F193" s="10" t="str">
        <f aca="false">INDEX(Canale!$D$2:$D$30,MATCH(C193,Canale!$A$2:$A$30,0))</f>
        <v>referral</v>
      </c>
      <c r="G193" s="10" t="str">
        <f aca="false">INDEX('Site-uri'!$C$2:$C$20,MATCH(A193,'Site-uri'!$A$2:$A$20,0))</f>
        <v>/</v>
      </c>
      <c r="H193" s="10" t="str">
        <f aca="false">Config!$B$3</f>
        <v>2610_ff_lansare</v>
      </c>
      <c r="I193" s="10" t="str">
        <f aca="false">D193&amp;"_"&amp;Config!$B$4</f>
        <v>client_general</v>
      </c>
      <c r="J193" s="10" t="str">
        <f aca="false">"https://"&amp;B193&amp;G193&amp;"?utm_source="&amp;E193&amp;"&amp;utm_medium="&amp;F193&amp;"&amp;utm_campaign="&amp;H193&amp;"&amp;utm_content="&amp;I193</f>
        <v>https://aiventure.ro/?utm_source=orcid&amp;utm_medium=referral&amp;utm_campaign=2610_ff_lansare&amp;utm_content=client_general</v>
      </c>
    </row>
    <row r="194" customFormat="false" ht="15" hidden="false" customHeight="false" outlineLevel="0" collapsed="false">
      <c r="A194" s="10" t="s">
        <v>50</v>
      </c>
      <c r="B194" s="10" t="str">
        <f aca="false">INDEX('Site-uri'!$B$2:$B$20,MATCH(A194,'Site-uri'!$A$2:$A$20,0))</f>
        <v>aiventure.ro</v>
      </c>
      <c r="C194" s="10" t="s">
        <v>176</v>
      </c>
      <c r="D194" s="10" t="s">
        <v>219</v>
      </c>
      <c r="E194" s="10" t="str">
        <f aca="false">INDEX(Canale!$C$2:$C$30,MATCH(C194,Canale!$A$2:$A$30,0))</f>
        <v>github</v>
      </c>
      <c r="F194" s="10" t="str">
        <f aca="false">INDEX(Canale!$D$2:$D$30,MATCH(C194,Canale!$A$2:$A$30,0))</f>
        <v>referral</v>
      </c>
      <c r="G194" s="10" t="str">
        <f aca="false">INDEX('Site-uri'!$C$2:$C$20,MATCH(A194,'Site-uri'!$A$2:$A$20,0))</f>
        <v>/</v>
      </c>
      <c r="H194" s="10" t="str">
        <f aca="false">Config!$B$3</f>
        <v>2610_ff_lansare</v>
      </c>
      <c r="I194" s="10" t="str">
        <f aca="false">D194&amp;"_"&amp;Config!$B$4</f>
        <v>rece_general</v>
      </c>
      <c r="J194" s="10" t="str">
        <f aca="false">"https://"&amp;B194&amp;G194&amp;"?utm_source="&amp;E194&amp;"&amp;utm_medium="&amp;F194&amp;"&amp;utm_campaign="&amp;H194&amp;"&amp;utm_content="&amp;I194</f>
        <v>https://aiventure.ro/?utm_source=github&amp;utm_medium=referral&amp;utm_campaign=2610_ff_lansare&amp;utm_content=rece_general</v>
      </c>
    </row>
    <row r="195" customFormat="false" ht="15" hidden="false" customHeight="false" outlineLevel="0" collapsed="false">
      <c r="A195" s="10" t="s">
        <v>50</v>
      </c>
      <c r="B195" s="10" t="str">
        <f aca="false">INDEX('Site-uri'!$B$2:$B$20,MATCH(A195,'Site-uri'!$A$2:$A$20,0))</f>
        <v>aiventure.ro</v>
      </c>
      <c r="C195" s="10" t="s">
        <v>176</v>
      </c>
      <c r="D195" s="10" t="s">
        <v>225</v>
      </c>
      <c r="E195" s="10" t="str">
        <f aca="false">INDEX(Canale!$C$2:$C$30,MATCH(C195,Canale!$A$2:$A$30,0))</f>
        <v>github</v>
      </c>
      <c r="F195" s="10" t="str">
        <f aca="false">INDEX(Canale!$D$2:$D$30,MATCH(C195,Canale!$A$2:$A$30,0))</f>
        <v>referral</v>
      </c>
      <c r="G195" s="10" t="str">
        <f aca="false">INDEX('Site-uri'!$C$2:$C$20,MATCH(A195,'Site-uri'!$A$2:$A$20,0))</f>
        <v>/</v>
      </c>
      <c r="H195" s="10" t="str">
        <f aca="false">Config!$B$3</f>
        <v>2610_ff_lansare</v>
      </c>
      <c r="I195" s="10" t="str">
        <f aca="false">D195&amp;"_"&amp;Config!$B$4</f>
        <v>cald_general</v>
      </c>
      <c r="J195" s="10" t="str">
        <f aca="false">"https://"&amp;B195&amp;G195&amp;"?utm_source="&amp;E195&amp;"&amp;utm_medium="&amp;F195&amp;"&amp;utm_campaign="&amp;H195&amp;"&amp;utm_content="&amp;I195</f>
        <v>https://aiventure.ro/?utm_source=github&amp;utm_medium=referral&amp;utm_campaign=2610_ff_lansare&amp;utm_content=cald_general</v>
      </c>
    </row>
    <row r="196" customFormat="false" ht="15" hidden="false" customHeight="false" outlineLevel="0" collapsed="false">
      <c r="A196" s="10" t="s">
        <v>50</v>
      </c>
      <c r="B196" s="10" t="str">
        <f aca="false">INDEX('Site-uri'!$B$2:$B$20,MATCH(A196,'Site-uri'!$A$2:$A$20,0))</f>
        <v>aiventure.ro</v>
      </c>
      <c r="C196" s="10" t="s">
        <v>176</v>
      </c>
      <c r="D196" s="10" t="s">
        <v>231</v>
      </c>
      <c r="E196" s="10" t="str">
        <f aca="false">INDEX(Canale!$C$2:$C$30,MATCH(C196,Canale!$A$2:$A$30,0))</f>
        <v>github</v>
      </c>
      <c r="F196" s="10" t="str">
        <f aca="false">INDEX(Canale!$D$2:$D$30,MATCH(C196,Canale!$A$2:$A$30,0))</f>
        <v>referral</v>
      </c>
      <c r="G196" s="10" t="str">
        <f aca="false">INDEX('Site-uri'!$C$2:$C$20,MATCH(A196,'Site-uri'!$A$2:$A$20,0))</f>
        <v>/</v>
      </c>
      <c r="H196" s="10" t="str">
        <f aca="false">Config!$B$3</f>
        <v>2610_ff_lansare</v>
      </c>
      <c r="I196" s="10" t="str">
        <f aca="false">D196&amp;"_"&amp;Config!$B$4</f>
        <v>fierbinte_general</v>
      </c>
      <c r="J196" s="10" t="str">
        <f aca="false">"https://"&amp;B196&amp;G196&amp;"?utm_source="&amp;E196&amp;"&amp;utm_medium="&amp;F196&amp;"&amp;utm_campaign="&amp;H196&amp;"&amp;utm_content="&amp;I196</f>
        <v>https://aiventure.ro/?utm_source=github&amp;utm_medium=referral&amp;utm_campaign=2610_ff_lansare&amp;utm_content=fierbinte_general</v>
      </c>
    </row>
    <row r="197" customFormat="false" ht="15" hidden="false" customHeight="false" outlineLevel="0" collapsed="false">
      <c r="A197" s="10" t="s">
        <v>50</v>
      </c>
      <c r="B197" s="10" t="str">
        <f aca="false">INDEX('Site-uri'!$B$2:$B$20,MATCH(A197,'Site-uri'!$A$2:$A$20,0))</f>
        <v>aiventure.ro</v>
      </c>
      <c r="C197" s="10" t="s">
        <v>176</v>
      </c>
      <c r="D197" s="10" t="s">
        <v>237</v>
      </c>
      <c r="E197" s="10" t="str">
        <f aca="false">INDEX(Canale!$C$2:$C$30,MATCH(C197,Canale!$A$2:$A$30,0))</f>
        <v>github</v>
      </c>
      <c r="F197" s="10" t="str">
        <f aca="false">INDEX(Canale!$D$2:$D$30,MATCH(C197,Canale!$A$2:$A$30,0))</f>
        <v>referral</v>
      </c>
      <c r="G197" s="10" t="str">
        <f aca="false">INDEX('Site-uri'!$C$2:$C$20,MATCH(A197,'Site-uri'!$A$2:$A$20,0))</f>
        <v>/</v>
      </c>
      <c r="H197" s="10" t="str">
        <f aca="false">Config!$B$3</f>
        <v>2610_ff_lansare</v>
      </c>
      <c r="I197" s="10" t="str">
        <f aca="false">D197&amp;"_"&amp;Config!$B$4</f>
        <v>client_general</v>
      </c>
      <c r="J197" s="10" t="str">
        <f aca="false">"https://"&amp;B197&amp;G197&amp;"?utm_source="&amp;E197&amp;"&amp;utm_medium="&amp;F197&amp;"&amp;utm_campaign="&amp;H197&amp;"&amp;utm_content="&amp;I197</f>
        <v>https://aiventure.ro/?utm_source=github&amp;utm_medium=referral&amp;utm_campaign=2610_ff_lansare&amp;utm_content=client_general</v>
      </c>
    </row>
    <row r="198" customFormat="false" ht="15" hidden="false" customHeight="false" outlineLevel="0" collapsed="false">
      <c r="A198" s="10" t="s">
        <v>50</v>
      </c>
      <c r="B198" s="10" t="str">
        <f aca="false">INDEX('Site-uri'!$B$2:$B$20,MATCH(A198,'Site-uri'!$A$2:$A$20,0))</f>
        <v>aiventure.ro</v>
      </c>
      <c r="C198" s="10" t="s">
        <v>179</v>
      </c>
      <c r="D198" s="10" t="s">
        <v>219</v>
      </c>
      <c r="E198" s="10" t="str">
        <f aca="false">INDEX(Canale!$C$2:$C$30,MATCH(C198,Canale!$A$2:$A$30,0))</f>
        <v>kdp_book</v>
      </c>
      <c r="F198" s="10" t="str">
        <f aca="false">INDEX(Canale!$D$2:$D$30,MATCH(C198,Canale!$A$2:$A$30,0))</f>
        <v>book</v>
      </c>
      <c r="G198" s="10" t="str">
        <f aca="false">INDEX('Site-uri'!$C$2:$C$20,MATCH(A198,'Site-uri'!$A$2:$A$20,0))</f>
        <v>/</v>
      </c>
      <c r="H198" s="10" t="str">
        <f aca="false">Config!$B$3</f>
        <v>2610_ff_lansare</v>
      </c>
      <c r="I198" s="10" t="str">
        <f aca="false">D198&amp;"_"&amp;Config!$B$4</f>
        <v>rece_general</v>
      </c>
      <c r="J198" s="10" t="str">
        <f aca="false">"https://"&amp;B198&amp;G198&amp;"?utm_source="&amp;E198&amp;"&amp;utm_medium="&amp;F198&amp;"&amp;utm_campaign="&amp;H198&amp;"&amp;utm_content="&amp;I198</f>
        <v>https://aiventure.ro/?utm_source=kdp_book&amp;utm_medium=book&amp;utm_campaign=2610_ff_lansare&amp;utm_content=rece_general</v>
      </c>
    </row>
    <row r="199" customFormat="false" ht="15" hidden="false" customHeight="false" outlineLevel="0" collapsed="false">
      <c r="A199" s="10" t="s">
        <v>50</v>
      </c>
      <c r="B199" s="10" t="str">
        <f aca="false">INDEX('Site-uri'!$B$2:$B$20,MATCH(A199,'Site-uri'!$A$2:$A$20,0))</f>
        <v>aiventure.ro</v>
      </c>
      <c r="C199" s="10" t="s">
        <v>179</v>
      </c>
      <c r="D199" s="10" t="s">
        <v>225</v>
      </c>
      <c r="E199" s="10" t="str">
        <f aca="false">INDEX(Canale!$C$2:$C$30,MATCH(C199,Canale!$A$2:$A$30,0))</f>
        <v>kdp_book</v>
      </c>
      <c r="F199" s="10" t="str">
        <f aca="false">INDEX(Canale!$D$2:$D$30,MATCH(C199,Canale!$A$2:$A$30,0))</f>
        <v>book</v>
      </c>
      <c r="G199" s="10" t="str">
        <f aca="false">INDEX('Site-uri'!$C$2:$C$20,MATCH(A199,'Site-uri'!$A$2:$A$20,0))</f>
        <v>/</v>
      </c>
      <c r="H199" s="10" t="str">
        <f aca="false">Config!$B$3</f>
        <v>2610_ff_lansare</v>
      </c>
      <c r="I199" s="10" t="str">
        <f aca="false">D199&amp;"_"&amp;Config!$B$4</f>
        <v>cald_general</v>
      </c>
      <c r="J199" s="10" t="str">
        <f aca="false">"https://"&amp;B199&amp;G199&amp;"?utm_source="&amp;E199&amp;"&amp;utm_medium="&amp;F199&amp;"&amp;utm_campaign="&amp;H199&amp;"&amp;utm_content="&amp;I199</f>
        <v>https://aiventure.ro/?utm_source=kdp_book&amp;utm_medium=book&amp;utm_campaign=2610_ff_lansare&amp;utm_content=cald_general</v>
      </c>
    </row>
    <row r="200" customFormat="false" ht="15" hidden="false" customHeight="false" outlineLevel="0" collapsed="false">
      <c r="A200" s="10" t="s">
        <v>50</v>
      </c>
      <c r="B200" s="10" t="str">
        <f aca="false">INDEX('Site-uri'!$B$2:$B$20,MATCH(A200,'Site-uri'!$A$2:$A$20,0))</f>
        <v>aiventure.ro</v>
      </c>
      <c r="C200" s="10" t="s">
        <v>179</v>
      </c>
      <c r="D200" s="10" t="s">
        <v>231</v>
      </c>
      <c r="E200" s="10" t="str">
        <f aca="false">INDEX(Canale!$C$2:$C$30,MATCH(C200,Canale!$A$2:$A$30,0))</f>
        <v>kdp_book</v>
      </c>
      <c r="F200" s="10" t="str">
        <f aca="false">INDEX(Canale!$D$2:$D$30,MATCH(C200,Canale!$A$2:$A$30,0))</f>
        <v>book</v>
      </c>
      <c r="G200" s="10" t="str">
        <f aca="false">INDEX('Site-uri'!$C$2:$C$20,MATCH(A200,'Site-uri'!$A$2:$A$20,0))</f>
        <v>/</v>
      </c>
      <c r="H200" s="10" t="str">
        <f aca="false">Config!$B$3</f>
        <v>2610_ff_lansare</v>
      </c>
      <c r="I200" s="10" t="str">
        <f aca="false">D200&amp;"_"&amp;Config!$B$4</f>
        <v>fierbinte_general</v>
      </c>
      <c r="J200" s="10" t="str">
        <f aca="false">"https://"&amp;B200&amp;G200&amp;"?utm_source="&amp;E200&amp;"&amp;utm_medium="&amp;F200&amp;"&amp;utm_campaign="&amp;H200&amp;"&amp;utm_content="&amp;I200</f>
        <v>https://aiventure.ro/?utm_source=kdp_book&amp;utm_medium=book&amp;utm_campaign=2610_ff_lansare&amp;utm_content=fierbinte_general</v>
      </c>
    </row>
    <row r="201" customFormat="false" ht="15" hidden="false" customHeight="false" outlineLevel="0" collapsed="false">
      <c r="A201" s="10" t="s">
        <v>50</v>
      </c>
      <c r="B201" s="10" t="str">
        <f aca="false">INDEX('Site-uri'!$B$2:$B$20,MATCH(A201,'Site-uri'!$A$2:$A$20,0))</f>
        <v>aiventure.ro</v>
      </c>
      <c r="C201" s="10" t="s">
        <v>179</v>
      </c>
      <c r="D201" s="10" t="s">
        <v>237</v>
      </c>
      <c r="E201" s="10" t="str">
        <f aca="false">INDEX(Canale!$C$2:$C$30,MATCH(C201,Canale!$A$2:$A$30,0))</f>
        <v>kdp_book</v>
      </c>
      <c r="F201" s="10" t="str">
        <f aca="false">INDEX(Canale!$D$2:$D$30,MATCH(C201,Canale!$A$2:$A$30,0))</f>
        <v>book</v>
      </c>
      <c r="G201" s="10" t="str">
        <f aca="false">INDEX('Site-uri'!$C$2:$C$20,MATCH(A201,'Site-uri'!$A$2:$A$20,0))</f>
        <v>/</v>
      </c>
      <c r="H201" s="10" t="str">
        <f aca="false">Config!$B$3</f>
        <v>2610_ff_lansare</v>
      </c>
      <c r="I201" s="10" t="str">
        <f aca="false">D201&amp;"_"&amp;Config!$B$4</f>
        <v>client_general</v>
      </c>
      <c r="J201" s="10" t="str">
        <f aca="false">"https://"&amp;B201&amp;G201&amp;"?utm_source="&amp;E201&amp;"&amp;utm_medium="&amp;F201&amp;"&amp;utm_campaign="&amp;H201&amp;"&amp;utm_content="&amp;I201</f>
        <v>https://aiventure.ro/?utm_source=kdp_book&amp;utm_medium=book&amp;utm_campaign=2610_ff_lansare&amp;utm_content=client_general</v>
      </c>
    </row>
    <row r="202" customFormat="false" ht="15" hidden="false" customHeight="false" outlineLevel="0" collapsed="false">
      <c r="A202" s="10" t="s">
        <v>50</v>
      </c>
      <c r="B202" s="10" t="str">
        <f aca="false">INDEX('Site-uri'!$B$2:$B$20,MATCH(A202,'Site-uri'!$A$2:$A$20,0))</f>
        <v>aiventure.ro</v>
      </c>
      <c r="C202" s="10" t="s">
        <v>184</v>
      </c>
      <c r="D202" s="10" t="s">
        <v>219</v>
      </c>
      <c r="E202" s="10" t="str">
        <f aca="false">INDEX(Canale!$C$2:$C$30,MATCH(C202,Canale!$A$2:$A$30,0))</f>
        <v>udemy</v>
      </c>
      <c r="F202" s="10" t="str">
        <f aca="false">INDEX(Canale!$D$2:$D$30,MATCH(C202,Canale!$A$2:$A$30,0))</f>
        <v>course</v>
      </c>
      <c r="G202" s="10" t="str">
        <f aca="false">INDEX('Site-uri'!$C$2:$C$20,MATCH(A202,'Site-uri'!$A$2:$A$20,0))</f>
        <v>/</v>
      </c>
      <c r="H202" s="10" t="str">
        <f aca="false">Config!$B$3</f>
        <v>2610_ff_lansare</v>
      </c>
      <c r="I202" s="10" t="str">
        <f aca="false">D202&amp;"_"&amp;Config!$B$4</f>
        <v>rece_general</v>
      </c>
      <c r="J202" s="10" t="str">
        <f aca="false">"https://"&amp;B202&amp;G202&amp;"?utm_source="&amp;E202&amp;"&amp;utm_medium="&amp;F202&amp;"&amp;utm_campaign="&amp;H202&amp;"&amp;utm_content="&amp;I202</f>
        <v>https://aiventure.ro/?utm_source=udemy&amp;utm_medium=course&amp;utm_campaign=2610_ff_lansare&amp;utm_content=rece_general</v>
      </c>
    </row>
    <row r="203" customFormat="false" ht="15" hidden="false" customHeight="false" outlineLevel="0" collapsed="false">
      <c r="A203" s="10" t="s">
        <v>50</v>
      </c>
      <c r="B203" s="10" t="str">
        <f aca="false">INDEX('Site-uri'!$B$2:$B$20,MATCH(A203,'Site-uri'!$A$2:$A$20,0))</f>
        <v>aiventure.ro</v>
      </c>
      <c r="C203" s="10" t="s">
        <v>184</v>
      </c>
      <c r="D203" s="10" t="s">
        <v>225</v>
      </c>
      <c r="E203" s="10" t="str">
        <f aca="false">INDEX(Canale!$C$2:$C$30,MATCH(C203,Canale!$A$2:$A$30,0))</f>
        <v>udemy</v>
      </c>
      <c r="F203" s="10" t="str">
        <f aca="false">INDEX(Canale!$D$2:$D$30,MATCH(C203,Canale!$A$2:$A$30,0))</f>
        <v>course</v>
      </c>
      <c r="G203" s="10" t="str">
        <f aca="false">INDEX('Site-uri'!$C$2:$C$20,MATCH(A203,'Site-uri'!$A$2:$A$20,0))</f>
        <v>/</v>
      </c>
      <c r="H203" s="10" t="str">
        <f aca="false">Config!$B$3</f>
        <v>2610_ff_lansare</v>
      </c>
      <c r="I203" s="10" t="str">
        <f aca="false">D203&amp;"_"&amp;Config!$B$4</f>
        <v>cald_general</v>
      </c>
      <c r="J203" s="10" t="str">
        <f aca="false">"https://"&amp;B203&amp;G203&amp;"?utm_source="&amp;E203&amp;"&amp;utm_medium="&amp;F203&amp;"&amp;utm_campaign="&amp;H203&amp;"&amp;utm_content="&amp;I203</f>
        <v>https://aiventure.ro/?utm_source=udemy&amp;utm_medium=course&amp;utm_campaign=2610_ff_lansare&amp;utm_content=cald_general</v>
      </c>
    </row>
    <row r="204" customFormat="false" ht="15" hidden="false" customHeight="false" outlineLevel="0" collapsed="false">
      <c r="A204" s="10" t="s">
        <v>50</v>
      </c>
      <c r="B204" s="10" t="str">
        <f aca="false">INDEX('Site-uri'!$B$2:$B$20,MATCH(A204,'Site-uri'!$A$2:$A$20,0))</f>
        <v>aiventure.ro</v>
      </c>
      <c r="C204" s="10" t="s">
        <v>184</v>
      </c>
      <c r="D204" s="10" t="s">
        <v>231</v>
      </c>
      <c r="E204" s="10" t="str">
        <f aca="false">INDEX(Canale!$C$2:$C$30,MATCH(C204,Canale!$A$2:$A$30,0))</f>
        <v>udemy</v>
      </c>
      <c r="F204" s="10" t="str">
        <f aca="false">INDEX(Canale!$D$2:$D$30,MATCH(C204,Canale!$A$2:$A$30,0))</f>
        <v>course</v>
      </c>
      <c r="G204" s="10" t="str">
        <f aca="false">INDEX('Site-uri'!$C$2:$C$20,MATCH(A204,'Site-uri'!$A$2:$A$20,0))</f>
        <v>/</v>
      </c>
      <c r="H204" s="10" t="str">
        <f aca="false">Config!$B$3</f>
        <v>2610_ff_lansare</v>
      </c>
      <c r="I204" s="10" t="str">
        <f aca="false">D204&amp;"_"&amp;Config!$B$4</f>
        <v>fierbinte_general</v>
      </c>
      <c r="J204" s="10" t="str">
        <f aca="false">"https://"&amp;B204&amp;G204&amp;"?utm_source="&amp;E204&amp;"&amp;utm_medium="&amp;F204&amp;"&amp;utm_campaign="&amp;H204&amp;"&amp;utm_content="&amp;I204</f>
        <v>https://aiventure.ro/?utm_source=udemy&amp;utm_medium=course&amp;utm_campaign=2610_ff_lansare&amp;utm_content=fierbinte_general</v>
      </c>
    </row>
    <row r="205" customFormat="false" ht="15" hidden="false" customHeight="false" outlineLevel="0" collapsed="false">
      <c r="A205" s="10" t="s">
        <v>50</v>
      </c>
      <c r="B205" s="10" t="str">
        <f aca="false">INDEX('Site-uri'!$B$2:$B$20,MATCH(A205,'Site-uri'!$A$2:$A$20,0))</f>
        <v>aiventure.ro</v>
      </c>
      <c r="C205" s="10" t="s">
        <v>184</v>
      </c>
      <c r="D205" s="10" t="s">
        <v>237</v>
      </c>
      <c r="E205" s="10" t="str">
        <f aca="false">INDEX(Canale!$C$2:$C$30,MATCH(C205,Canale!$A$2:$A$30,0))</f>
        <v>udemy</v>
      </c>
      <c r="F205" s="10" t="str">
        <f aca="false">INDEX(Canale!$D$2:$D$30,MATCH(C205,Canale!$A$2:$A$30,0))</f>
        <v>course</v>
      </c>
      <c r="G205" s="10" t="str">
        <f aca="false">INDEX('Site-uri'!$C$2:$C$20,MATCH(A205,'Site-uri'!$A$2:$A$20,0))</f>
        <v>/</v>
      </c>
      <c r="H205" s="10" t="str">
        <f aca="false">Config!$B$3</f>
        <v>2610_ff_lansare</v>
      </c>
      <c r="I205" s="10" t="str">
        <f aca="false">D205&amp;"_"&amp;Config!$B$4</f>
        <v>client_general</v>
      </c>
      <c r="J205" s="10" t="str">
        <f aca="false">"https://"&amp;B205&amp;G205&amp;"?utm_source="&amp;E205&amp;"&amp;utm_medium="&amp;F205&amp;"&amp;utm_campaign="&amp;H205&amp;"&amp;utm_content="&amp;I205</f>
        <v>https://aiventure.ro/?utm_source=udemy&amp;utm_medium=course&amp;utm_campaign=2610_ff_lansare&amp;utm_content=client_general</v>
      </c>
    </row>
    <row r="206" customFormat="false" ht="15" hidden="false" customHeight="false" outlineLevel="0" collapsed="false">
      <c r="A206" s="10" t="s">
        <v>50</v>
      </c>
      <c r="B206" s="10" t="str">
        <f aca="false">INDEX('Site-uri'!$B$2:$B$20,MATCH(A206,'Site-uri'!$A$2:$A$20,0))</f>
        <v>aiventure.ro</v>
      </c>
      <c r="C206" s="10" t="s">
        <v>187</v>
      </c>
      <c r="D206" s="10" t="s">
        <v>219</v>
      </c>
      <c r="E206" s="10" t="str">
        <f aca="false">INDEX(Canale!$C$2:$C$30,MATCH(C206,Canale!$A$2:$A$30,0))</f>
        <v>directory</v>
      </c>
      <c r="F206" s="10" t="str">
        <f aca="false">INDEX(Canale!$D$2:$D$30,MATCH(C206,Canale!$A$2:$A$30,0))</f>
        <v>referral</v>
      </c>
      <c r="G206" s="10" t="str">
        <f aca="false">INDEX('Site-uri'!$C$2:$C$20,MATCH(A206,'Site-uri'!$A$2:$A$20,0))</f>
        <v>/</v>
      </c>
      <c r="H206" s="10" t="str">
        <f aca="false">Config!$B$3</f>
        <v>2610_ff_lansare</v>
      </c>
      <c r="I206" s="10" t="str">
        <f aca="false">D206&amp;"_"&amp;Config!$B$4</f>
        <v>rece_general</v>
      </c>
      <c r="J206" s="10" t="str">
        <f aca="false">"https://"&amp;B206&amp;G206&amp;"?utm_source="&amp;E206&amp;"&amp;utm_medium="&amp;F206&amp;"&amp;utm_campaign="&amp;H206&amp;"&amp;utm_content="&amp;I206</f>
        <v>https://aiventure.ro/?utm_source=directory&amp;utm_medium=referral&amp;utm_campaign=2610_ff_lansare&amp;utm_content=rece_general</v>
      </c>
    </row>
    <row r="207" customFormat="false" ht="15" hidden="false" customHeight="false" outlineLevel="0" collapsed="false">
      <c r="A207" s="10" t="s">
        <v>50</v>
      </c>
      <c r="B207" s="10" t="str">
        <f aca="false">INDEX('Site-uri'!$B$2:$B$20,MATCH(A207,'Site-uri'!$A$2:$A$20,0))</f>
        <v>aiventure.ro</v>
      </c>
      <c r="C207" s="10" t="s">
        <v>187</v>
      </c>
      <c r="D207" s="10" t="s">
        <v>225</v>
      </c>
      <c r="E207" s="10" t="str">
        <f aca="false">INDEX(Canale!$C$2:$C$30,MATCH(C207,Canale!$A$2:$A$30,0))</f>
        <v>directory</v>
      </c>
      <c r="F207" s="10" t="str">
        <f aca="false">INDEX(Canale!$D$2:$D$30,MATCH(C207,Canale!$A$2:$A$30,0))</f>
        <v>referral</v>
      </c>
      <c r="G207" s="10" t="str">
        <f aca="false">INDEX('Site-uri'!$C$2:$C$20,MATCH(A207,'Site-uri'!$A$2:$A$20,0))</f>
        <v>/</v>
      </c>
      <c r="H207" s="10" t="str">
        <f aca="false">Config!$B$3</f>
        <v>2610_ff_lansare</v>
      </c>
      <c r="I207" s="10" t="str">
        <f aca="false">D207&amp;"_"&amp;Config!$B$4</f>
        <v>cald_general</v>
      </c>
      <c r="J207" s="10" t="str">
        <f aca="false">"https://"&amp;B207&amp;G207&amp;"?utm_source="&amp;E207&amp;"&amp;utm_medium="&amp;F207&amp;"&amp;utm_campaign="&amp;H207&amp;"&amp;utm_content="&amp;I207</f>
        <v>https://aiventure.ro/?utm_source=directory&amp;utm_medium=referral&amp;utm_campaign=2610_ff_lansare&amp;utm_content=cald_general</v>
      </c>
    </row>
    <row r="208" customFormat="false" ht="15" hidden="false" customHeight="false" outlineLevel="0" collapsed="false">
      <c r="A208" s="10" t="s">
        <v>50</v>
      </c>
      <c r="B208" s="10" t="str">
        <f aca="false">INDEX('Site-uri'!$B$2:$B$20,MATCH(A208,'Site-uri'!$A$2:$A$20,0))</f>
        <v>aiventure.ro</v>
      </c>
      <c r="C208" s="10" t="s">
        <v>187</v>
      </c>
      <c r="D208" s="10" t="s">
        <v>231</v>
      </c>
      <c r="E208" s="10" t="str">
        <f aca="false">INDEX(Canale!$C$2:$C$30,MATCH(C208,Canale!$A$2:$A$30,0))</f>
        <v>directory</v>
      </c>
      <c r="F208" s="10" t="str">
        <f aca="false">INDEX(Canale!$D$2:$D$30,MATCH(C208,Canale!$A$2:$A$30,0))</f>
        <v>referral</v>
      </c>
      <c r="G208" s="10" t="str">
        <f aca="false">INDEX('Site-uri'!$C$2:$C$20,MATCH(A208,'Site-uri'!$A$2:$A$20,0))</f>
        <v>/</v>
      </c>
      <c r="H208" s="10" t="str">
        <f aca="false">Config!$B$3</f>
        <v>2610_ff_lansare</v>
      </c>
      <c r="I208" s="10" t="str">
        <f aca="false">D208&amp;"_"&amp;Config!$B$4</f>
        <v>fierbinte_general</v>
      </c>
      <c r="J208" s="10" t="str">
        <f aca="false">"https://"&amp;B208&amp;G208&amp;"?utm_source="&amp;E208&amp;"&amp;utm_medium="&amp;F208&amp;"&amp;utm_campaign="&amp;H208&amp;"&amp;utm_content="&amp;I208</f>
        <v>https://aiventure.ro/?utm_source=directory&amp;utm_medium=referral&amp;utm_campaign=2610_ff_lansare&amp;utm_content=fierbinte_general</v>
      </c>
    </row>
    <row r="209" customFormat="false" ht="15" hidden="false" customHeight="false" outlineLevel="0" collapsed="false">
      <c r="A209" s="10" t="s">
        <v>50</v>
      </c>
      <c r="B209" s="10" t="str">
        <f aca="false">INDEX('Site-uri'!$B$2:$B$20,MATCH(A209,'Site-uri'!$A$2:$A$20,0))</f>
        <v>aiventure.ro</v>
      </c>
      <c r="C209" s="10" t="s">
        <v>187</v>
      </c>
      <c r="D209" s="10" t="s">
        <v>237</v>
      </c>
      <c r="E209" s="10" t="str">
        <f aca="false">INDEX(Canale!$C$2:$C$30,MATCH(C209,Canale!$A$2:$A$30,0))</f>
        <v>directory</v>
      </c>
      <c r="F209" s="10" t="str">
        <f aca="false">INDEX(Canale!$D$2:$D$30,MATCH(C209,Canale!$A$2:$A$30,0))</f>
        <v>referral</v>
      </c>
      <c r="G209" s="10" t="str">
        <f aca="false">INDEX('Site-uri'!$C$2:$C$20,MATCH(A209,'Site-uri'!$A$2:$A$20,0))</f>
        <v>/</v>
      </c>
      <c r="H209" s="10" t="str">
        <f aca="false">Config!$B$3</f>
        <v>2610_ff_lansare</v>
      </c>
      <c r="I209" s="10" t="str">
        <f aca="false">D209&amp;"_"&amp;Config!$B$4</f>
        <v>client_general</v>
      </c>
      <c r="J209" s="10" t="str">
        <f aca="false">"https://"&amp;B209&amp;G209&amp;"?utm_source="&amp;E209&amp;"&amp;utm_medium="&amp;F209&amp;"&amp;utm_campaign="&amp;H209&amp;"&amp;utm_content="&amp;I209</f>
        <v>https://aiventure.ro/?utm_source=directory&amp;utm_medium=referral&amp;utm_campaign=2610_ff_lansare&amp;utm_content=client_general</v>
      </c>
    </row>
    <row r="210" customFormat="false" ht="15" hidden="false" customHeight="false" outlineLevel="0" collapsed="false">
      <c r="A210" s="10" t="s">
        <v>50</v>
      </c>
      <c r="B210" s="10" t="str">
        <f aca="false">INDEX('Site-uri'!$B$2:$B$20,MATCH(A210,'Site-uri'!$A$2:$A$20,0))</f>
        <v>aiventure.ro</v>
      </c>
      <c r="C210" s="10" t="s">
        <v>191</v>
      </c>
      <c r="D210" s="10" t="s">
        <v>219</v>
      </c>
      <c r="E210" s="10" t="str">
        <f aca="false">INDEX(Canale!$C$2:$C$30,MATCH(C210,Canale!$A$2:$A$30,0))</f>
        <v>partner</v>
      </c>
      <c r="F210" s="10" t="str">
        <f aca="false">INDEX(Canale!$D$2:$D$30,MATCH(C210,Canale!$A$2:$A$30,0))</f>
        <v>partner</v>
      </c>
      <c r="G210" s="10" t="str">
        <f aca="false">INDEX('Site-uri'!$C$2:$C$20,MATCH(A210,'Site-uri'!$A$2:$A$20,0))</f>
        <v>/</v>
      </c>
      <c r="H210" s="10" t="str">
        <f aca="false">Config!$B$3</f>
        <v>2610_ff_lansare</v>
      </c>
      <c r="I210" s="10" t="str">
        <f aca="false">D210&amp;"_"&amp;Config!$B$4</f>
        <v>rece_general</v>
      </c>
      <c r="J210" s="10" t="str">
        <f aca="false">"https://"&amp;B210&amp;G210&amp;"?utm_source="&amp;E210&amp;"&amp;utm_medium="&amp;F210&amp;"&amp;utm_campaign="&amp;H210&amp;"&amp;utm_content="&amp;I210</f>
        <v>https://aiventure.ro/?utm_source=partner&amp;utm_medium=partner&amp;utm_campaign=2610_ff_lansare&amp;utm_content=rece_general</v>
      </c>
    </row>
    <row r="211" customFormat="false" ht="15" hidden="false" customHeight="false" outlineLevel="0" collapsed="false">
      <c r="A211" s="10" t="s">
        <v>50</v>
      </c>
      <c r="B211" s="10" t="str">
        <f aca="false">INDEX('Site-uri'!$B$2:$B$20,MATCH(A211,'Site-uri'!$A$2:$A$20,0))</f>
        <v>aiventure.ro</v>
      </c>
      <c r="C211" s="10" t="s">
        <v>191</v>
      </c>
      <c r="D211" s="10" t="s">
        <v>225</v>
      </c>
      <c r="E211" s="10" t="str">
        <f aca="false">INDEX(Canale!$C$2:$C$30,MATCH(C211,Canale!$A$2:$A$30,0))</f>
        <v>partner</v>
      </c>
      <c r="F211" s="10" t="str">
        <f aca="false">INDEX(Canale!$D$2:$D$30,MATCH(C211,Canale!$A$2:$A$30,0))</f>
        <v>partner</v>
      </c>
      <c r="G211" s="10" t="str">
        <f aca="false">INDEX('Site-uri'!$C$2:$C$20,MATCH(A211,'Site-uri'!$A$2:$A$20,0))</f>
        <v>/</v>
      </c>
      <c r="H211" s="10" t="str">
        <f aca="false">Config!$B$3</f>
        <v>2610_ff_lansare</v>
      </c>
      <c r="I211" s="10" t="str">
        <f aca="false">D211&amp;"_"&amp;Config!$B$4</f>
        <v>cald_general</v>
      </c>
      <c r="J211" s="10" t="str">
        <f aca="false">"https://"&amp;B211&amp;G211&amp;"?utm_source="&amp;E211&amp;"&amp;utm_medium="&amp;F211&amp;"&amp;utm_campaign="&amp;H211&amp;"&amp;utm_content="&amp;I211</f>
        <v>https://aiventure.ro/?utm_source=partner&amp;utm_medium=partner&amp;utm_campaign=2610_ff_lansare&amp;utm_content=cald_general</v>
      </c>
    </row>
    <row r="212" customFormat="false" ht="15" hidden="false" customHeight="false" outlineLevel="0" collapsed="false">
      <c r="A212" s="10" t="s">
        <v>50</v>
      </c>
      <c r="B212" s="10" t="str">
        <f aca="false">INDEX('Site-uri'!$B$2:$B$20,MATCH(A212,'Site-uri'!$A$2:$A$20,0))</f>
        <v>aiventure.ro</v>
      </c>
      <c r="C212" s="10" t="s">
        <v>191</v>
      </c>
      <c r="D212" s="10" t="s">
        <v>231</v>
      </c>
      <c r="E212" s="10" t="str">
        <f aca="false">INDEX(Canale!$C$2:$C$30,MATCH(C212,Canale!$A$2:$A$30,0))</f>
        <v>partner</v>
      </c>
      <c r="F212" s="10" t="str">
        <f aca="false">INDEX(Canale!$D$2:$D$30,MATCH(C212,Canale!$A$2:$A$30,0))</f>
        <v>partner</v>
      </c>
      <c r="G212" s="10" t="str">
        <f aca="false">INDEX('Site-uri'!$C$2:$C$20,MATCH(A212,'Site-uri'!$A$2:$A$20,0))</f>
        <v>/</v>
      </c>
      <c r="H212" s="10" t="str">
        <f aca="false">Config!$B$3</f>
        <v>2610_ff_lansare</v>
      </c>
      <c r="I212" s="10" t="str">
        <f aca="false">D212&amp;"_"&amp;Config!$B$4</f>
        <v>fierbinte_general</v>
      </c>
      <c r="J212" s="10" t="str">
        <f aca="false">"https://"&amp;B212&amp;G212&amp;"?utm_source="&amp;E212&amp;"&amp;utm_medium="&amp;F212&amp;"&amp;utm_campaign="&amp;H212&amp;"&amp;utm_content="&amp;I212</f>
        <v>https://aiventure.ro/?utm_source=partner&amp;utm_medium=partner&amp;utm_campaign=2610_ff_lansare&amp;utm_content=fierbinte_general</v>
      </c>
    </row>
    <row r="213" customFormat="false" ht="15" hidden="false" customHeight="false" outlineLevel="0" collapsed="false">
      <c r="A213" s="10" t="s">
        <v>50</v>
      </c>
      <c r="B213" s="10" t="str">
        <f aca="false">INDEX('Site-uri'!$B$2:$B$20,MATCH(A213,'Site-uri'!$A$2:$A$20,0))</f>
        <v>aiventure.ro</v>
      </c>
      <c r="C213" s="10" t="s">
        <v>191</v>
      </c>
      <c r="D213" s="10" t="s">
        <v>237</v>
      </c>
      <c r="E213" s="10" t="str">
        <f aca="false">INDEX(Canale!$C$2:$C$30,MATCH(C213,Canale!$A$2:$A$30,0))</f>
        <v>partner</v>
      </c>
      <c r="F213" s="10" t="str">
        <f aca="false">INDEX(Canale!$D$2:$D$30,MATCH(C213,Canale!$A$2:$A$30,0))</f>
        <v>partner</v>
      </c>
      <c r="G213" s="10" t="str">
        <f aca="false">INDEX('Site-uri'!$C$2:$C$20,MATCH(A213,'Site-uri'!$A$2:$A$20,0))</f>
        <v>/</v>
      </c>
      <c r="H213" s="10" t="str">
        <f aca="false">Config!$B$3</f>
        <v>2610_ff_lansare</v>
      </c>
      <c r="I213" s="10" t="str">
        <f aca="false">D213&amp;"_"&amp;Config!$B$4</f>
        <v>client_general</v>
      </c>
      <c r="J213" s="10" t="str">
        <f aca="false">"https://"&amp;B213&amp;G213&amp;"?utm_source="&amp;E213&amp;"&amp;utm_medium="&amp;F213&amp;"&amp;utm_campaign="&amp;H213&amp;"&amp;utm_content="&amp;I213</f>
        <v>https://aiventure.ro/?utm_source=partner&amp;utm_medium=partner&amp;utm_campaign=2610_ff_lansare&amp;utm_content=client_general</v>
      </c>
    </row>
    <row r="214" customFormat="false" ht="15" hidden="false" customHeight="false" outlineLevel="0" collapsed="false">
      <c r="A214" s="10" t="s">
        <v>50</v>
      </c>
      <c r="B214" s="10" t="str">
        <f aca="false">INDEX('Site-uri'!$B$2:$B$20,MATCH(A214,'Site-uri'!$A$2:$A$20,0))</f>
        <v>aiventure.ro</v>
      </c>
      <c r="C214" s="10" t="s">
        <v>193</v>
      </c>
      <c r="D214" s="10" t="s">
        <v>219</v>
      </c>
      <c r="E214" s="10" t="str">
        <f aca="false">INDEX(Canale!$C$2:$C$30,MATCH(C214,Canale!$A$2:$A$30,0))</f>
        <v>pdf_proposal</v>
      </c>
      <c r="F214" s="10" t="str">
        <f aca="false">INDEX(Canale!$D$2:$D$30,MATCH(C214,Canale!$A$2:$A$30,0))</f>
        <v>document</v>
      </c>
      <c r="G214" s="10" t="str">
        <f aca="false">INDEX('Site-uri'!$C$2:$C$20,MATCH(A214,'Site-uri'!$A$2:$A$20,0))</f>
        <v>/</v>
      </c>
      <c r="H214" s="10" t="str">
        <f aca="false">Config!$B$3</f>
        <v>2610_ff_lansare</v>
      </c>
      <c r="I214" s="10" t="str">
        <f aca="false">D214&amp;"_"&amp;Config!$B$4</f>
        <v>rece_general</v>
      </c>
      <c r="J214" s="10" t="str">
        <f aca="false">"https://"&amp;B214&amp;G214&amp;"?utm_source="&amp;E214&amp;"&amp;utm_medium="&amp;F214&amp;"&amp;utm_campaign="&amp;H214&amp;"&amp;utm_content="&amp;I214</f>
        <v>https://aiventure.ro/?utm_source=pdf_proposal&amp;utm_medium=document&amp;utm_campaign=2610_ff_lansare&amp;utm_content=rece_general</v>
      </c>
    </row>
    <row r="215" customFormat="false" ht="15" hidden="false" customHeight="false" outlineLevel="0" collapsed="false">
      <c r="A215" s="10" t="s">
        <v>50</v>
      </c>
      <c r="B215" s="10" t="str">
        <f aca="false">INDEX('Site-uri'!$B$2:$B$20,MATCH(A215,'Site-uri'!$A$2:$A$20,0))</f>
        <v>aiventure.ro</v>
      </c>
      <c r="C215" s="10" t="s">
        <v>193</v>
      </c>
      <c r="D215" s="10" t="s">
        <v>225</v>
      </c>
      <c r="E215" s="10" t="str">
        <f aca="false">INDEX(Canale!$C$2:$C$30,MATCH(C215,Canale!$A$2:$A$30,0))</f>
        <v>pdf_proposal</v>
      </c>
      <c r="F215" s="10" t="str">
        <f aca="false">INDEX(Canale!$D$2:$D$30,MATCH(C215,Canale!$A$2:$A$30,0))</f>
        <v>document</v>
      </c>
      <c r="G215" s="10" t="str">
        <f aca="false">INDEX('Site-uri'!$C$2:$C$20,MATCH(A215,'Site-uri'!$A$2:$A$20,0))</f>
        <v>/</v>
      </c>
      <c r="H215" s="10" t="str">
        <f aca="false">Config!$B$3</f>
        <v>2610_ff_lansare</v>
      </c>
      <c r="I215" s="10" t="str">
        <f aca="false">D215&amp;"_"&amp;Config!$B$4</f>
        <v>cald_general</v>
      </c>
      <c r="J215" s="10" t="str">
        <f aca="false">"https://"&amp;B215&amp;G215&amp;"?utm_source="&amp;E215&amp;"&amp;utm_medium="&amp;F215&amp;"&amp;utm_campaign="&amp;H215&amp;"&amp;utm_content="&amp;I215</f>
        <v>https://aiventure.ro/?utm_source=pdf_proposal&amp;utm_medium=document&amp;utm_campaign=2610_ff_lansare&amp;utm_content=cald_general</v>
      </c>
    </row>
    <row r="216" customFormat="false" ht="15" hidden="false" customHeight="false" outlineLevel="0" collapsed="false">
      <c r="A216" s="10" t="s">
        <v>50</v>
      </c>
      <c r="B216" s="10" t="str">
        <f aca="false">INDEX('Site-uri'!$B$2:$B$20,MATCH(A216,'Site-uri'!$A$2:$A$20,0))</f>
        <v>aiventure.ro</v>
      </c>
      <c r="C216" s="10" t="s">
        <v>193</v>
      </c>
      <c r="D216" s="10" t="s">
        <v>231</v>
      </c>
      <c r="E216" s="10" t="str">
        <f aca="false">INDEX(Canale!$C$2:$C$30,MATCH(C216,Canale!$A$2:$A$30,0))</f>
        <v>pdf_proposal</v>
      </c>
      <c r="F216" s="10" t="str">
        <f aca="false">INDEX(Canale!$D$2:$D$30,MATCH(C216,Canale!$A$2:$A$30,0))</f>
        <v>document</v>
      </c>
      <c r="G216" s="10" t="str">
        <f aca="false">INDEX('Site-uri'!$C$2:$C$20,MATCH(A216,'Site-uri'!$A$2:$A$20,0))</f>
        <v>/</v>
      </c>
      <c r="H216" s="10" t="str">
        <f aca="false">Config!$B$3</f>
        <v>2610_ff_lansare</v>
      </c>
      <c r="I216" s="10" t="str">
        <f aca="false">D216&amp;"_"&amp;Config!$B$4</f>
        <v>fierbinte_general</v>
      </c>
      <c r="J216" s="10" t="str">
        <f aca="false">"https://"&amp;B216&amp;G216&amp;"?utm_source="&amp;E216&amp;"&amp;utm_medium="&amp;F216&amp;"&amp;utm_campaign="&amp;H216&amp;"&amp;utm_content="&amp;I216</f>
        <v>https://aiventure.ro/?utm_source=pdf_proposal&amp;utm_medium=document&amp;utm_campaign=2610_ff_lansare&amp;utm_content=fierbinte_general</v>
      </c>
    </row>
    <row r="217" customFormat="false" ht="15" hidden="false" customHeight="false" outlineLevel="0" collapsed="false">
      <c r="A217" s="10" t="s">
        <v>50</v>
      </c>
      <c r="B217" s="10" t="str">
        <f aca="false">INDEX('Site-uri'!$B$2:$B$20,MATCH(A217,'Site-uri'!$A$2:$A$20,0))</f>
        <v>aiventure.ro</v>
      </c>
      <c r="C217" s="10" t="s">
        <v>193</v>
      </c>
      <c r="D217" s="10" t="s">
        <v>237</v>
      </c>
      <c r="E217" s="10" t="str">
        <f aca="false">INDEX(Canale!$C$2:$C$30,MATCH(C217,Canale!$A$2:$A$30,0))</f>
        <v>pdf_proposal</v>
      </c>
      <c r="F217" s="10" t="str">
        <f aca="false">INDEX(Canale!$D$2:$D$30,MATCH(C217,Canale!$A$2:$A$30,0))</f>
        <v>document</v>
      </c>
      <c r="G217" s="10" t="str">
        <f aca="false">INDEX('Site-uri'!$C$2:$C$20,MATCH(A217,'Site-uri'!$A$2:$A$20,0))</f>
        <v>/</v>
      </c>
      <c r="H217" s="10" t="str">
        <f aca="false">Config!$B$3</f>
        <v>2610_ff_lansare</v>
      </c>
      <c r="I217" s="10" t="str">
        <f aca="false">D217&amp;"_"&amp;Config!$B$4</f>
        <v>client_general</v>
      </c>
      <c r="J217" s="10" t="str">
        <f aca="false">"https://"&amp;B217&amp;G217&amp;"?utm_source="&amp;E217&amp;"&amp;utm_medium="&amp;F217&amp;"&amp;utm_campaign="&amp;H217&amp;"&amp;utm_content="&amp;I217</f>
        <v>https://aiventure.ro/?utm_source=pdf_proposal&amp;utm_medium=document&amp;utm_campaign=2610_ff_lansare&amp;utm_content=client_general</v>
      </c>
    </row>
    <row r="218" customFormat="false" ht="15" hidden="false" customHeight="false" outlineLevel="0" collapsed="false">
      <c r="A218" s="10" t="s">
        <v>50</v>
      </c>
      <c r="B218" s="10" t="str">
        <f aca="false">INDEX('Site-uri'!$B$2:$B$20,MATCH(A218,'Site-uri'!$A$2:$A$20,0))</f>
        <v>aiventure.ro</v>
      </c>
      <c r="C218" s="10" t="s">
        <v>198</v>
      </c>
      <c r="D218" s="10" t="s">
        <v>219</v>
      </c>
      <c r="E218" s="10" t="str">
        <f aca="false">INDEX(Canale!$C$2:$C$30,MATCH(C218,Canale!$A$2:$A$30,0))</f>
        <v>qr_print</v>
      </c>
      <c r="F218" s="10" t="str">
        <f aca="false">INDEX(Canale!$D$2:$D$30,MATCH(C218,Canale!$A$2:$A$30,0))</f>
        <v>qr</v>
      </c>
      <c r="G218" s="10" t="str">
        <f aca="false">INDEX('Site-uri'!$C$2:$C$20,MATCH(A218,'Site-uri'!$A$2:$A$20,0))</f>
        <v>/</v>
      </c>
      <c r="H218" s="10" t="str">
        <f aca="false">Config!$B$3</f>
        <v>2610_ff_lansare</v>
      </c>
      <c r="I218" s="10" t="str">
        <f aca="false">D218&amp;"_"&amp;Config!$B$4</f>
        <v>rece_general</v>
      </c>
      <c r="J218" s="10" t="str">
        <f aca="false">"https://"&amp;B218&amp;G218&amp;"?utm_source="&amp;E218&amp;"&amp;utm_medium="&amp;F218&amp;"&amp;utm_campaign="&amp;H218&amp;"&amp;utm_content="&amp;I218</f>
        <v>https://aiventure.ro/?utm_source=qr_print&amp;utm_medium=qr&amp;utm_campaign=2610_ff_lansare&amp;utm_content=rece_general</v>
      </c>
    </row>
    <row r="219" customFormat="false" ht="15" hidden="false" customHeight="false" outlineLevel="0" collapsed="false">
      <c r="A219" s="10" t="s">
        <v>50</v>
      </c>
      <c r="B219" s="10" t="str">
        <f aca="false">INDEX('Site-uri'!$B$2:$B$20,MATCH(A219,'Site-uri'!$A$2:$A$20,0))</f>
        <v>aiventure.ro</v>
      </c>
      <c r="C219" s="10" t="s">
        <v>198</v>
      </c>
      <c r="D219" s="10" t="s">
        <v>225</v>
      </c>
      <c r="E219" s="10" t="str">
        <f aca="false">INDEX(Canale!$C$2:$C$30,MATCH(C219,Canale!$A$2:$A$30,0))</f>
        <v>qr_print</v>
      </c>
      <c r="F219" s="10" t="str">
        <f aca="false">INDEX(Canale!$D$2:$D$30,MATCH(C219,Canale!$A$2:$A$30,0))</f>
        <v>qr</v>
      </c>
      <c r="G219" s="10" t="str">
        <f aca="false">INDEX('Site-uri'!$C$2:$C$20,MATCH(A219,'Site-uri'!$A$2:$A$20,0))</f>
        <v>/</v>
      </c>
      <c r="H219" s="10" t="str">
        <f aca="false">Config!$B$3</f>
        <v>2610_ff_lansare</v>
      </c>
      <c r="I219" s="10" t="str">
        <f aca="false">D219&amp;"_"&amp;Config!$B$4</f>
        <v>cald_general</v>
      </c>
      <c r="J219" s="10" t="str">
        <f aca="false">"https://"&amp;B219&amp;G219&amp;"?utm_source="&amp;E219&amp;"&amp;utm_medium="&amp;F219&amp;"&amp;utm_campaign="&amp;H219&amp;"&amp;utm_content="&amp;I219</f>
        <v>https://aiventure.ro/?utm_source=qr_print&amp;utm_medium=qr&amp;utm_campaign=2610_ff_lansare&amp;utm_content=cald_general</v>
      </c>
    </row>
    <row r="220" customFormat="false" ht="15" hidden="false" customHeight="false" outlineLevel="0" collapsed="false">
      <c r="A220" s="10" t="s">
        <v>50</v>
      </c>
      <c r="B220" s="10" t="str">
        <f aca="false">INDEX('Site-uri'!$B$2:$B$20,MATCH(A220,'Site-uri'!$A$2:$A$20,0))</f>
        <v>aiventure.ro</v>
      </c>
      <c r="C220" s="10" t="s">
        <v>198</v>
      </c>
      <c r="D220" s="10" t="s">
        <v>231</v>
      </c>
      <c r="E220" s="10" t="str">
        <f aca="false">INDEX(Canale!$C$2:$C$30,MATCH(C220,Canale!$A$2:$A$30,0))</f>
        <v>qr_print</v>
      </c>
      <c r="F220" s="10" t="str">
        <f aca="false">INDEX(Canale!$D$2:$D$30,MATCH(C220,Canale!$A$2:$A$30,0))</f>
        <v>qr</v>
      </c>
      <c r="G220" s="10" t="str">
        <f aca="false">INDEX('Site-uri'!$C$2:$C$20,MATCH(A220,'Site-uri'!$A$2:$A$20,0))</f>
        <v>/</v>
      </c>
      <c r="H220" s="10" t="str">
        <f aca="false">Config!$B$3</f>
        <v>2610_ff_lansare</v>
      </c>
      <c r="I220" s="10" t="str">
        <f aca="false">D220&amp;"_"&amp;Config!$B$4</f>
        <v>fierbinte_general</v>
      </c>
      <c r="J220" s="10" t="str">
        <f aca="false">"https://"&amp;B220&amp;G220&amp;"?utm_source="&amp;E220&amp;"&amp;utm_medium="&amp;F220&amp;"&amp;utm_campaign="&amp;H220&amp;"&amp;utm_content="&amp;I220</f>
        <v>https://aiventure.ro/?utm_source=qr_print&amp;utm_medium=qr&amp;utm_campaign=2610_ff_lansare&amp;utm_content=fierbinte_general</v>
      </c>
    </row>
    <row r="221" customFormat="false" ht="15" hidden="false" customHeight="false" outlineLevel="0" collapsed="false">
      <c r="A221" s="10" t="s">
        <v>50</v>
      </c>
      <c r="B221" s="10" t="str">
        <f aca="false">INDEX('Site-uri'!$B$2:$B$20,MATCH(A221,'Site-uri'!$A$2:$A$20,0))</f>
        <v>aiventure.ro</v>
      </c>
      <c r="C221" s="10" t="s">
        <v>198</v>
      </c>
      <c r="D221" s="10" t="s">
        <v>237</v>
      </c>
      <c r="E221" s="10" t="str">
        <f aca="false">INDEX(Canale!$C$2:$C$30,MATCH(C221,Canale!$A$2:$A$30,0))</f>
        <v>qr_print</v>
      </c>
      <c r="F221" s="10" t="str">
        <f aca="false">INDEX(Canale!$D$2:$D$30,MATCH(C221,Canale!$A$2:$A$30,0))</f>
        <v>qr</v>
      </c>
      <c r="G221" s="10" t="str">
        <f aca="false">INDEX('Site-uri'!$C$2:$C$20,MATCH(A221,'Site-uri'!$A$2:$A$20,0))</f>
        <v>/</v>
      </c>
      <c r="H221" s="10" t="str">
        <f aca="false">Config!$B$3</f>
        <v>2610_ff_lansare</v>
      </c>
      <c r="I221" s="10" t="str">
        <f aca="false">D221&amp;"_"&amp;Config!$B$4</f>
        <v>client_general</v>
      </c>
      <c r="J221" s="10" t="str">
        <f aca="false">"https://"&amp;B221&amp;G221&amp;"?utm_source="&amp;E221&amp;"&amp;utm_medium="&amp;F221&amp;"&amp;utm_campaign="&amp;H221&amp;"&amp;utm_content="&amp;I221</f>
        <v>https://aiventure.ro/?utm_source=qr_print&amp;utm_medium=qr&amp;utm_campaign=2610_ff_lansare&amp;utm_content=client_general</v>
      </c>
    </row>
    <row r="222" customFormat="false" ht="15" hidden="false" customHeight="false" outlineLevel="0" collapsed="false">
      <c r="A222" s="10" t="s">
        <v>50</v>
      </c>
      <c r="B222" s="10" t="str">
        <f aca="false">INDEX('Site-uri'!$B$2:$B$20,MATCH(A222,'Site-uri'!$A$2:$A$20,0))</f>
        <v>aiventure.ro</v>
      </c>
      <c r="C222" s="10" t="s">
        <v>202</v>
      </c>
      <c r="D222" s="10" t="s">
        <v>219</v>
      </c>
      <c r="E222" s="10" t="str">
        <f aca="false">INDEX(Canale!$C$2:$C$30,MATCH(C222,Canale!$A$2:$A$30,0))</f>
        <v>event</v>
      </c>
      <c r="F222" s="10" t="str">
        <f aca="false">INDEX(Canale!$D$2:$D$30,MATCH(C222,Canale!$A$2:$A$30,0))</f>
        <v>event</v>
      </c>
      <c r="G222" s="10" t="str">
        <f aca="false">INDEX('Site-uri'!$C$2:$C$20,MATCH(A222,'Site-uri'!$A$2:$A$20,0))</f>
        <v>/</v>
      </c>
      <c r="H222" s="10" t="str">
        <f aca="false">Config!$B$3</f>
        <v>2610_ff_lansare</v>
      </c>
      <c r="I222" s="10" t="str">
        <f aca="false">D222&amp;"_"&amp;Config!$B$4</f>
        <v>rece_general</v>
      </c>
      <c r="J222" s="10" t="str">
        <f aca="false">"https://"&amp;B222&amp;G222&amp;"?utm_source="&amp;E222&amp;"&amp;utm_medium="&amp;F222&amp;"&amp;utm_campaign="&amp;H222&amp;"&amp;utm_content="&amp;I222</f>
        <v>https://aiventure.ro/?utm_source=event&amp;utm_medium=event&amp;utm_campaign=2610_ff_lansare&amp;utm_content=rece_general</v>
      </c>
    </row>
    <row r="223" customFormat="false" ht="15" hidden="false" customHeight="false" outlineLevel="0" collapsed="false">
      <c r="A223" s="10" t="s">
        <v>50</v>
      </c>
      <c r="B223" s="10" t="str">
        <f aca="false">INDEX('Site-uri'!$B$2:$B$20,MATCH(A223,'Site-uri'!$A$2:$A$20,0))</f>
        <v>aiventure.ro</v>
      </c>
      <c r="C223" s="10" t="s">
        <v>202</v>
      </c>
      <c r="D223" s="10" t="s">
        <v>225</v>
      </c>
      <c r="E223" s="10" t="str">
        <f aca="false">INDEX(Canale!$C$2:$C$30,MATCH(C223,Canale!$A$2:$A$30,0))</f>
        <v>event</v>
      </c>
      <c r="F223" s="10" t="str">
        <f aca="false">INDEX(Canale!$D$2:$D$30,MATCH(C223,Canale!$A$2:$A$30,0))</f>
        <v>event</v>
      </c>
      <c r="G223" s="10" t="str">
        <f aca="false">INDEX('Site-uri'!$C$2:$C$20,MATCH(A223,'Site-uri'!$A$2:$A$20,0))</f>
        <v>/</v>
      </c>
      <c r="H223" s="10" t="str">
        <f aca="false">Config!$B$3</f>
        <v>2610_ff_lansare</v>
      </c>
      <c r="I223" s="10" t="str">
        <f aca="false">D223&amp;"_"&amp;Config!$B$4</f>
        <v>cald_general</v>
      </c>
      <c r="J223" s="10" t="str">
        <f aca="false">"https://"&amp;B223&amp;G223&amp;"?utm_source="&amp;E223&amp;"&amp;utm_medium="&amp;F223&amp;"&amp;utm_campaign="&amp;H223&amp;"&amp;utm_content="&amp;I223</f>
        <v>https://aiventure.ro/?utm_source=event&amp;utm_medium=event&amp;utm_campaign=2610_ff_lansare&amp;utm_content=cald_general</v>
      </c>
    </row>
    <row r="224" customFormat="false" ht="15" hidden="false" customHeight="false" outlineLevel="0" collapsed="false">
      <c r="A224" s="10" t="s">
        <v>50</v>
      </c>
      <c r="B224" s="10" t="str">
        <f aca="false">INDEX('Site-uri'!$B$2:$B$20,MATCH(A224,'Site-uri'!$A$2:$A$20,0))</f>
        <v>aiventure.ro</v>
      </c>
      <c r="C224" s="10" t="s">
        <v>202</v>
      </c>
      <c r="D224" s="10" t="s">
        <v>231</v>
      </c>
      <c r="E224" s="10" t="str">
        <f aca="false">INDEX(Canale!$C$2:$C$30,MATCH(C224,Canale!$A$2:$A$30,0))</f>
        <v>event</v>
      </c>
      <c r="F224" s="10" t="str">
        <f aca="false">INDEX(Canale!$D$2:$D$30,MATCH(C224,Canale!$A$2:$A$30,0))</f>
        <v>event</v>
      </c>
      <c r="G224" s="10" t="str">
        <f aca="false">INDEX('Site-uri'!$C$2:$C$20,MATCH(A224,'Site-uri'!$A$2:$A$20,0))</f>
        <v>/</v>
      </c>
      <c r="H224" s="10" t="str">
        <f aca="false">Config!$B$3</f>
        <v>2610_ff_lansare</v>
      </c>
      <c r="I224" s="10" t="str">
        <f aca="false">D224&amp;"_"&amp;Config!$B$4</f>
        <v>fierbinte_general</v>
      </c>
      <c r="J224" s="10" t="str">
        <f aca="false">"https://"&amp;B224&amp;G224&amp;"?utm_source="&amp;E224&amp;"&amp;utm_medium="&amp;F224&amp;"&amp;utm_campaign="&amp;H224&amp;"&amp;utm_content="&amp;I224</f>
        <v>https://aiventure.ro/?utm_source=event&amp;utm_medium=event&amp;utm_campaign=2610_ff_lansare&amp;utm_content=fierbinte_general</v>
      </c>
    </row>
    <row r="225" customFormat="false" ht="15" hidden="false" customHeight="false" outlineLevel="0" collapsed="false">
      <c r="A225" s="10" t="s">
        <v>50</v>
      </c>
      <c r="B225" s="10" t="str">
        <f aca="false">INDEX('Site-uri'!$B$2:$B$20,MATCH(A225,'Site-uri'!$A$2:$A$20,0))</f>
        <v>aiventure.ro</v>
      </c>
      <c r="C225" s="10" t="s">
        <v>202</v>
      </c>
      <c r="D225" s="10" t="s">
        <v>237</v>
      </c>
      <c r="E225" s="10" t="str">
        <f aca="false">INDEX(Canale!$C$2:$C$30,MATCH(C225,Canale!$A$2:$A$30,0))</f>
        <v>event</v>
      </c>
      <c r="F225" s="10" t="str">
        <f aca="false">INDEX(Canale!$D$2:$D$30,MATCH(C225,Canale!$A$2:$A$30,0))</f>
        <v>event</v>
      </c>
      <c r="G225" s="10" t="str">
        <f aca="false">INDEX('Site-uri'!$C$2:$C$20,MATCH(A225,'Site-uri'!$A$2:$A$20,0))</f>
        <v>/</v>
      </c>
      <c r="H225" s="10" t="str">
        <f aca="false">Config!$B$3</f>
        <v>2610_ff_lansare</v>
      </c>
      <c r="I225" s="10" t="str">
        <f aca="false">D225&amp;"_"&amp;Config!$B$4</f>
        <v>client_general</v>
      </c>
      <c r="J225" s="10" t="str">
        <f aca="false">"https://"&amp;B225&amp;G225&amp;"?utm_source="&amp;E225&amp;"&amp;utm_medium="&amp;F225&amp;"&amp;utm_campaign="&amp;H225&amp;"&amp;utm_content="&amp;I225</f>
        <v>https://aiventure.ro/?utm_source=event&amp;utm_medium=event&amp;utm_campaign=2610_ff_lansare&amp;utm_content=client_general</v>
      </c>
    </row>
    <row r="226" customFormat="false" ht="15" hidden="false" customHeight="false" outlineLevel="0" collapsed="false">
      <c r="A226" s="10" t="s">
        <v>50</v>
      </c>
      <c r="B226" s="10" t="str">
        <f aca="false">INDEX('Site-uri'!$B$2:$B$20,MATCH(A226,'Site-uri'!$A$2:$A$20,0))</f>
        <v>aiventure.ro</v>
      </c>
      <c r="C226" s="10" t="s">
        <v>204</v>
      </c>
      <c r="D226" s="10" t="s">
        <v>219</v>
      </c>
      <c r="E226" s="10" t="str">
        <f aca="false">INDEX(Canale!$C$2:$C$30,MATCH(C226,Canale!$A$2:$A$30,0))</f>
        <v>a2a_agent_card</v>
      </c>
      <c r="F226" s="10" t="str">
        <f aca="false">INDEX(Canale!$D$2:$D$30,MATCH(C226,Canale!$A$2:$A$30,0))</f>
        <v>agent</v>
      </c>
      <c r="G226" s="10" t="str">
        <f aca="false">INDEX('Site-uri'!$C$2:$C$20,MATCH(A226,'Site-uri'!$A$2:$A$20,0))</f>
        <v>/</v>
      </c>
      <c r="H226" s="10" t="str">
        <f aca="false">Config!$B$3</f>
        <v>2610_ff_lansare</v>
      </c>
      <c r="I226" s="10" t="str">
        <f aca="false">D226&amp;"_"&amp;Config!$B$4</f>
        <v>rece_general</v>
      </c>
      <c r="J226" s="10" t="str">
        <f aca="false">"https://"&amp;B226&amp;G226&amp;"?utm_source="&amp;E226&amp;"&amp;utm_medium="&amp;F226&amp;"&amp;utm_campaign="&amp;H226&amp;"&amp;utm_content="&amp;I226</f>
        <v>https://aiventure.ro/?utm_source=a2a_agent_card&amp;utm_medium=agent&amp;utm_campaign=2610_ff_lansare&amp;utm_content=rece_general</v>
      </c>
    </row>
    <row r="227" customFormat="false" ht="15" hidden="false" customHeight="false" outlineLevel="0" collapsed="false">
      <c r="A227" s="10" t="s">
        <v>50</v>
      </c>
      <c r="B227" s="10" t="str">
        <f aca="false">INDEX('Site-uri'!$B$2:$B$20,MATCH(A227,'Site-uri'!$A$2:$A$20,0))</f>
        <v>aiventure.ro</v>
      </c>
      <c r="C227" s="10" t="s">
        <v>204</v>
      </c>
      <c r="D227" s="10" t="s">
        <v>225</v>
      </c>
      <c r="E227" s="10" t="str">
        <f aca="false">INDEX(Canale!$C$2:$C$30,MATCH(C227,Canale!$A$2:$A$30,0))</f>
        <v>a2a_agent_card</v>
      </c>
      <c r="F227" s="10" t="str">
        <f aca="false">INDEX(Canale!$D$2:$D$30,MATCH(C227,Canale!$A$2:$A$30,0))</f>
        <v>agent</v>
      </c>
      <c r="G227" s="10" t="str">
        <f aca="false">INDEX('Site-uri'!$C$2:$C$20,MATCH(A227,'Site-uri'!$A$2:$A$20,0))</f>
        <v>/</v>
      </c>
      <c r="H227" s="10" t="str">
        <f aca="false">Config!$B$3</f>
        <v>2610_ff_lansare</v>
      </c>
      <c r="I227" s="10" t="str">
        <f aca="false">D227&amp;"_"&amp;Config!$B$4</f>
        <v>cald_general</v>
      </c>
      <c r="J227" s="10" t="str">
        <f aca="false">"https://"&amp;B227&amp;G227&amp;"?utm_source="&amp;E227&amp;"&amp;utm_medium="&amp;F227&amp;"&amp;utm_campaign="&amp;H227&amp;"&amp;utm_content="&amp;I227</f>
        <v>https://aiventure.ro/?utm_source=a2a_agent_card&amp;utm_medium=agent&amp;utm_campaign=2610_ff_lansare&amp;utm_content=cald_general</v>
      </c>
    </row>
    <row r="228" customFormat="false" ht="15" hidden="false" customHeight="false" outlineLevel="0" collapsed="false">
      <c r="A228" s="10" t="s">
        <v>50</v>
      </c>
      <c r="B228" s="10" t="str">
        <f aca="false">INDEX('Site-uri'!$B$2:$B$20,MATCH(A228,'Site-uri'!$A$2:$A$20,0))</f>
        <v>aiventure.ro</v>
      </c>
      <c r="C228" s="10" t="s">
        <v>204</v>
      </c>
      <c r="D228" s="10" t="s">
        <v>231</v>
      </c>
      <c r="E228" s="10" t="str">
        <f aca="false">INDEX(Canale!$C$2:$C$30,MATCH(C228,Canale!$A$2:$A$30,0))</f>
        <v>a2a_agent_card</v>
      </c>
      <c r="F228" s="10" t="str">
        <f aca="false">INDEX(Canale!$D$2:$D$30,MATCH(C228,Canale!$A$2:$A$30,0))</f>
        <v>agent</v>
      </c>
      <c r="G228" s="10" t="str">
        <f aca="false">INDEX('Site-uri'!$C$2:$C$20,MATCH(A228,'Site-uri'!$A$2:$A$20,0))</f>
        <v>/</v>
      </c>
      <c r="H228" s="10" t="str">
        <f aca="false">Config!$B$3</f>
        <v>2610_ff_lansare</v>
      </c>
      <c r="I228" s="10" t="str">
        <f aca="false">D228&amp;"_"&amp;Config!$B$4</f>
        <v>fierbinte_general</v>
      </c>
      <c r="J228" s="10" t="str">
        <f aca="false">"https://"&amp;B228&amp;G228&amp;"?utm_source="&amp;E228&amp;"&amp;utm_medium="&amp;F228&amp;"&amp;utm_campaign="&amp;H228&amp;"&amp;utm_content="&amp;I228</f>
        <v>https://aiventure.ro/?utm_source=a2a_agent_card&amp;utm_medium=agent&amp;utm_campaign=2610_ff_lansare&amp;utm_content=fierbinte_general</v>
      </c>
    </row>
    <row r="229" customFormat="false" ht="15" hidden="false" customHeight="false" outlineLevel="0" collapsed="false">
      <c r="A229" s="10" t="s">
        <v>50</v>
      </c>
      <c r="B229" s="10" t="str">
        <f aca="false">INDEX('Site-uri'!$B$2:$B$20,MATCH(A229,'Site-uri'!$A$2:$A$20,0))</f>
        <v>aiventure.ro</v>
      </c>
      <c r="C229" s="10" t="s">
        <v>204</v>
      </c>
      <c r="D229" s="10" t="s">
        <v>237</v>
      </c>
      <c r="E229" s="10" t="str">
        <f aca="false">INDEX(Canale!$C$2:$C$30,MATCH(C229,Canale!$A$2:$A$30,0))</f>
        <v>a2a_agent_card</v>
      </c>
      <c r="F229" s="10" t="str">
        <f aca="false">INDEX(Canale!$D$2:$D$30,MATCH(C229,Canale!$A$2:$A$30,0))</f>
        <v>agent</v>
      </c>
      <c r="G229" s="10" t="str">
        <f aca="false">INDEX('Site-uri'!$C$2:$C$20,MATCH(A229,'Site-uri'!$A$2:$A$20,0))</f>
        <v>/</v>
      </c>
      <c r="H229" s="10" t="str">
        <f aca="false">Config!$B$3</f>
        <v>2610_ff_lansare</v>
      </c>
      <c r="I229" s="10" t="str">
        <f aca="false">D229&amp;"_"&amp;Config!$B$4</f>
        <v>client_general</v>
      </c>
      <c r="J229" s="10" t="str">
        <f aca="false">"https://"&amp;B229&amp;G229&amp;"?utm_source="&amp;E229&amp;"&amp;utm_medium="&amp;F229&amp;"&amp;utm_campaign="&amp;H229&amp;"&amp;utm_content="&amp;I229</f>
        <v>https://aiventure.ro/?utm_source=a2a_agent_card&amp;utm_medium=agent&amp;utm_campaign=2610_ff_lansare&amp;utm_content=client_general</v>
      </c>
    </row>
    <row r="230" customFormat="false" ht="15" hidden="false" customHeight="false" outlineLevel="0" collapsed="false">
      <c r="A230" s="10" t="s">
        <v>50</v>
      </c>
      <c r="B230" s="10" t="str">
        <f aca="false">INDEX('Site-uri'!$B$2:$B$20,MATCH(A230,'Site-uri'!$A$2:$A$20,0))</f>
        <v>aiventure.ro</v>
      </c>
      <c r="C230" s="10" t="s">
        <v>209</v>
      </c>
      <c r="D230" s="10" t="s">
        <v>219</v>
      </c>
      <c r="E230" s="10" t="str">
        <f aca="false">INDEX(Canale!$C$2:$C$30,MATCH(C230,Canale!$A$2:$A$30,0))</f>
        <v>llms_txt</v>
      </c>
      <c r="F230" s="10" t="str">
        <f aca="false">INDEX(Canale!$D$2:$D$30,MATCH(C230,Canale!$A$2:$A$30,0))</f>
        <v>ai_web</v>
      </c>
      <c r="G230" s="10" t="str">
        <f aca="false">INDEX('Site-uri'!$C$2:$C$20,MATCH(A230,'Site-uri'!$A$2:$A$20,0))</f>
        <v>/</v>
      </c>
      <c r="H230" s="10" t="str">
        <f aca="false">Config!$B$3</f>
        <v>2610_ff_lansare</v>
      </c>
      <c r="I230" s="10" t="str">
        <f aca="false">D230&amp;"_"&amp;Config!$B$4</f>
        <v>rece_general</v>
      </c>
      <c r="J230" s="10" t="str">
        <f aca="false">"https://"&amp;B230&amp;G230&amp;"?utm_source="&amp;E230&amp;"&amp;utm_medium="&amp;F230&amp;"&amp;utm_campaign="&amp;H230&amp;"&amp;utm_content="&amp;I230</f>
        <v>https://aiventure.ro/?utm_source=llms_txt&amp;utm_medium=ai_web&amp;utm_campaign=2610_ff_lansare&amp;utm_content=rece_general</v>
      </c>
    </row>
    <row r="231" customFormat="false" ht="15" hidden="false" customHeight="false" outlineLevel="0" collapsed="false">
      <c r="A231" s="10" t="s">
        <v>50</v>
      </c>
      <c r="B231" s="10" t="str">
        <f aca="false">INDEX('Site-uri'!$B$2:$B$20,MATCH(A231,'Site-uri'!$A$2:$A$20,0))</f>
        <v>aiventure.ro</v>
      </c>
      <c r="C231" s="10" t="s">
        <v>209</v>
      </c>
      <c r="D231" s="10" t="s">
        <v>225</v>
      </c>
      <c r="E231" s="10" t="str">
        <f aca="false">INDEX(Canale!$C$2:$C$30,MATCH(C231,Canale!$A$2:$A$30,0))</f>
        <v>llms_txt</v>
      </c>
      <c r="F231" s="10" t="str">
        <f aca="false">INDEX(Canale!$D$2:$D$30,MATCH(C231,Canale!$A$2:$A$30,0))</f>
        <v>ai_web</v>
      </c>
      <c r="G231" s="10" t="str">
        <f aca="false">INDEX('Site-uri'!$C$2:$C$20,MATCH(A231,'Site-uri'!$A$2:$A$20,0))</f>
        <v>/</v>
      </c>
      <c r="H231" s="10" t="str">
        <f aca="false">Config!$B$3</f>
        <v>2610_ff_lansare</v>
      </c>
      <c r="I231" s="10" t="str">
        <f aca="false">D231&amp;"_"&amp;Config!$B$4</f>
        <v>cald_general</v>
      </c>
      <c r="J231" s="10" t="str">
        <f aca="false">"https://"&amp;B231&amp;G231&amp;"?utm_source="&amp;E231&amp;"&amp;utm_medium="&amp;F231&amp;"&amp;utm_campaign="&amp;H231&amp;"&amp;utm_content="&amp;I231</f>
        <v>https://aiventure.ro/?utm_source=llms_txt&amp;utm_medium=ai_web&amp;utm_campaign=2610_ff_lansare&amp;utm_content=cald_general</v>
      </c>
    </row>
    <row r="232" customFormat="false" ht="15" hidden="false" customHeight="false" outlineLevel="0" collapsed="false">
      <c r="A232" s="10" t="s">
        <v>50</v>
      </c>
      <c r="B232" s="10" t="str">
        <f aca="false">INDEX('Site-uri'!$B$2:$B$20,MATCH(A232,'Site-uri'!$A$2:$A$20,0))</f>
        <v>aiventure.ro</v>
      </c>
      <c r="C232" s="10" t="s">
        <v>209</v>
      </c>
      <c r="D232" s="10" t="s">
        <v>231</v>
      </c>
      <c r="E232" s="10" t="str">
        <f aca="false">INDEX(Canale!$C$2:$C$30,MATCH(C232,Canale!$A$2:$A$30,0))</f>
        <v>llms_txt</v>
      </c>
      <c r="F232" s="10" t="str">
        <f aca="false">INDEX(Canale!$D$2:$D$30,MATCH(C232,Canale!$A$2:$A$30,0))</f>
        <v>ai_web</v>
      </c>
      <c r="G232" s="10" t="str">
        <f aca="false">INDEX('Site-uri'!$C$2:$C$20,MATCH(A232,'Site-uri'!$A$2:$A$20,0))</f>
        <v>/</v>
      </c>
      <c r="H232" s="10" t="str">
        <f aca="false">Config!$B$3</f>
        <v>2610_ff_lansare</v>
      </c>
      <c r="I232" s="10" t="str">
        <f aca="false">D232&amp;"_"&amp;Config!$B$4</f>
        <v>fierbinte_general</v>
      </c>
      <c r="J232" s="10" t="str">
        <f aca="false">"https://"&amp;B232&amp;G232&amp;"?utm_source="&amp;E232&amp;"&amp;utm_medium="&amp;F232&amp;"&amp;utm_campaign="&amp;H232&amp;"&amp;utm_content="&amp;I232</f>
        <v>https://aiventure.ro/?utm_source=llms_txt&amp;utm_medium=ai_web&amp;utm_campaign=2610_ff_lansare&amp;utm_content=fierbinte_general</v>
      </c>
    </row>
    <row r="233" customFormat="false" ht="15" hidden="false" customHeight="false" outlineLevel="0" collapsed="false">
      <c r="A233" s="10" t="s">
        <v>50</v>
      </c>
      <c r="B233" s="10" t="str">
        <f aca="false">INDEX('Site-uri'!$B$2:$B$20,MATCH(A233,'Site-uri'!$A$2:$A$20,0))</f>
        <v>aiventure.ro</v>
      </c>
      <c r="C233" s="10" t="s">
        <v>209</v>
      </c>
      <c r="D233" s="10" t="s">
        <v>237</v>
      </c>
      <c r="E233" s="10" t="str">
        <f aca="false">INDEX(Canale!$C$2:$C$30,MATCH(C233,Canale!$A$2:$A$30,0))</f>
        <v>llms_txt</v>
      </c>
      <c r="F233" s="10" t="str">
        <f aca="false">INDEX(Canale!$D$2:$D$30,MATCH(C233,Canale!$A$2:$A$30,0))</f>
        <v>ai_web</v>
      </c>
      <c r="G233" s="10" t="str">
        <f aca="false">INDEX('Site-uri'!$C$2:$C$20,MATCH(A233,'Site-uri'!$A$2:$A$20,0))</f>
        <v>/</v>
      </c>
      <c r="H233" s="10" t="str">
        <f aca="false">Config!$B$3</f>
        <v>2610_ff_lansare</v>
      </c>
      <c r="I233" s="10" t="str">
        <f aca="false">D233&amp;"_"&amp;Config!$B$4</f>
        <v>client_general</v>
      </c>
      <c r="J233" s="10" t="str">
        <f aca="false">"https://"&amp;B233&amp;G233&amp;"?utm_source="&amp;E233&amp;"&amp;utm_medium="&amp;F233&amp;"&amp;utm_campaign="&amp;H233&amp;"&amp;utm_content="&amp;I233</f>
        <v>https://aiventure.ro/?utm_source=llms_txt&amp;utm_medium=ai_web&amp;utm_campaign=2610_ff_lansare&amp;utm_content=client_general</v>
      </c>
    </row>
    <row r="234" customFormat="false" ht="15" hidden="false" customHeight="false" outlineLevel="0" collapsed="false">
      <c r="A234" s="10" t="s">
        <v>53</v>
      </c>
      <c r="B234" s="10" t="str">
        <f aca="false">INDEX('Site-uri'!$B$2:$B$20,MATCH(A234,'Site-uri'!$A$2:$A$20,0))</f>
        <v>aiventure.uk</v>
      </c>
      <c r="C234" s="10" t="s">
        <v>104</v>
      </c>
      <c r="D234" s="10" t="s">
        <v>219</v>
      </c>
      <c r="E234" s="10" t="str">
        <f aca="false">INDEX(Canale!$C$2:$C$30,MATCH(C234,Canale!$A$2:$A$30,0))</f>
        <v>linkedin_personal</v>
      </c>
      <c r="F234" s="10" t="str">
        <f aca="false">INDEX(Canale!$D$2:$D$30,MATCH(C234,Canale!$A$2:$A$30,0))</f>
        <v>social</v>
      </c>
      <c r="G234" s="10" t="str">
        <f aca="false">INDEX('Site-uri'!$C$2:$C$20,MATCH(A234,'Site-uri'!$A$2:$A$20,0))</f>
        <v>/</v>
      </c>
      <c r="H234" s="10" t="str">
        <f aca="false">Config!$B$3</f>
        <v>2610_ff_lansare</v>
      </c>
      <c r="I234" s="10" t="str">
        <f aca="false">D234&amp;"_"&amp;Config!$B$4</f>
        <v>rece_general</v>
      </c>
      <c r="J234" s="10" t="str">
        <f aca="false">"https://"&amp;B234&amp;G234&amp;"?utm_source="&amp;E234&amp;"&amp;utm_medium="&amp;F234&amp;"&amp;utm_campaign="&amp;H234&amp;"&amp;utm_content="&amp;I234</f>
        <v>https://aiventure.uk/?utm_source=linkedin_personal&amp;utm_medium=social&amp;utm_campaign=2610_ff_lansare&amp;utm_content=rece_general</v>
      </c>
    </row>
    <row r="235" customFormat="false" ht="15" hidden="false" customHeight="false" outlineLevel="0" collapsed="false">
      <c r="A235" s="10" t="s">
        <v>53</v>
      </c>
      <c r="B235" s="10" t="str">
        <f aca="false">INDEX('Site-uri'!$B$2:$B$20,MATCH(A235,'Site-uri'!$A$2:$A$20,0))</f>
        <v>aiventure.uk</v>
      </c>
      <c r="C235" s="10" t="s">
        <v>104</v>
      </c>
      <c r="D235" s="10" t="s">
        <v>225</v>
      </c>
      <c r="E235" s="10" t="str">
        <f aca="false">INDEX(Canale!$C$2:$C$30,MATCH(C235,Canale!$A$2:$A$30,0))</f>
        <v>linkedin_personal</v>
      </c>
      <c r="F235" s="10" t="str">
        <f aca="false">INDEX(Canale!$D$2:$D$30,MATCH(C235,Canale!$A$2:$A$30,0))</f>
        <v>social</v>
      </c>
      <c r="G235" s="10" t="str">
        <f aca="false">INDEX('Site-uri'!$C$2:$C$20,MATCH(A235,'Site-uri'!$A$2:$A$20,0))</f>
        <v>/</v>
      </c>
      <c r="H235" s="10" t="str">
        <f aca="false">Config!$B$3</f>
        <v>2610_ff_lansare</v>
      </c>
      <c r="I235" s="10" t="str">
        <f aca="false">D235&amp;"_"&amp;Config!$B$4</f>
        <v>cald_general</v>
      </c>
      <c r="J235" s="10" t="str">
        <f aca="false">"https://"&amp;B235&amp;G235&amp;"?utm_source="&amp;E235&amp;"&amp;utm_medium="&amp;F235&amp;"&amp;utm_campaign="&amp;H235&amp;"&amp;utm_content="&amp;I235</f>
        <v>https://aiventure.uk/?utm_source=linkedin_personal&amp;utm_medium=social&amp;utm_campaign=2610_ff_lansare&amp;utm_content=cald_general</v>
      </c>
    </row>
    <row r="236" customFormat="false" ht="15" hidden="false" customHeight="false" outlineLevel="0" collapsed="false">
      <c r="A236" s="10" t="s">
        <v>53</v>
      </c>
      <c r="B236" s="10" t="str">
        <f aca="false">INDEX('Site-uri'!$B$2:$B$20,MATCH(A236,'Site-uri'!$A$2:$A$20,0))</f>
        <v>aiventure.uk</v>
      </c>
      <c r="C236" s="10" t="s">
        <v>104</v>
      </c>
      <c r="D236" s="10" t="s">
        <v>231</v>
      </c>
      <c r="E236" s="10" t="str">
        <f aca="false">INDEX(Canale!$C$2:$C$30,MATCH(C236,Canale!$A$2:$A$30,0))</f>
        <v>linkedin_personal</v>
      </c>
      <c r="F236" s="10" t="str">
        <f aca="false">INDEX(Canale!$D$2:$D$30,MATCH(C236,Canale!$A$2:$A$30,0))</f>
        <v>social</v>
      </c>
      <c r="G236" s="10" t="str">
        <f aca="false">INDEX('Site-uri'!$C$2:$C$20,MATCH(A236,'Site-uri'!$A$2:$A$20,0))</f>
        <v>/</v>
      </c>
      <c r="H236" s="10" t="str">
        <f aca="false">Config!$B$3</f>
        <v>2610_ff_lansare</v>
      </c>
      <c r="I236" s="10" t="str">
        <f aca="false">D236&amp;"_"&amp;Config!$B$4</f>
        <v>fierbinte_general</v>
      </c>
      <c r="J236" s="10" t="str">
        <f aca="false">"https://"&amp;B236&amp;G236&amp;"?utm_source="&amp;E236&amp;"&amp;utm_medium="&amp;F236&amp;"&amp;utm_campaign="&amp;H236&amp;"&amp;utm_content="&amp;I236</f>
        <v>https://aiventure.uk/?utm_source=linkedin_personal&amp;utm_medium=social&amp;utm_campaign=2610_ff_lansare&amp;utm_content=fierbinte_general</v>
      </c>
    </row>
    <row r="237" customFormat="false" ht="15" hidden="false" customHeight="false" outlineLevel="0" collapsed="false">
      <c r="A237" s="10" t="s">
        <v>53</v>
      </c>
      <c r="B237" s="10" t="str">
        <f aca="false">INDEX('Site-uri'!$B$2:$B$20,MATCH(A237,'Site-uri'!$A$2:$A$20,0))</f>
        <v>aiventure.uk</v>
      </c>
      <c r="C237" s="10" t="s">
        <v>104</v>
      </c>
      <c r="D237" s="10" t="s">
        <v>237</v>
      </c>
      <c r="E237" s="10" t="str">
        <f aca="false">INDEX(Canale!$C$2:$C$30,MATCH(C237,Canale!$A$2:$A$30,0))</f>
        <v>linkedin_personal</v>
      </c>
      <c r="F237" s="10" t="str">
        <f aca="false">INDEX(Canale!$D$2:$D$30,MATCH(C237,Canale!$A$2:$A$30,0))</f>
        <v>social</v>
      </c>
      <c r="G237" s="10" t="str">
        <f aca="false">INDEX('Site-uri'!$C$2:$C$20,MATCH(A237,'Site-uri'!$A$2:$A$20,0))</f>
        <v>/</v>
      </c>
      <c r="H237" s="10" t="str">
        <f aca="false">Config!$B$3</f>
        <v>2610_ff_lansare</v>
      </c>
      <c r="I237" s="10" t="str">
        <f aca="false">D237&amp;"_"&amp;Config!$B$4</f>
        <v>client_general</v>
      </c>
      <c r="J237" s="10" t="str">
        <f aca="false">"https://"&amp;B237&amp;G237&amp;"?utm_source="&amp;E237&amp;"&amp;utm_medium="&amp;F237&amp;"&amp;utm_campaign="&amp;H237&amp;"&amp;utm_content="&amp;I237</f>
        <v>https://aiventure.uk/?utm_source=linkedin_personal&amp;utm_medium=social&amp;utm_campaign=2610_ff_lansare&amp;utm_content=client_general</v>
      </c>
    </row>
    <row r="238" customFormat="false" ht="15" hidden="false" customHeight="false" outlineLevel="0" collapsed="false">
      <c r="A238" s="10" t="s">
        <v>53</v>
      </c>
      <c r="B238" s="10" t="str">
        <f aca="false">INDEX('Site-uri'!$B$2:$B$20,MATCH(A238,'Site-uri'!$A$2:$A$20,0))</f>
        <v>aiventure.uk</v>
      </c>
      <c r="C238" s="10" t="s">
        <v>109</v>
      </c>
      <c r="D238" s="10" t="s">
        <v>219</v>
      </c>
      <c r="E238" s="10" t="str">
        <f aca="false">INDEX(Canale!$C$2:$C$30,MATCH(C238,Canale!$A$2:$A$30,0))</f>
        <v>linkedin_company</v>
      </c>
      <c r="F238" s="10" t="str">
        <f aca="false">INDEX(Canale!$D$2:$D$30,MATCH(C238,Canale!$A$2:$A$30,0))</f>
        <v>social</v>
      </c>
      <c r="G238" s="10" t="str">
        <f aca="false">INDEX('Site-uri'!$C$2:$C$20,MATCH(A238,'Site-uri'!$A$2:$A$20,0))</f>
        <v>/</v>
      </c>
      <c r="H238" s="10" t="str">
        <f aca="false">Config!$B$3</f>
        <v>2610_ff_lansare</v>
      </c>
      <c r="I238" s="10" t="str">
        <f aca="false">D238&amp;"_"&amp;Config!$B$4</f>
        <v>rece_general</v>
      </c>
      <c r="J238" s="10" t="str">
        <f aca="false">"https://"&amp;B238&amp;G238&amp;"?utm_source="&amp;E238&amp;"&amp;utm_medium="&amp;F238&amp;"&amp;utm_campaign="&amp;H238&amp;"&amp;utm_content="&amp;I238</f>
        <v>https://aiventure.uk/?utm_source=linkedin_company&amp;utm_medium=social&amp;utm_campaign=2610_ff_lansare&amp;utm_content=rece_general</v>
      </c>
    </row>
    <row r="239" customFormat="false" ht="15" hidden="false" customHeight="false" outlineLevel="0" collapsed="false">
      <c r="A239" s="10" t="s">
        <v>53</v>
      </c>
      <c r="B239" s="10" t="str">
        <f aca="false">INDEX('Site-uri'!$B$2:$B$20,MATCH(A239,'Site-uri'!$A$2:$A$20,0))</f>
        <v>aiventure.uk</v>
      </c>
      <c r="C239" s="10" t="s">
        <v>109</v>
      </c>
      <c r="D239" s="10" t="s">
        <v>225</v>
      </c>
      <c r="E239" s="10" t="str">
        <f aca="false">INDEX(Canale!$C$2:$C$30,MATCH(C239,Canale!$A$2:$A$30,0))</f>
        <v>linkedin_company</v>
      </c>
      <c r="F239" s="10" t="str">
        <f aca="false">INDEX(Canale!$D$2:$D$30,MATCH(C239,Canale!$A$2:$A$30,0))</f>
        <v>social</v>
      </c>
      <c r="G239" s="10" t="str">
        <f aca="false">INDEX('Site-uri'!$C$2:$C$20,MATCH(A239,'Site-uri'!$A$2:$A$20,0))</f>
        <v>/</v>
      </c>
      <c r="H239" s="10" t="str">
        <f aca="false">Config!$B$3</f>
        <v>2610_ff_lansare</v>
      </c>
      <c r="I239" s="10" t="str">
        <f aca="false">D239&amp;"_"&amp;Config!$B$4</f>
        <v>cald_general</v>
      </c>
      <c r="J239" s="10" t="str">
        <f aca="false">"https://"&amp;B239&amp;G239&amp;"?utm_source="&amp;E239&amp;"&amp;utm_medium="&amp;F239&amp;"&amp;utm_campaign="&amp;H239&amp;"&amp;utm_content="&amp;I239</f>
        <v>https://aiventure.uk/?utm_source=linkedin_company&amp;utm_medium=social&amp;utm_campaign=2610_ff_lansare&amp;utm_content=cald_general</v>
      </c>
    </row>
    <row r="240" customFormat="false" ht="15" hidden="false" customHeight="false" outlineLevel="0" collapsed="false">
      <c r="A240" s="10" t="s">
        <v>53</v>
      </c>
      <c r="B240" s="10" t="str">
        <f aca="false">INDEX('Site-uri'!$B$2:$B$20,MATCH(A240,'Site-uri'!$A$2:$A$20,0))</f>
        <v>aiventure.uk</v>
      </c>
      <c r="C240" s="10" t="s">
        <v>109</v>
      </c>
      <c r="D240" s="10" t="s">
        <v>231</v>
      </c>
      <c r="E240" s="10" t="str">
        <f aca="false">INDEX(Canale!$C$2:$C$30,MATCH(C240,Canale!$A$2:$A$30,0))</f>
        <v>linkedin_company</v>
      </c>
      <c r="F240" s="10" t="str">
        <f aca="false">INDEX(Canale!$D$2:$D$30,MATCH(C240,Canale!$A$2:$A$30,0))</f>
        <v>social</v>
      </c>
      <c r="G240" s="10" t="str">
        <f aca="false">INDEX('Site-uri'!$C$2:$C$20,MATCH(A240,'Site-uri'!$A$2:$A$20,0))</f>
        <v>/</v>
      </c>
      <c r="H240" s="10" t="str">
        <f aca="false">Config!$B$3</f>
        <v>2610_ff_lansare</v>
      </c>
      <c r="I240" s="10" t="str">
        <f aca="false">D240&amp;"_"&amp;Config!$B$4</f>
        <v>fierbinte_general</v>
      </c>
      <c r="J240" s="10" t="str">
        <f aca="false">"https://"&amp;B240&amp;G240&amp;"?utm_source="&amp;E240&amp;"&amp;utm_medium="&amp;F240&amp;"&amp;utm_campaign="&amp;H240&amp;"&amp;utm_content="&amp;I240</f>
        <v>https://aiventure.uk/?utm_source=linkedin_company&amp;utm_medium=social&amp;utm_campaign=2610_ff_lansare&amp;utm_content=fierbinte_general</v>
      </c>
    </row>
    <row r="241" customFormat="false" ht="15" hidden="false" customHeight="false" outlineLevel="0" collapsed="false">
      <c r="A241" s="10" t="s">
        <v>53</v>
      </c>
      <c r="B241" s="10" t="str">
        <f aca="false">INDEX('Site-uri'!$B$2:$B$20,MATCH(A241,'Site-uri'!$A$2:$A$20,0))</f>
        <v>aiventure.uk</v>
      </c>
      <c r="C241" s="10" t="s">
        <v>109</v>
      </c>
      <c r="D241" s="10" t="s">
        <v>237</v>
      </c>
      <c r="E241" s="10" t="str">
        <f aca="false">INDEX(Canale!$C$2:$C$30,MATCH(C241,Canale!$A$2:$A$30,0))</f>
        <v>linkedin_company</v>
      </c>
      <c r="F241" s="10" t="str">
        <f aca="false">INDEX(Canale!$D$2:$D$30,MATCH(C241,Canale!$A$2:$A$30,0))</f>
        <v>social</v>
      </c>
      <c r="G241" s="10" t="str">
        <f aca="false">INDEX('Site-uri'!$C$2:$C$20,MATCH(A241,'Site-uri'!$A$2:$A$20,0))</f>
        <v>/</v>
      </c>
      <c r="H241" s="10" t="str">
        <f aca="false">Config!$B$3</f>
        <v>2610_ff_lansare</v>
      </c>
      <c r="I241" s="10" t="str">
        <f aca="false">D241&amp;"_"&amp;Config!$B$4</f>
        <v>client_general</v>
      </c>
      <c r="J241" s="10" t="str">
        <f aca="false">"https://"&amp;B241&amp;G241&amp;"?utm_source="&amp;E241&amp;"&amp;utm_medium="&amp;F241&amp;"&amp;utm_campaign="&amp;H241&amp;"&amp;utm_content="&amp;I241</f>
        <v>https://aiventure.uk/?utm_source=linkedin_company&amp;utm_medium=social&amp;utm_campaign=2610_ff_lansare&amp;utm_content=client_general</v>
      </c>
    </row>
    <row r="242" customFormat="false" ht="15" hidden="false" customHeight="false" outlineLevel="0" collapsed="false">
      <c r="A242" s="10" t="s">
        <v>53</v>
      </c>
      <c r="B242" s="10" t="str">
        <f aca="false">INDEX('Site-uri'!$B$2:$B$20,MATCH(A242,'Site-uri'!$A$2:$A$20,0))</f>
        <v>aiventure.uk</v>
      </c>
      <c r="C242" s="10" t="s">
        <v>112</v>
      </c>
      <c r="D242" s="10" t="s">
        <v>219</v>
      </c>
      <c r="E242" s="10" t="str">
        <f aca="false">INDEX(Canale!$C$2:$C$30,MATCH(C242,Canale!$A$2:$A$30,0))</f>
        <v>linkedin_showcase</v>
      </c>
      <c r="F242" s="10" t="str">
        <f aca="false">INDEX(Canale!$D$2:$D$30,MATCH(C242,Canale!$A$2:$A$30,0))</f>
        <v>social</v>
      </c>
      <c r="G242" s="10" t="str">
        <f aca="false">INDEX('Site-uri'!$C$2:$C$20,MATCH(A242,'Site-uri'!$A$2:$A$20,0))</f>
        <v>/</v>
      </c>
      <c r="H242" s="10" t="str">
        <f aca="false">Config!$B$3</f>
        <v>2610_ff_lansare</v>
      </c>
      <c r="I242" s="10" t="str">
        <f aca="false">D242&amp;"_"&amp;Config!$B$4</f>
        <v>rece_general</v>
      </c>
      <c r="J242" s="10" t="str">
        <f aca="false">"https://"&amp;B242&amp;G242&amp;"?utm_source="&amp;E242&amp;"&amp;utm_medium="&amp;F242&amp;"&amp;utm_campaign="&amp;H242&amp;"&amp;utm_content="&amp;I242</f>
        <v>https://aiventure.uk/?utm_source=linkedin_showcase&amp;utm_medium=social&amp;utm_campaign=2610_ff_lansare&amp;utm_content=rece_general</v>
      </c>
    </row>
    <row r="243" customFormat="false" ht="15" hidden="false" customHeight="false" outlineLevel="0" collapsed="false">
      <c r="A243" s="10" t="s">
        <v>53</v>
      </c>
      <c r="B243" s="10" t="str">
        <f aca="false">INDEX('Site-uri'!$B$2:$B$20,MATCH(A243,'Site-uri'!$A$2:$A$20,0))</f>
        <v>aiventure.uk</v>
      </c>
      <c r="C243" s="10" t="s">
        <v>112</v>
      </c>
      <c r="D243" s="10" t="s">
        <v>225</v>
      </c>
      <c r="E243" s="10" t="str">
        <f aca="false">INDEX(Canale!$C$2:$C$30,MATCH(C243,Canale!$A$2:$A$30,0))</f>
        <v>linkedin_showcase</v>
      </c>
      <c r="F243" s="10" t="str">
        <f aca="false">INDEX(Canale!$D$2:$D$30,MATCH(C243,Canale!$A$2:$A$30,0))</f>
        <v>social</v>
      </c>
      <c r="G243" s="10" t="str">
        <f aca="false">INDEX('Site-uri'!$C$2:$C$20,MATCH(A243,'Site-uri'!$A$2:$A$20,0))</f>
        <v>/</v>
      </c>
      <c r="H243" s="10" t="str">
        <f aca="false">Config!$B$3</f>
        <v>2610_ff_lansare</v>
      </c>
      <c r="I243" s="10" t="str">
        <f aca="false">D243&amp;"_"&amp;Config!$B$4</f>
        <v>cald_general</v>
      </c>
      <c r="J243" s="10" t="str">
        <f aca="false">"https://"&amp;B243&amp;G243&amp;"?utm_source="&amp;E243&amp;"&amp;utm_medium="&amp;F243&amp;"&amp;utm_campaign="&amp;H243&amp;"&amp;utm_content="&amp;I243</f>
        <v>https://aiventure.uk/?utm_source=linkedin_showcase&amp;utm_medium=social&amp;utm_campaign=2610_ff_lansare&amp;utm_content=cald_general</v>
      </c>
    </row>
    <row r="244" customFormat="false" ht="15" hidden="false" customHeight="false" outlineLevel="0" collapsed="false">
      <c r="A244" s="10" t="s">
        <v>53</v>
      </c>
      <c r="B244" s="10" t="str">
        <f aca="false">INDEX('Site-uri'!$B$2:$B$20,MATCH(A244,'Site-uri'!$A$2:$A$20,0))</f>
        <v>aiventure.uk</v>
      </c>
      <c r="C244" s="10" t="s">
        <v>112</v>
      </c>
      <c r="D244" s="10" t="s">
        <v>231</v>
      </c>
      <c r="E244" s="10" t="str">
        <f aca="false">INDEX(Canale!$C$2:$C$30,MATCH(C244,Canale!$A$2:$A$30,0))</f>
        <v>linkedin_showcase</v>
      </c>
      <c r="F244" s="10" t="str">
        <f aca="false">INDEX(Canale!$D$2:$D$30,MATCH(C244,Canale!$A$2:$A$30,0))</f>
        <v>social</v>
      </c>
      <c r="G244" s="10" t="str">
        <f aca="false">INDEX('Site-uri'!$C$2:$C$20,MATCH(A244,'Site-uri'!$A$2:$A$20,0))</f>
        <v>/</v>
      </c>
      <c r="H244" s="10" t="str">
        <f aca="false">Config!$B$3</f>
        <v>2610_ff_lansare</v>
      </c>
      <c r="I244" s="10" t="str">
        <f aca="false">D244&amp;"_"&amp;Config!$B$4</f>
        <v>fierbinte_general</v>
      </c>
      <c r="J244" s="10" t="str">
        <f aca="false">"https://"&amp;B244&amp;G244&amp;"?utm_source="&amp;E244&amp;"&amp;utm_medium="&amp;F244&amp;"&amp;utm_campaign="&amp;H244&amp;"&amp;utm_content="&amp;I244</f>
        <v>https://aiventure.uk/?utm_source=linkedin_showcase&amp;utm_medium=social&amp;utm_campaign=2610_ff_lansare&amp;utm_content=fierbinte_general</v>
      </c>
    </row>
    <row r="245" customFormat="false" ht="15" hidden="false" customHeight="false" outlineLevel="0" collapsed="false">
      <c r="A245" s="10" t="s">
        <v>53</v>
      </c>
      <c r="B245" s="10" t="str">
        <f aca="false">INDEX('Site-uri'!$B$2:$B$20,MATCH(A245,'Site-uri'!$A$2:$A$20,0))</f>
        <v>aiventure.uk</v>
      </c>
      <c r="C245" s="10" t="s">
        <v>112</v>
      </c>
      <c r="D245" s="10" t="s">
        <v>237</v>
      </c>
      <c r="E245" s="10" t="str">
        <f aca="false">INDEX(Canale!$C$2:$C$30,MATCH(C245,Canale!$A$2:$A$30,0))</f>
        <v>linkedin_showcase</v>
      </c>
      <c r="F245" s="10" t="str">
        <f aca="false">INDEX(Canale!$D$2:$D$30,MATCH(C245,Canale!$A$2:$A$30,0))</f>
        <v>social</v>
      </c>
      <c r="G245" s="10" t="str">
        <f aca="false">INDEX('Site-uri'!$C$2:$C$20,MATCH(A245,'Site-uri'!$A$2:$A$20,0))</f>
        <v>/</v>
      </c>
      <c r="H245" s="10" t="str">
        <f aca="false">Config!$B$3</f>
        <v>2610_ff_lansare</v>
      </c>
      <c r="I245" s="10" t="str">
        <f aca="false">D245&amp;"_"&amp;Config!$B$4</f>
        <v>client_general</v>
      </c>
      <c r="J245" s="10" t="str">
        <f aca="false">"https://"&amp;B245&amp;G245&amp;"?utm_source="&amp;E245&amp;"&amp;utm_medium="&amp;F245&amp;"&amp;utm_campaign="&amp;H245&amp;"&amp;utm_content="&amp;I245</f>
        <v>https://aiventure.uk/?utm_source=linkedin_showcase&amp;utm_medium=social&amp;utm_campaign=2610_ff_lansare&amp;utm_content=client_general</v>
      </c>
    </row>
    <row r="246" customFormat="false" ht="15" hidden="false" customHeight="false" outlineLevel="0" collapsed="false">
      <c r="A246" s="10" t="s">
        <v>53</v>
      </c>
      <c r="B246" s="10" t="str">
        <f aca="false">INDEX('Site-uri'!$B$2:$B$20,MATCH(A246,'Site-uri'!$A$2:$A$20,0))</f>
        <v>aiventure.uk</v>
      </c>
      <c r="C246" s="10" t="s">
        <v>115</v>
      </c>
      <c r="D246" s="10" t="s">
        <v>219</v>
      </c>
      <c r="E246" s="10" t="str">
        <f aca="false">INDEX(Canale!$C$2:$C$30,MATCH(C246,Canale!$A$2:$A$30,0))</f>
        <v>linkedin_newsletter</v>
      </c>
      <c r="F246" s="10" t="str">
        <f aca="false">INDEX(Canale!$D$2:$D$30,MATCH(C246,Canale!$A$2:$A$30,0))</f>
        <v>social</v>
      </c>
      <c r="G246" s="10" t="str">
        <f aca="false">INDEX('Site-uri'!$C$2:$C$20,MATCH(A246,'Site-uri'!$A$2:$A$20,0))</f>
        <v>/</v>
      </c>
      <c r="H246" s="10" t="str">
        <f aca="false">Config!$B$3</f>
        <v>2610_ff_lansare</v>
      </c>
      <c r="I246" s="10" t="str">
        <f aca="false">D246&amp;"_"&amp;Config!$B$4</f>
        <v>rece_general</v>
      </c>
      <c r="J246" s="10" t="str">
        <f aca="false">"https://"&amp;B246&amp;G246&amp;"?utm_source="&amp;E246&amp;"&amp;utm_medium="&amp;F246&amp;"&amp;utm_campaign="&amp;H246&amp;"&amp;utm_content="&amp;I246</f>
        <v>https://aiventure.uk/?utm_source=linkedin_newsletter&amp;utm_medium=social&amp;utm_campaign=2610_ff_lansare&amp;utm_content=rece_general</v>
      </c>
    </row>
    <row r="247" customFormat="false" ht="15" hidden="false" customHeight="false" outlineLevel="0" collapsed="false">
      <c r="A247" s="10" t="s">
        <v>53</v>
      </c>
      <c r="B247" s="10" t="str">
        <f aca="false">INDEX('Site-uri'!$B$2:$B$20,MATCH(A247,'Site-uri'!$A$2:$A$20,0))</f>
        <v>aiventure.uk</v>
      </c>
      <c r="C247" s="10" t="s">
        <v>115</v>
      </c>
      <c r="D247" s="10" t="s">
        <v>225</v>
      </c>
      <c r="E247" s="10" t="str">
        <f aca="false">INDEX(Canale!$C$2:$C$30,MATCH(C247,Canale!$A$2:$A$30,0))</f>
        <v>linkedin_newsletter</v>
      </c>
      <c r="F247" s="10" t="str">
        <f aca="false">INDEX(Canale!$D$2:$D$30,MATCH(C247,Canale!$A$2:$A$30,0))</f>
        <v>social</v>
      </c>
      <c r="G247" s="10" t="str">
        <f aca="false">INDEX('Site-uri'!$C$2:$C$20,MATCH(A247,'Site-uri'!$A$2:$A$20,0))</f>
        <v>/</v>
      </c>
      <c r="H247" s="10" t="str">
        <f aca="false">Config!$B$3</f>
        <v>2610_ff_lansare</v>
      </c>
      <c r="I247" s="10" t="str">
        <f aca="false">D247&amp;"_"&amp;Config!$B$4</f>
        <v>cald_general</v>
      </c>
      <c r="J247" s="10" t="str">
        <f aca="false">"https://"&amp;B247&amp;G247&amp;"?utm_source="&amp;E247&amp;"&amp;utm_medium="&amp;F247&amp;"&amp;utm_campaign="&amp;H247&amp;"&amp;utm_content="&amp;I247</f>
        <v>https://aiventure.uk/?utm_source=linkedin_newsletter&amp;utm_medium=social&amp;utm_campaign=2610_ff_lansare&amp;utm_content=cald_general</v>
      </c>
    </row>
    <row r="248" customFormat="false" ht="15" hidden="false" customHeight="false" outlineLevel="0" collapsed="false">
      <c r="A248" s="10" t="s">
        <v>53</v>
      </c>
      <c r="B248" s="10" t="str">
        <f aca="false">INDEX('Site-uri'!$B$2:$B$20,MATCH(A248,'Site-uri'!$A$2:$A$20,0))</f>
        <v>aiventure.uk</v>
      </c>
      <c r="C248" s="10" t="s">
        <v>115</v>
      </c>
      <c r="D248" s="10" t="s">
        <v>231</v>
      </c>
      <c r="E248" s="10" t="str">
        <f aca="false">INDEX(Canale!$C$2:$C$30,MATCH(C248,Canale!$A$2:$A$30,0))</f>
        <v>linkedin_newsletter</v>
      </c>
      <c r="F248" s="10" t="str">
        <f aca="false">INDEX(Canale!$D$2:$D$30,MATCH(C248,Canale!$A$2:$A$30,0))</f>
        <v>social</v>
      </c>
      <c r="G248" s="10" t="str">
        <f aca="false">INDEX('Site-uri'!$C$2:$C$20,MATCH(A248,'Site-uri'!$A$2:$A$20,0))</f>
        <v>/</v>
      </c>
      <c r="H248" s="10" t="str">
        <f aca="false">Config!$B$3</f>
        <v>2610_ff_lansare</v>
      </c>
      <c r="I248" s="10" t="str">
        <f aca="false">D248&amp;"_"&amp;Config!$B$4</f>
        <v>fierbinte_general</v>
      </c>
      <c r="J248" s="10" t="str">
        <f aca="false">"https://"&amp;B248&amp;G248&amp;"?utm_source="&amp;E248&amp;"&amp;utm_medium="&amp;F248&amp;"&amp;utm_campaign="&amp;H248&amp;"&amp;utm_content="&amp;I248</f>
        <v>https://aiventure.uk/?utm_source=linkedin_newsletter&amp;utm_medium=social&amp;utm_campaign=2610_ff_lansare&amp;utm_content=fierbinte_general</v>
      </c>
    </row>
    <row r="249" customFormat="false" ht="15" hidden="false" customHeight="false" outlineLevel="0" collapsed="false">
      <c r="A249" s="10" t="s">
        <v>53</v>
      </c>
      <c r="B249" s="10" t="str">
        <f aca="false">INDEX('Site-uri'!$B$2:$B$20,MATCH(A249,'Site-uri'!$A$2:$A$20,0))</f>
        <v>aiventure.uk</v>
      </c>
      <c r="C249" s="10" t="s">
        <v>115</v>
      </c>
      <c r="D249" s="10" t="s">
        <v>237</v>
      </c>
      <c r="E249" s="10" t="str">
        <f aca="false">INDEX(Canale!$C$2:$C$30,MATCH(C249,Canale!$A$2:$A$30,0))</f>
        <v>linkedin_newsletter</v>
      </c>
      <c r="F249" s="10" t="str">
        <f aca="false">INDEX(Canale!$D$2:$D$30,MATCH(C249,Canale!$A$2:$A$30,0))</f>
        <v>social</v>
      </c>
      <c r="G249" s="10" t="str">
        <f aca="false">INDEX('Site-uri'!$C$2:$C$20,MATCH(A249,'Site-uri'!$A$2:$A$20,0))</f>
        <v>/</v>
      </c>
      <c r="H249" s="10" t="str">
        <f aca="false">Config!$B$3</f>
        <v>2610_ff_lansare</v>
      </c>
      <c r="I249" s="10" t="str">
        <f aca="false">D249&amp;"_"&amp;Config!$B$4</f>
        <v>client_general</v>
      </c>
      <c r="J249" s="10" t="str">
        <f aca="false">"https://"&amp;B249&amp;G249&amp;"?utm_source="&amp;E249&amp;"&amp;utm_medium="&amp;F249&amp;"&amp;utm_campaign="&amp;H249&amp;"&amp;utm_content="&amp;I249</f>
        <v>https://aiventure.uk/?utm_source=linkedin_newsletter&amp;utm_medium=social&amp;utm_campaign=2610_ff_lansare&amp;utm_content=client_general</v>
      </c>
    </row>
    <row r="250" customFormat="false" ht="15" hidden="false" customHeight="false" outlineLevel="0" collapsed="false">
      <c r="A250" s="10" t="s">
        <v>53</v>
      </c>
      <c r="B250" s="10" t="str">
        <f aca="false">INDEX('Site-uri'!$B$2:$B$20,MATCH(A250,'Site-uri'!$A$2:$A$20,0))</f>
        <v>aiventure.uk</v>
      </c>
      <c r="C250" s="10" t="s">
        <v>118</v>
      </c>
      <c r="D250" s="10" t="s">
        <v>219</v>
      </c>
      <c r="E250" s="10" t="str">
        <f aca="false">INDEX(Canale!$C$2:$C$30,MATCH(C250,Canale!$A$2:$A$30,0))</f>
        <v>linkedin_ads</v>
      </c>
      <c r="F250" s="10" t="str">
        <f aca="false">INDEX(Canale!$D$2:$D$30,MATCH(C250,Canale!$A$2:$A$30,0))</f>
        <v>paid_social</v>
      </c>
      <c r="G250" s="10" t="str">
        <f aca="false">INDEX('Site-uri'!$C$2:$C$20,MATCH(A250,'Site-uri'!$A$2:$A$20,0))</f>
        <v>/</v>
      </c>
      <c r="H250" s="10" t="str">
        <f aca="false">Config!$B$3</f>
        <v>2610_ff_lansare</v>
      </c>
      <c r="I250" s="10" t="str">
        <f aca="false">D250&amp;"_"&amp;Config!$B$4</f>
        <v>rece_general</v>
      </c>
      <c r="J250" s="10" t="str">
        <f aca="false">"https://"&amp;B250&amp;G250&amp;"?utm_source="&amp;E250&amp;"&amp;utm_medium="&amp;F250&amp;"&amp;utm_campaign="&amp;H250&amp;"&amp;utm_content="&amp;I250</f>
        <v>https://aiventure.uk/?utm_source=linkedin_ads&amp;utm_medium=paid_social&amp;utm_campaign=2610_ff_lansare&amp;utm_content=rece_general</v>
      </c>
    </row>
    <row r="251" customFormat="false" ht="15" hidden="false" customHeight="false" outlineLevel="0" collapsed="false">
      <c r="A251" s="10" t="s">
        <v>53</v>
      </c>
      <c r="B251" s="10" t="str">
        <f aca="false">INDEX('Site-uri'!$B$2:$B$20,MATCH(A251,'Site-uri'!$A$2:$A$20,0))</f>
        <v>aiventure.uk</v>
      </c>
      <c r="C251" s="10" t="s">
        <v>118</v>
      </c>
      <c r="D251" s="10" t="s">
        <v>225</v>
      </c>
      <c r="E251" s="10" t="str">
        <f aca="false">INDEX(Canale!$C$2:$C$30,MATCH(C251,Canale!$A$2:$A$30,0))</f>
        <v>linkedin_ads</v>
      </c>
      <c r="F251" s="10" t="str">
        <f aca="false">INDEX(Canale!$D$2:$D$30,MATCH(C251,Canale!$A$2:$A$30,0))</f>
        <v>paid_social</v>
      </c>
      <c r="G251" s="10" t="str">
        <f aca="false">INDEX('Site-uri'!$C$2:$C$20,MATCH(A251,'Site-uri'!$A$2:$A$20,0))</f>
        <v>/</v>
      </c>
      <c r="H251" s="10" t="str">
        <f aca="false">Config!$B$3</f>
        <v>2610_ff_lansare</v>
      </c>
      <c r="I251" s="10" t="str">
        <f aca="false">D251&amp;"_"&amp;Config!$B$4</f>
        <v>cald_general</v>
      </c>
      <c r="J251" s="10" t="str">
        <f aca="false">"https://"&amp;B251&amp;G251&amp;"?utm_source="&amp;E251&amp;"&amp;utm_medium="&amp;F251&amp;"&amp;utm_campaign="&amp;H251&amp;"&amp;utm_content="&amp;I251</f>
        <v>https://aiventure.uk/?utm_source=linkedin_ads&amp;utm_medium=paid_social&amp;utm_campaign=2610_ff_lansare&amp;utm_content=cald_general</v>
      </c>
    </row>
    <row r="252" customFormat="false" ht="15" hidden="false" customHeight="false" outlineLevel="0" collapsed="false">
      <c r="A252" s="10" t="s">
        <v>53</v>
      </c>
      <c r="B252" s="10" t="str">
        <f aca="false">INDEX('Site-uri'!$B$2:$B$20,MATCH(A252,'Site-uri'!$A$2:$A$20,0))</f>
        <v>aiventure.uk</v>
      </c>
      <c r="C252" s="10" t="s">
        <v>118</v>
      </c>
      <c r="D252" s="10" t="s">
        <v>231</v>
      </c>
      <c r="E252" s="10" t="str">
        <f aca="false">INDEX(Canale!$C$2:$C$30,MATCH(C252,Canale!$A$2:$A$30,0))</f>
        <v>linkedin_ads</v>
      </c>
      <c r="F252" s="10" t="str">
        <f aca="false">INDEX(Canale!$D$2:$D$30,MATCH(C252,Canale!$A$2:$A$30,0))</f>
        <v>paid_social</v>
      </c>
      <c r="G252" s="10" t="str">
        <f aca="false">INDEX('Site-uri'!$C$2:$C$20,MATCH(A252,'Site-uri'!$A$2:$A$20,0))</f>
        <v>/</v>
      </c>
      <c r="H252" s="10" t="str">
        <f aca="false">Config!$B$3</f>
        <v>2610_ff_lansare</v>
      </c>
      <c r="I252" s="10" t="str">
        <f aca="false">D252&amp;"_"&amp;Config!$B$4</f>
        <v>fierbinte_general</v>
      </c>
      <c r="J252" s="10" t="str">
        <f aca="false">"https://"&amp;B252&amp;G252&amp;"?utm_source="&amp;E252&amp;"&amp;utm_medium="&amp;F252&amp;"&amp;utm_campaign="&amp;H252&amp;"&amp;utm_content="&amp;I252</f>
        <v>https://aiventure.uk/?utm_source=linkedin_ads&amp;utm_medium=paid_social&amp;utm_campaign=2610_ff_lansare&amp;utm_content=fierbinte_general</v>
      </c>
    </row>
    <row r="253" customFormat="false" ht="15" hidden="false" customHeight="false" outlineLevel="0" collapsed="false">
      <c r="A253" s="10" t="s">
        <v>53</v>
      </c>
      <c r="B253" s="10" t="str">
        <f aca="false">INDEX('Site-uri'!$B$2:$B$20,MATCH(A253,'Site-uri'!$A$2:$A$20,0))</f>
        <v>aiventure.uk</v>
      </c>
      <c r="C253" s="10" t="s">
        <v>118</v>
      </c>
      <c r="D253" s="10" t="s">
        <v>237</v>
      </c>
      <c r="E253" s="10" t="str">
        <f aca="false">INDEX(Canale!$C$2:$C$30,MATCH(C253,Canale!$A$2:$A$30,0))</f>
        <v>linkedin_ads</v>
      </c>
      <c r="F253" s="10" t="str">
        <f aca="false">INDEX(Canale!$D$2:$D$30,MATCH(C253,Canale!$A$2:$A$30,0))</f>
        <v>paid_social</v>
      </c>
      <c r="G253" s="10" t="str">
        <f aca="false">INDEX('Site-uri'!$C$2:$C$20,MATCH(A253,'Site-uri'!$A$2:$A$20,0))</f>
        <v>/</v>
      </c>
      <c r="H253" s="10" t="str">
        <f aca="false">Config!$B$3</f>
        <v>2610_ff_lansare</v>
      </c>
      <c r="I253" s="10" t="str">
        <f aca="false">D253&amp;"_"&amp;Config!$B$4</f>
        <v>client_general</v>
      </c>
      <c r="J253" s="10" t="str">
        <f aca="false">"https://"&amp;B253&amp;G253&amp;"?utm_source="&amp;E253&amp;"&amp;utm_medium="&amp;F253&amp;"&amp;utm_campaign="&amp;H253&amp;"&amp;utm_content="&amp;I253</f>
        <v>https://aiventure.uk/?utm_source=linkedin_ads&amp;utm_medium=paid_social&amp;utm_campaign=2610_ff_lansare&amp;utm_content=client_general</v>
      </c>
    </row>
    <row r="254" customFormat="false" ht="15" hidden="false" customHeight="false" outlineLevel="0" collapsed="false">
      <c r="A254" s="10" t="s">
        <v>53</v>
      </c>
      <c r="B254" s="10" t="str">
        <f aca="false">INDEX('Site-uri'!$B$2:$B$20,MATCH(A254,'Site-uri'!$A$2:$A$20,0))</f>
        <v>aiventure.uk</v>
      </c>
      <c r="C254" s="10" t="s">
        <v>122</v>
      </c>
      <c r="D254" s="10" t="s">
        <v>219</v>
      </c>
      <c r="E254" s="10" t="str">
        <f aca="false">INDEX(Canale!$C$2:$C$30,MATCH(C254,Canale!$A$2:$A$30,0))</f>
        <v>linkedin_dm</v>
      </c>
      <c r="F254" s="10" t="str">
        <f aca="false">INDEX(Canale!$D$2:$D$30,MATCH(C254,Canale!$A$2:$A$30,0))</f>
        <v>dm</v>
      </c>
      <c r="G254" s="10" t="str">
        <f aca="false">INDEX('Site-uri'!$C$2:$C$20,MATCH(A254,'Site-uri'!$A$2:$A$20,0))</f>
        <v>/</v>
      </c>
      <c r="H254" s="10" t="str">
        <f aca="false">Config!$B$3</f>
        <v>2610_ff_lansare</v>
      </c>
      <c r="I254" s="10" t="str">
        <f aca="false">D254&amp;"_"&amp;Config!$B$4</f>
        <v>rece_general</v>
      </c>
      <c r="J254" s="10" t="str">
        <f aca="false">"https://"&amp;B254&amp;G254&amp;"?utm_source="&amp;E254&amp;"&amp;utm_medium="&amp;F254&amp;"&amp;utm_campaign="&amp;H254&amp;"&amp;utm_content="&amp;I254</f>
        <v>https://aiventure.uk/?utm_source=linkedin_dm&amp;utm_medium=dm&amp;utm_campaign=2610_ff_lansare&amp;utm_content=rece_general</v>
      </c>
    </row>
    <row r="255" customFormat="false" ht="15" hidden="false" customHeight="false" outlineLevel="0" collapsed="false">
      <c r="A255" s="10" t="s">
        <v>53</v>
      </c>
      <c r="B255" s="10" t="str">
        <f aca="false">INDEX('Site-uri'!$B$2:$B$20,MATCH(A255,'Site-uri'!$A$2:$A$20,0))</f>
        <v>aiventure.uk</v>
      </c>
      <c r="C255" s="10" t="s">
        <v>122</v>
      </c>
      <c r="D255" s="10" t="s">
        <v>225</v>
      </c>
      <c r="E255" s="10" t="str">
        <f aca="false">INDEX(Canale!$C$2:$C$30,MATCH(C255,Canale!$A$2:$A$30,0))</f>
        <v>linkedin_dm</v>
      </c>
      <c r="F255" s="10" t="str">
        <f aca="false">INDEX(Canale!$D$2:$D$30,MATCH(C255,Canale!$A$2:$A$30,0))</f>
        <v>dm</v>
      </c>
      <c r="G255" s="10" t="str">
        <f aca="false">INDEX('Site-uri'!$C$2:$C$20,MATCH(A255,'Site-uri'!$A$2:$A$20,0))</f>
        <v>/</v>
      </c>
      <c r="H255" s="10" t="str">
        <f aca="false">Config!$B$3</f>
        <v>2610_ff_lansare</v>
      </c>
      <c r="I255" s="10" t="str">
        <f aca="false">D255&amp;"_"&amp;Config!$B$4</f>
        <v>cald_general</v>
      </c>
      <c r="J255" s="10" t="str">
        <f aca="false">"https://"&amp;B255&amp;G255&amp;"?utm_source="&amp;E255&amp;"&amp;utm_medium="&amp;F255&amp;"&amp;utm_campaign="&amp;H255&amp;"&amp;utm_content="&amp;I255</f>
        <v>https://aiventure.uk/?utm_source=linkedin_dm&amp;utm_medium=dm&amp;utm_campaign=2610_ff_lansare&amp;utm_content=cald_general</v>
      </c>
    </row>
    <row r="256" customFormat="false" ht="15" hidden="false" customHeight="false" outlineLevel="0" collapsed="false">
      <c r="A256" s="10" t="s">
        <v>53</v>
      </c>
      <c r="B256" s="10" t="str">
        <f aca="false">INDEX('Site-uri'!$B$2:$B$20,MATCH(A256,'Site-uri'!$A$2:$A$20,0))</f>
        <v>aiventure.uk</v>
      </c>
      <c r="C256" s="10" t="s">
        <v>122</v>
      </c>
      <c r="D256" s="10" t="s">
        <v>231</v>
      </c>
      <c r="E256" s="10" t="str">
        <f aca="false">INDEX(Canale!$C$2:$C$30,MATCH(C256,Canale!$A$2:$A$30,0))</f>
        <v>linkedin_dm</v>
      </c>
      <c r="F256" s="10" t="str">
        <f aca="false">INDEX(Canale!$D$2:$D$30,MATCH(C256,Canale!$A$2:$A$30,0))</f>
        <v>dm</v>
      </c>
      <c r="G256" s="10" t="str">
        <f aca="false">INDEX('Site-uri'!$C$2:$C$20,MATCH(A256,'Site-uri'!$A$2:$A$20,0))</f>
        <v>/</v>
      </c>
      <c r="H256" s="10" t="str">
        <f aca="false">Config!$B$3</f>
        <v>2610_ff_lansare</v>
      </c>
      <c r="I256" s="10" t="str">
        <f aca="false">D256&amp;"_"&amp;Config!$B$4</f>
        <v>fierbinte_general</v>
      </c>
      <c r="J256" s="10" t="str">
        <f aca="false">"https://"&amp;B256&amp;G256&amp;"?utm_source="&amp;E256&amp;"&amp;utm_medium="&amp;F256&amp;"&amp;utm_campaign="&amp;H256&amp;"&amp;utm_content="&amp;I256</f>
        <v>https://aiventure.uk/?utm_source=linkedin_dm&amp;utm_medium=dm&amp;utm_campaign=2610_ff_lansare&amp;utm_content=fierbinte_general</v>
      </c>
    </row>
    <row r="257" customFormat="false" ht="15" hidden="false" customHeight="false" outlineLevel="0" collapsed="false">
      <c r="A257" s="10" t="s">
        <v>53</v>
      </c>
      <c r="B257" s="10" t="str">
        <f aca="false">INDEX('Site-uri'!$B$2:$B$20,MATCH(A257,'Site-uri'!$A$2:$A$20,0))</f>
        <v>aiventure.uk</v>
      </c>
      <c r="C257" s="10" t="s">
        <v>122</v>
      </c>
      <c r="D257" s="10" t="s">
        <v>237</v>
      </c>
      <c r="E257" s="10" t="str">
        <f aca="false">INDEX(Canale!$C$2:$C$30,MATCH(C257,Canale!$A$2:$A$30,0))</f>
        <v>linkedin_dm</v>
      </c>
      <c r="F257" s="10" t="str">
        <f aca="false">INDEX(Canale!$D$2:$D$30,MATCH(C257,Canale!$A$2:$A$30,0))</f>
        <v>dm</v>
      </c>
      <c r="G257" s="10" t="str">
        <f aca="false">INDEX('Site-uri'!$C$2:$C$20,MATCH(A257,'Site-uri'!$A$2:$A$20,0))</f>
        <v>/</v>
      </c>
      <c r="H257" s="10" t="str">
        <f aca="false">Config!$B$3</f>
        <v>2610_ff_lansare</v>
      </c>
      <c r="I257" s="10" t="str">
        <f aca="false">D257&amp;"_"&amp;Config!$B$4</f>
        <v>client_general</v>
      </c>
      <c r="J257" s="10" t="str">
        <f aca="false">"https://"&amp;B257&amp;G257&amp;"?utm_source="&amp;E257&amp;"&amp;utm_medium="&amp;F257&amp;"&amp;utm_campaign="&amp;H257&amp;"&amp;utm_content="&amp;I257</f>
        <v>https://aiventure.uk/?utm_source=linkedin_dm&amp;utm_medium=dm&amp;utm_campaign=2610_ff_lansare&amp;utm_content=client_general</v>
      </c>
    </row>
    <row r="258" customFormat="false" ht="15" hidden="false" customHeight="false" outlineLevel="0" collapsed="false">
      <c r="A258" s="10" t="s">
        <v>53</v>
      </c>
      <c r="B258" s="10" t="str">
        <f aca="false">INDEX('Site-uri'!$B$2:$B$20,MATCH(A258,'Site-uri'!$A$2:$A$20,0))</f>
        <v>aiventure.uk</v>
      </c>
      <c r="C258" s="10" t="s">
        <v>126</v>
      </c>
      <c r="D258" s="10" t="s">
        <v>219</v>
      </c>
      <c r="E258" s="10" t="str">
        <f aca="false">INDEX(Canale!$C$2:$C$30,MATCH(C258,Canale!$A$2:$A$30,0))</f>
        <v>email_outreach</v>
      </c>
      <c r="F258" s="10" t="str">
        <f aca="false">INDEX(Canale!$D$2:$D$30,MATCH(C258,Canale!$A$2:$A$30,0))</f>
        <v>email</v>
      </c>
      <c r="G258" s="10" t="str">
        <f aca="false">INDEX('Site-uri'!$C$2:$C$20,MATCH(A258,'Site-uri'!$A$2:$A$20,0))</f>
        <v>/</v>
      </c>
      <c r="H258" s="10" t="str">
        <f aca="false">Config!$B$3</f>
        <v>2610_ff_lansare</v>
      </c>
      <c r="I258" s="10" t="str">
        <f aca="false">D258&amp;"_"&amp;Config!$B$4</f>
        <v>rece_general</v>
      </c>
      <c r="J258" s="10" t="str">
        <f aca="false">"https://"&amp;B258&amp;G258&amp;"?utm_source="&amp;E258&amp;"&amp;utm_medium="&amp;F258&amp;"&amp;utm_campaign="&amp;H258&amp;"&amp;utm_content="&amp;I258</f>
        <v>https://aiventure.uk/?utm_source=email_outreach&amp;utm_medium=email&amp;utm_campaign=2610_ff_lansare&amp;utm_content=rece_general</v>
      </c>
    </row>
    <row r="259" customFormat="false" ht="15" hidden="false" customHeight="false" outlineLevel="0" collapsed="false">
      <c r="A259" s="10" t="s">
        <v>53</v>
      </c>
      <c r="B259" s="10" t="str">
        <f aca="false">INDEX('Site-uri'!$B$2:$B$20,MATCH(A259,'Site-uri'!$A$2:$A$20,0))</f>
        <v>aiventure.uk</v>
      </c>
      <c r="C259" s="10" t="s">
        <v>126</v>
      </c>
      <c r="D259" s="10" t="s">
        <v>225</v>
      </c>
      <c r="E259" s="10" t="str">
        <f aca="false">INDEX(Canale!$C$2:$C$30,MATCH(C259,Canale!$A$2:$A$30,0))</f>
        <v>email_outreach</v>
      </c>
      <c r="F259" s="10" t="str">
        <f aca="false">INDEX(Canale!$D$2:$D$30,MATCH(C259,Canale!$A$2:$A$30,0))</f>
        <v>email</v>
      </c>
      <c r="G259" s="10" t="str">
        <f aca="false">INDEX('Site-uri'!$C$2:$C$20,MATCH(A259,'Site-uri'!$A$2:$A$20,0))</f>
        <v>/</v>
      </c>
      <c r="H259" s="10" t="str">
        <f aca="false">Config!$B$3</f>
        <v>2610_ff_lansare</v>
      </c>
      <c r="I259" s="10" t="str">
        <f aca="false">D259&amp;"_"&amp;Config!$B$4</f>
        <v>cald_general</v>
      </c>
      <c r="J259" s="10" t="str">
        <f aca="false">"https://"&amp;B259&amp;G259&amp;"?utm_source="&amp;E259&amp;"&amp;utm_medium="&amp;F259&amp;"&amp;utm_campaign="&amp;H259&amp;"&amp;utm_content="&amp;I259</f>
        <v>https://aiventure.uk/?utm_source=email_outreach&amp;utm_medium=email&amp;utm_campaign=2610_ff_lansare&amp;utm_content=cald_general</v>
      </c>
    </row>
    <row r="260" customFormat="false" ht="15" hidden="false" customHeight="false" outlineLevel="0" collapsed="false">
      <c r="A260" s="10" t="s">
        <v>53</v>
      </c>
      <c r="B260" s="10" t="str">
        <f aca="false">INDEX('Site-uri'!$B$2:$B$20,MATCH(A260,'Site-uri'!$A$2:$A$20,0))</f>
        <v>aiventure.uk</v>
      </c>
      <c r="C260" s="10" t="s">
        <v>126</v>
      </c>
      <c r="D260" s="10" t="s">
        <v>231</v>
      </c>
      <c r="E260" s="10" t="str">
        <f aca="false">INDEX(Canale!$C$2:$C$30,MATCH(C260,Canale!$A$2:$A$30,0))</f>
        <v>email_outreach</v>
      </c>
      <c r="F260" s="10" t="str">
        <f aca="false">INDEX(Canale!$D$2:$D$30,MATCH(C260,Canale!$A$2:$A$30,0))</f>
        <v>email</v>
      </c>
      <c r="G260" s="10" t="str">
        <f aca="false">INDEX('Site-uri'!$C$2:$C$20,MATCH(A260,'Site-uri'!$A$2:$A$20,0))</f>
        <v>/</v>
      </c>
      <c r="H260" s="10" t="str">
        <f aca="false">Config!$B$3</f>
        <v>2610_ff_lansare</v>
      </c>
      <c r="I260" s="10" t="str">
        <f aca="false">D260&amp;"_"&amp;Config!$B$4</f>
        <v>fierbinte_general</v>
      </c>
      <c r="J260" s="10" t="str">
        <f aca="false">"https://"&amp;B260&amp;G260&amp;"?utm_source="&amp;E260&amp;"&amp;utm_medium="&amp;F260&amp;"&amp;utm_campaign="&amp;H260&amp;"&amp;utm_content="&amp;I260</f>
        <v>https://aiventure.uk/?utm_source=email_outreach&amp;utm_medium=email&amp;utm_campaign=2610_ff_lansare&amp;utm_content=fierbinte_general</v>
      </c>
    </row>
    <row r="261" customFormat="false" ht="15" hidden="false" customHeight="false" outlineLevel="0" collapsed="false">
      <c r="A261" s="10" t="s">
        <v>53</v>
      </c>
      <c r="B261" s="10" t="str">
        <f aca="false">INDEX('Site-uri'!$B$2:$B$20,MATCH(A261,'Site-uri'!$A$2:$A$20,0))</f>
        <v>aiventure.uk</v>
      </c>
      <c r="C261" s="10" t="s">
        <v>126</v>
      </c>
      <c r="D261" s="10" t="s">
        <v>237</v>
      </c>
      <c r="E261" s="10" t="str">
        <f aca="false">INDEX(Canale!$C$2:$C$30,MATCH(C261,Canale!$A$2:$A$30,0))</f>
        <v>email_outreach</v>
      </c>
      <c r="F261" s="10" t="str">
        <f aca="false">INDEX(Canale!$D$2:$D$30,MATCH(C261,Canale!$A$2:$A$30,0))</f>
        <v>email</v>
      </c>
      <c r="G261" s="10" t="str">
        <f aca="false">INDEX('Site-uri'!$C$2:$C$20,MATCH(A261,'Site-uri'!$A$2:$A$20,0))</f>
        <v>/</v>
      </c>
      <c r="H261" s="10" t="str">
        <f aca="false">Config!$B$3</f>
        <v>2610_ff_lansare</v>
      </c>
      <c r="I261" s="10" t="str">
        <f aca="false">D261&amp;"_"&amp;Config!$B$4</f>
        <v>client_general</v>
      </c>
      <c r="J261" s="10" t="str">
        <f aca="false">"https://"&amp;B261&amp;G261&amp;"?utm_source="&amp;E261&amp;"&amp;utm_medium="&amp;F261&amp;"&amp;utm_campaign="&amp;H261&amp;"&amp;utm_content="&amp;I261</f>
        <v>https://aiventure.uk/?utm_source=email_outreach&amp;utm_medium=email&amp;utm_campaign=2610_ff_lansare&amp;utm_content=client_general</v>
      </c>
    </row>
    <row r="262" customFormat="false" ht="15" hidden="false" customHeight="false" outlineLevel="0" collapsed="false">
      <c r="A262" s="10" t="s">
        <v>53</v>
      </c>
      <c r="B262" s="10" t="str">
        <f aca="false">INDEX('Site-uri'!$B$2:$B$20,MATCH(A262,'Site-uri'!$A$2:$A$20,0))</f>
        <v>aiventure.uk</v>
      </c>
      <c r="C262" s="10" t="s">
        <v>131</v>
      </c>
      <c r="D262" s="10" t="s">
        <v>219</v>
      </c>
      <c r="E262" s="10" t="str">
        <f aca="false">INDEX(Canale!$C$2:$C$30,MATCH(C262,Canale!$A$2:$A$30,0))</f>
        <v>newsletter</v>
      </c>
      <c r="F262" s="10" t="str">
        <f aca="false">INDEX(Canale!$D$2:$D$30,MATCH(C262,Canale!$A$2:$A$30,0))</f>
        <v>email</v>
      </c>
      <c r="G262" s="10" t="str">
        <f aca="false">INDEX('Site-uri'!$C$2:$C$20,MATCH(A262,'Site-uri'!$A$2:$A$20,0))</f>
        <v>/</v>
      </c>
      <c r="H262" s="10" t="str">
        <f aca="false">Config!$B$3</f>
        <v>2610_ff_lansare</v>
      </c>
      <c r="I262" s="10" t="str">
        <f aca="false">D262&amp;"_"&amp;Config!$B$4</f>
        <v>rece_general</v>
      </c>
      <c r="J262" s="10" t="str">
        <f aca="false">"https://"&amp;B262&amp;G262&amp;"?utm_source="&amp;E262&amp;"&amp;utm_medium="&amp;F262&amp;"&amp;utm_campaign="&amp;H262&amp;"&amp;utm_content="&amp;I262</f>
        <v>https://aiventure.uk/?utm_source=newsletter&amp;utm_medium=email&amp;utm_campaign=2610_ff_lansare&amp;utm_content=rece_general</v>
      </c>
    </row>
    <row r="263" customFormat="false" ht="15" hidden="false" customHeight="false" outlineLevel="0" collapsed="false">
      <c r="A263" s="10" t="s">
        <v>53</v>
      </c>
      <c r="B263" s="10" t="str">
        <f aca="false">INDEX('Site-uri'!$B$2:$B$20,MATCH(A263,'Site-uri'!$A$2:$A$20,0))</f>
        <v>aiventure.uk</v>
      </c>
      <c r="C263" s="10" t="s">
        <v>131</v>
      </c>
      <c r="D263" s="10" t="s">
        <v>225</v>
      </c>
      <c r="E263" s="10" t="str">
        <f aca="false">INDEX(Canale!$C$2:$C$30,MATCH(C263,Canale!$A$2:$A$30,0))</f>
        <v>newsletter</v>
      </c>
      <c r="F263" s="10" t="str">
        <f aca="false">INDEX(Canale!$D$2:$D$30,MATCH(C263,Canale!$A$2:$A$30,0))</f>
        <v>email</v>
      </c>
      <c r="G263" s="10" t="str">
        <f aca="false">INDEX('Site-uri'!$C$2:$C$20,MATCH(A263,'Site-uri'!$A$2:$A$20,0))</f>
        <v>/</v>
      </c>
      <c r="H263" s="10" t="str">
        <f aca="false">Config!$B$3</f>
        <v>2610_ff_lansare</v>
      </c>
      <c r="I263" s="10" t="str">
        <f aca="false">D263&amp;"_"&amp;Config!$B$4</f>
        <v>cald_general</v>
      </c>
      <c r="J263" s="10" t="str">
        <f aca="false">"https://"&amp;B263&amp;G263&amp;"?utm_source="&amp;E263&amp;"&amp;utm_medium="&amp;F263&amp;"&amp;utm_campaign="&amp;H263&amp;"&amp;utm_content="&amp;I263</f>
        <v>https://aiventure.uk/?utm_source=newsletter&amp;utm_medium=email&amp;utm_campaign=2610_ff_lansare&amp;utm_content=cald_general</v>
      </c>
    </row>
    <row r="264" customFormat="false" ht="15" hidden="false" customHeight="false" outlineLevel="0" collapsed="false">
      <c r="A264" s="10" t="s">
        <v>53</v>
      </c>
      <c r="B264" s="10" t="str">
        <f aca="false">INDEX('Site-uri'!$B$2:$B$20,MATCH(A264,'Site-uri'!$A$2:$A$20,0))</f>
        <v>aiventure.uk</v>
      </c>
      <c r="C264" s="10" t="s">
        <v>131</v>
      </c>
      <c r="D264" s="10" t="s">
        <v>231</v>
      </c>
      <c r="E264" s="10" t="str">
        <f aca="false">INDEX(Canale!$C$2:$C$30,MATCH(C264,Canale!$A$2:$A$30,0))</f>
        <v>newsletter</v>
      </c>
      <c r="F264" s="10" t="str">
        <f aca="false">INDEX(Canale!$D$2:$D$30,MATCH(C264,Canale!$A$2:$A$30,0))</f>
        <v>email</v>
      </c>
      <c r="G264" s="10" t="str">
        <f aca="false">INDEX('Site-uri'!$C$2:$C$20,MATCH(A264,'Site-uri'!$A$2:$A$20,0))</f>
        <v>/</v>
      </c>
      <c r="H264" s="10" t="str">
        <f aca="false">Config!$B$3</f>
        <v>2610_ff_lansare</v>
      </c>
      <c r="I264" s="10" t="str">
        <f aca="false">D264&amp;"_"&amp;Config!$B$4</f>
        <v>fierbinte_general</v>
      </c>
      <c r="J264" s="10" t="str">
        <f aca="false">"https://"&amp;B264&amp;G264&amp;"?utm_source="&amp;E264&amp;"&amp;utm_medium="&amp;F264&amp;"&amp;utm_campaign="&amp;H264&amp;"&amp;utm_content="&amp;I264</f>
        <v>https://aiventure.uk/?utm_source=newsletter&amp;utm_medium=email&amp;utm_campaign=2610_ff_lansare&amp;utm_content=fierbinte_general</v>
      </c>
    </row>
    <row r="265" customFormat="false" ht="15" hidden="false" customHeight="false" outlineLevel="0" collapsed="false">
      <c r="A265" s="10" t="s">
        <v>53</v>
      </c>
      <c r="B265" s="10" t="str">
        <f aca="false">INDEX('Site-uri'!$B$2:$B$20,MATCH(A265,'Site-uri'!$A$2:$A$20,0))</f>
        <v>aiventure.uk</v>
      </c>
      <c r="C265" s="10" t="s">
        <v>131</v>
      </c>
      <c r="D265" s="10" t="s">
        <v>237</v>
      </c>
      <c r="E265" s="10" t="str">
        <f aca="false">INDEX(Canale!$C$2:$C$30,MATCH(C265,Canale!$A$2:$A$30,0))</f>
        <v>newsletter</v>
      </c>
      <c r="F265" s="10" t="str">
        <f aca="false">INDEX(Canale!$D$2:$D$30,MATCH(C265,Canale!$A$2:$A$30,0))</f>
        <v>email</v>
      </c>
      <c r="G265" s="10" t="str">
        <f aca="false">INDEX('Site-uri'!$C$2:$C$20,MATCH(A265,'Site-uri'!$A$2:$A$20,0))</f>
        <v>/</v>
      </c>
      <c r="H265" s="10" t="str">
        <f aca="false">Config!$B$3</f>
        <v>2610_ff_lansare</v>
      </c>
      <c r="I265" s="10" t="str">
        <f aca="false">D265&amp;"_"&amp;Config!$B$4</f>
        <v>client_general</v>
      </c>
      <c r="J265" s="10" t="str">
        <f aca="false">"https://"&amp;B265&amp;G265&amp;"?utm_source="&amp;E265&amp;"&amp;utm_medium="&amp;F265&amp;"&amp;utm_campaign="&amp;H265&amp;"&amp;utm_content="&amp;I265</f>
        <v>https://aiventure.uk/?utm_source=newsletter&amp;utm_medium=email&amp;utm_campaign=2610_ff_lansare&amp;utm_content=client_general</v>
      </c>
    </row>
    <row r="266" customFormat="false" ht="15" hidden="false" customHeight="false" outlineLevel="0" collapsed="false">
      <c r="A266" s="10" t="s">
        <v>53</v>
      </c>
      <c r="B266" s="10" t="str">
        <f aca="false">INDEX('Site-uri'!$B$2:$B$20,MATCH(A266,'Site-uri'!$A$2:$A$20,0))</f>
        <v>aiventure.uk</v>
      </c>
      <c r="C266" s="10" t="s">
        <v>134</v>
      </c>
      <c r="D266" s="10" t="s">
        <v>219</v>
      </c>
      <c r="E266" s="10" t="str">
        <f aca="false">INDEX(Canale!$C$2:$C$30,MATCH(C266,Canale!$A$2:$A$30,0))</f>
        <v>email_signature</v>
      </c>
      <c r="F266" s="10" t="str">
        <f aca="false">INDEX(Canale!$D$2:$D$30,MATCH(C266,Canale!$A$2:$A$30,0))</f>
        <v>email</v>
      </c>
      <c r="G266" s="10" t="str">
        <f aca="false">INDEX('Site-uri'!$C$2:$C$20,MATCH(A266,'Site-uri'!$A$2:$A$20,0))</f>
        <v>/</v>
      </c>
      <c r="H266" s="10" t="str">
        <f aca="false">Config!$B$3</f>
        <v>2610_ff_lansare</v>
      </c>
      <c r="I266" s="10" t="str">
        <f aca="false">D266&amp;"_"&amp;Config!$B$4</f>
        <v>rece_general</v>
      </c>
      <c r="J266" s="10" t="str">
        <f aca="false">"https://"&amp;B266&amp;G266&amp;"?utm_source="&amp;E266&amp;"&amp;utm_medium="&amp;F266&amp;"&amp;utm_campaign="&amp;H266&amp;"&amp;utm_content="&amp;I266</f>
        <v>https://aiventure.uk/?utm_source=email_signature&amp;utm_medium=email&amp;utm_campaign=2610_ff_lansare&amp;utm_content=rece_general</v>
      </c>
    </row>
    <row r="267" customFormat="false" ht="15" hidden="false" customHeight="false" outlineLevel="0" collapsed="false">
      <c r="A267" s="10" t="s">
        <v>53</v>
      </c>
      <c r="B267" s="10" t="str">
        <f aca="false">INDEX('Site-uri'!$B$2:$B$20,MATCH(A267,'Site-uri'!$A$2:$A$20,0))</f>
        <v>aiventure.uk</v>
      </c>
      <c r="C267" s="10" t="s">
        <v>134</v>
      </c>
      <c r="D267" s="10" t="s">
        <v>225</v>
      </c>
      <c r="E267" s="10" t="str">
        <f aca="false">INDEX(Canale!$C$2:$C$30,MATCH(C267,Canale!$A$2:$A$30,0))</f>
        <v>email_signature</v>
      </c>
      <c r="F267" s="10" t="str">
        <f aca="false">INDEX(Canale!$D$2:$D$30,MATCH(C267,Canale!$A$2:$A$30,0))</f>
        <v>email</v>
      </c>
      <c r="G267" s="10" t="str">
        <f aca="false">INDEX('Site-uri'!$C$2:$C$20,MATCH(A267,'Site-uri'!$A$2:$A$20,0))</f>
        <v>/</v>
      </c>
      <c r="H267" s="10" t="str">
        <f aca="false">Config!$B$3</f>
        <v>2610_ff_lansare</v>
      </c>
      <c r="I267" s="10" t="str">
        <f aca="false">D267&amp;"_"&amp;Config!$B$4</f>
        <v>cald_general</v>
      </c>
      <c r="J267" s="10" t="str">
        <f aca="false">"https://"&amp;B267&amp;G267&amp;"?utm_source="&amp;E267&amp;"&amp;utm_medium="&amp;F267&amp;"&amp;utm_campaign="&amp;H267&amp;"&amp;utm_content="&amp;I267</f>
        <v>https://aiventure.uk/?utm_source=email_signature&amp;utm_medium=email&amp;utm_campaign=2610_ff_lansare&amp;utm_content=cald_general</v>
      </c>
    </row>
    <row r="268" customFormat="false" ht="15" hidden="false" customHeight="false" outlineLevel="0" collapsed="false">
      <c r="A268" s="10" t="s">
        <v>53</v>
      </c>
      <c r="B268" s="10" t="str">
        <f aca="false">INDEX('Site-uri'!$B$2:$B$20,MATCH(A268,'Site-uri'!$A$2:$A$20,0))</f>
        <v>aiventure.uk</v>
      </c>
      <c r="C268" s="10" t="s">
        <v>134</v>
      </c>
      <c r="D268" s="10" t="s">
        <v>231</v>
      </c>
      <c r="E268" s="10" t="str">
        <f aca="false">INDEX(Canale!$C$2:$C$30,MATCH(C268,Canale!$A$2:$A$30,0))</f>
        <v>email_signature</v>
      </c>
      <c r="F268" s="10" t="str">
        <f aca="false">INDEX(Canale!$D$2:$D$30,MATCH(C268,Canale!$A$2:$A$30,0))</f>
        <v>email</v>
      </c>
      <c r="G268" s="10" t="str">
        <f aca="false">INDEX('Site-uri'!$C$2:$C$20,MATCH(A268,'Site-uri'!$A$2:$A$20,0))</f>
        <v>/</v>
      </c>
      <c r="H268" s="10" t="str">
        <f aca="false">Config!$B$3</f>
        <v>2610_ff_lansare</v>
      </c>
      <c r="I268" s="10" t="str">
        <f aca="false">D268&amp;"_"&amp;Config!$B$4</f>
        <v>fierbinte_general</v>
      </c>
      <c r="J268" s="10" t="str">
        <f aca="false">"https://"&amp;B268&amp;G268&amp;"?utm_source="&amp;E268&amp;"&amp;utm_medium="&amp;F268&amp;"&amp;utm_campaign="&amp;H268&amp;"&amp;utm_content="&amp;I268</f>
        <v>https://aiventure.uk/?utm_source=email_signature&amp;utm_medium=email&amp;utm_campaign=2610_ff_lansare&amp;utm_content=fierbinte_general</v>
      </c>
    </row>
    <row r="269" customFormat="false" ht="15" hidden="false" customHeight="false" outlineLevel="0" collapsed="false">
      <c r="A269" s="10" t="s">
        <v>53</v>
      </c>
      <c r="B269" s="10" t="str">
        <f aca="false">INDEX('Site-uri'!$B$2:$B$20,MATCH(A269,'Site-uri'!$A$2:$A$20,0))</f>
        <v>aiventure.uk</v>
      </c>
      <c r="C269" s="10" t="s">
        <v>134</v>
      </c>
      <c r="D269" s="10" t="s">
        <v>237</v>
      </c>
      <c r="E269" s="10" t="str">
        <f aca="false">INDEX(Canale!$C$2:$C$30,MATCH(C269,Canale!$A$2:$A$30,0))</f>
        <v>email_signature</v>
      </c>
      <c r="F269" s="10" t="str">
        <f aca="false">INDEX(Canale!$D$2:$D$30,MATCH(C269,Canale!$A$2:$A$30,0))</f>
        <v>email</v>
      </c>
      <c r="G269" s="10" t="str">
        <f aca="false">INDEX('Site-uri'!$C$2:$C$20,MATCH(A269,'Site-uri'!$A$2:$A$20,0))</f>
        <v>/</v>
      </c>
      <c r="H269" s="10" t="str">
        <f aca="false">Config!$B$3</f>
        <v>2610_ff_lansare</v>
      </c>
      <c r="I269" s="10" t="str">
        <f aca="false">D269&amp;"_"&amp;Config!$B$4</f>
        <v>client_general</v>
      </c>
      <c r="J269" s="10" t="str">
        <f aca="false">"https://"&amp;B269&amp;G269&amp;"?utm_source="&amp;E269&amp;"&amp;utm_medium="&amp;F269&amp;"&amp;utm_campaign="&amp;H269&amp;"&amp;utm_content="&amp;I269</f>
        <v>https://aiventure.uk/?utm_source=email_signature&amp;utm_medium=email&amp;utm_campaign=2610_ff_lansare&amp;utm_content=client_general</v>
      </c>
    </row>
    <row r="270" customFormat="false" ht="15" hidden="false" customHeight="false" outlineLevel="0" collapsed="false">
      <c r="A270" s="10" t="s">
        <v>53</v>
      </c>
      <c r="B270" s="10" t="str">
        <f aca="false">INDEX('Site-uri'!$B$2:$B$20,MATCH(A270,'Site-uri'!$A$2:$A$20,0))</f>
        <v>aiventure.uk</v>
      </c>
      <c r="C270" s="10" t="s">
        <v>137</v>
      </c>
      <c r="D270" s="10" t="s">
        <v>219</v>
      </c>
      <c r="E270" s="10" t="str">
        <f aca="false">INDEX(Canale!$C$2:$C$30,MATCH(C270,Canale!$A$2:$A$30,0))</f>
        <v>whatsapp</v>
      </c>
      <c r="F270" s="10" t="str">
        <f aca="false">INDEX(Canale!$D$2:$D$30,MATCH(C270,Canale!$A$2:$A$30,0))</f>
        <v>dm</v>
      </c>
      <c r="G270" s="10" t="str">
        <f aca="false">INDEX('Site-uri'!$C$2:$C$20,MATCH(A270,'Site-uri'!$A$2:$A$20,0))</f>
        <v>/</v>
      </c>
      <c r="H270" s="10" t="str">
        <f aca="false">Config!$B$3</f>
        <v>2610_ff_lansare</v>
      </c>
      <c r="I270" s="10" t="str">
        <f aca="false">D270&amp;"_"&amp;Config!$B$4</f>
        <v>rece_general</v>
      </c>
      <c r="J270" s="10" t="str">
        <f aca="false">"https://"&amp;B270&amp;G270&amp;"?utm_source="&amp;E270&amp;"&amp;utm_medium="&amp;F270&amp;"&amp;utm_campaign="&amp;H270&amp;"&amp;utm_content="&amp;I270</f>
        <v>https://aiventure.uk/?utm_source=whatsapp&amp;utm_medium=dm&amp;utm_campaign=2610_ff_lansare&amp;utm_content=rece_general</v>
      </c>
    </row>
    <row r="271" customFormat="false" ht="15" hidden="false" customHeight="false" outlineLevel="0" collapsed="false">
      <c r="A271" s="10" t="s">
        <v>53</v>
      </c>
      <c r="B271" s="10" t="str">
        <f aca="false">INDEX('Site-uri'!$B$2:$B$20,MATCH(A271,'Site-uri'!$A$2:$A$20,0))</f>
        <v>aiventure.uk</v>
      </c>
      <c r="C271" s="10" t="s">
        <v>137</v>
      </c>
      <c r="D271" s="10" t="s">
        <v>225</v>
      </c>
      <c r="E271" s="10" t="str">
        <f aca="false">INDEX(Canale!$C$2:$C$30,MATCH(C271,Canale!$A$2:$A$30,0))</f>
        <v>whatsapp</v>
      </c>
      <c r="F271" s="10" t="str">
        <f aca="false">INDEX(Canale!$D$2:$D$30,MATCH(C271,Canale!$A$2:$A$30,0))</f>
        <v>dm</v>
      </c>
      <c r="G271" s="10" t="str">
        <f aca="false">INDEX('Site-uri'!$C$2:$C$20,MATCH(A271,'Site-uri'!$A$2:$A$20,0))</f>
        <v>/</v>
      </c>
      <c r="H271" s="10" t="str">
        <f aca="false">Config!$B$3</f>
        <v>2610_ff_lansare</v>
      </c>
      <c r="I271" s="10" t="str">
        <f aca="false">D271&amp;"_"&amp;Config!$B$4</f>
        <v>cald_general</v>
      </c>
      <c r="J271" s="10" t="str">
        <f aca="false">"https://"&amp;B271&amp;G271&amp;"?utm_source="&amp;E271&amp;"&amp;utm_medium="&amp;F271&amp;"&amp;utm_campaign="&amp;H271&amp;"&amp;utm_content="&amp;I271</f>
        <v>https://aiventure.uk/?utm_source=whatsapp&amp;utm_medium=dm&amp;utm_campaign=2610_ff_lansare&amp;utm_content=cald_general</v>
      </c>
    </row>
    <row r="272" customFormat="false" ht="15" hidden="false" customHeight="false" outlineLevel="0" collapsed="false">
      <c r="A272" s="10" t="s">
        <v>53</v>
      </c>
      <c r="B272" s="10" t="str">
        <f aca="false">INDEX('Site-uri'!$B$2:$B$20,MATCH(A272,'Site-uri'!$A$2:$A$20,0))</f>
        <v>aiventure.uk</v>
      </c>
      <c r="C272" s="10" t="s">
        <v>137</v>
      </c>
      <c r="D272" s="10" t="s">
        <v>231</v>
      </c>
      <c r="E272" s="10" t="str">
        <f aca="false">INDEX(Canale!$C$2:$C$30,MATCH(C272,Canale!$A$2:$A$30,0))</f>
        <v>whatsapp</v>
      </c>
      <c r="F272" s="10" t="str">
        <f aca="false">INDEX(Canale!$D$2:$D$30,MATCH(C272,Canale!$A$2:$A$30,0))</f>
        <v>dm</v>
      </c>
      <c r="G272" s="10" t="str">
        <f aca="false">INDEX('Site-uri'!$C$2:$C$20,MATCH(A272,'Site-uri'!$A$2:$A$20,0))</f>
        <v>/</v>
      </c>
      <c r="H272" s="10" t="str">
        <f aca="false">Config!$B$3</f>
        <v>2610_ff_lansare</v>
      </c>
      <c r="I272" s="10" t="str">
        <f aca="false">D272&amp;"_"&amp;Config!$B$4</f>
        <v>fierbinte_general</v>
      </c>
      <c r="J272" s="10" t="str">
        <f aca="false">"https://"&amp;B272&amp;G272&amp;"?utm_source="&amp;E272&amp;"&amp;utm_medium="&amp;F272&amp;"&amp;utm_campaign="&amp;H272&amp;"&amp;utm_content="&amp;I272</f>
        <v>https://aiventure.uk/?utm_source=whatsapp&amp;utm_medium=dm&amp;utm_campaign=2610_ff_lansare&amp;utm_content=fierbinte_general</v>
      </c>
    </row>
    <row r="273" customFormat="false" ht="15" hidden="false" customHeight="false" outlineLevel="0" collapsed="false">
      <c r="A273" s="10" t="s">
        <v>53</v>
      </c>
      <c r="B273" s="10" t="str">
        <f aca="false">INDEX('Site-uri'!$B$2:$B$20,MATCH(A273,'Site-uri'!$A$2:$A$20,0))</f>
        <v>aiventure.uk</v>
      </c>
      <c r="C273" s="10" t="s">
        <v>137</v>
      </c>
      <c r="D273" s="10" t="s">
        <v>237</v>
      </c>
      <c r="E273" s="10" t="str">
        <f aca="false">INDEX(Canale!$C$2:$C$30,MATCH(C273,Canale!$A$2:$A$30,0))</f>
        <v>whatsapp</v>
      </c>
      <c r="F273" s="10" t="str">
        <f aca="false">INDEX(Canale!$D$2:$D$30,MATCH(C273,Canale!$A$2:$A$30,0))</f>
        <v>dm</v>
      </c>
      <c r="G273" s="10" t="str">
        <f aca="false">INDEX('Site-uri'!$C$2:$C$20,MATCH(A273,'Site-uri'!$A$2:$A$20,0))</f>
        <v>/</v>
      </c>
      <c r="H273" s="10" t="str">
        <f aca="false">Config!$B$3</f>
        <v>2610_ff_lansare</v>
      </c>
      <c r="I273" s="10" t="str">
        <f aca="false">D273&amp;"_"&amp;Config!$B$4</f>
        <v>client_general</v>
      </c>
      <c r="J273" s="10" t="str">
        <f aca="false">"https://"&amp;B273&amp;G273&amp;"?utm_source="&amp;E273&amp;"&amp;utm_medium="&amp;F273&amp;"&amp;utm_campaign="&amp;H273&amp;"&amp;utm_content="&amp;I273</f>
        <v>https://aiventure.uk/?utm_source=whatsapp&amp;utm_medium=dm&amp;utm_campaign=2610_ff_lansare&amp;utm_content=client_general</v>
      </c>
    </row>
    <row r="274" customFormat="false" ht="15" hidden="false" customHeight="false" outlineLevel="0" collapsed="false">
      <c r="A274" s="10" t="s">
        <v>53</v>
      </c>
      <c r="B274" s="10" t="str">
        <f aca="false">INDEX('Site-uri'!$B$2:$B$20,MATCH(A274,'Site-uri'!$A$2:$A$20,0))</f>
        <v>aiventure.uk</v>
      </c>
      <c r="C274" s="10" t="s">
        <v>141</v>
      </c>
      <c r="D274" s="10" t="s">
        <v>219</v>
      </c>
      <c r="E274" s="10" t="str">
        <f aca="false">INDEX(Canale!$C$2:$C$30,MATCH(C274,Canale!$A$2:$A$30,0))</f>
        <v>google</v>
      </c>
      <c r="F274" s="10" t="str">
        <f aca="false">INDEX(Canale!$D$2:$D$30,MATCH(C274,Canale!$A$2:$A$30,0))</f>
        <v>cpc</v>
      </c>
      <c r="G274" s="10" t="str">
        <f aca="false">INDEX('Site-uri'!$C$2:$C$20,MATCH(A274,'Site-uri'!$A$2:$A$20,0))</f>
        <v>/</v>
      </c>
      <c r="H274" s="10" t="str">
        <f aca="false">Config!$B$3</f>
        <v>2610_ff_lansare</v>
      </c>
      <c r="I274" s="10" t="str">
        <f aca="false">D274&amp;"_"&amp;Config!$B$4</f>
        <v>rece_general</v>
      </c>
      <c r="J274" s="10" t="str">
        <f aca="false">"https://"&amp;B274&amp;G274&amp;"?utm_source="&amp;E274&amp;"&amp;utm_medium="&amp;F274&amp;"&amp;utm_campaign="&amp;H274&amp;"&amp;utm_content="&amp;I274</f>
        <v>https://aiventure.uk/?utm_source=google&amp;utm_medium=cpc&amp;utm_campaign=2610_ff_lansare&amp;utm_content=rece_general</v>
      </c>
    </row>
    <row r="275" customFormat="false" ht="15" hidden="false" customHeight="false" outlineLevel="0" collapsed="false">
      <c r="A275" s="10" t="s">
        <v>53</v>
      </c>
      <c r="B275" s="10" t="str">
        <f aca="false">INDEX('Site-uri'!$B$2:$B$20,MATCH(A275,'Site-uri'!$A$2:$A$20,0))</f>
        <v>aiventure.uk</v>
      </c>
      <c r="C275" s="10" t="s">
        <v>141</v>
      </c>
      <c r="D275" s="10" t="s">
        <v>225</v>
      </c>
      <c r="E275" s="10" t="str">
        <f aca="false">INDEX(Canale!$C$2:$C$30,MATCH(C275,Canale!$A$2:$A$30,0))</f>
        <v>google</v>
      </c>
      <c r="F275" s="10" t="str">
        <f aca="false">INDEX(Canale!$D$2:$D$30,MATCH(C275,Canale!$A$2:$A$30,0))</f>
        <v>cpc</v>
      </c>
      <c r="G275" s="10" t="str">
        <f aca="false">INDEX('Site-uri'!$C$2:$C$20,MATCH(A275,'Site-uri'!$A$2:$A$20,0))</f>
        <v>/</v>
      </c>
      <c r="H275" s="10" t="str">
        <f aca="false">Config!$B$3</f>
        <v>2610_ff_lansare</v>
      </c>
      <c r="I275" s="10" t="str">
        <f aca="false">D275&amp;"_"&amp;Config!$B$4</f>
        <v>cald_general</v>
      </c>
      <c r="J275" s="10" t="str">
        <f aca="false">"https://"&amp;B275&amp;G275&amp;"?utm_source="&amp;E275&amp;"&amp;utm_medium="&amp;F275&amp;"&amp;utm_campaign="&amp;H275&amp;"&amp;utm_content="&amp;I275</f>
        <v>https://aiventure.uk/?utm_source=google&amp;utm_medium=cpc&amp;utm_campaign=2610_ff_lansare&amp;utm_content=cald_general</v>
      </c>
    </row>
    <row r="276" customFormat="false" ht="15" hidden="false" customHeight="false" outlineLevel="0" collapsed="false">
      <c r="A276" s="10" t="s">
        <v>53</v>
      </c>
      <c r="B276" s="10" t="str">
        <f aca="false">INDEX('Site-uri'!$B$2:$B$20,MATCH(A276,'Site-uri'!$A$2:$A$20,0))</f>
        <v>aiventure.uk</v>
      </c>
      <c r="C276" s="10" t="s">
        <v>141</v>
      </c>
      <c r="D276" s="10" t="s">
        <v>231</v>
      </c>
      <c r="E276" s="10" t="str">
        <f aca="false">INDEX(Canale!$C$2:$C$30,MATCH(C276,Canale!$A$2:$A$30,0))</f>
        <v>google</v>
      </c>
      <c r="F276" s="10" t="str">
        <f aca="false">INDEX(Canale!$D$2:$D$30,MATCH(C276,Canale!$A$2:$A$30,0))</f>
        <v>cpc</v>
      </c>
      <c r="G276" s="10" t="str">
        <f aca="false">INDEX('Site-uri'!$C$2:$C$20,MATCH(A276,'Site-uri'!$A$2:$A$20,0))</f>
        <v>/</v>
      </c>
      <c r="H276" s="10" t="str">
        <f aca="false">Config!$B$3</f>
        <v>2610_ff_lansare</v>
      </c>
      <c r="I276" s="10" t="str">
        <f aca="false">D276&amp;"_"&amp;Config!$B$4</f>
        <v>fierbinte_general</v>
      </c>
      <c r="J276" s="10" t="str">
        <f aca="false">"https://"&amp;B276&amp;G276&amp;"?utm_source="&amp;E276&amp;"&amp;utm_medium="&amp;F276&amp;"&amp;utm_campaign="&amp;H276&amp;"&amp;utm_content="&amp;I276</f>
        <v>https://aiventure.uk/?utm_source=google&amp;utm_medium=cpc&amp;utm_campaign=2610_ff_lansare&amp;utm_content=fierbinte_general</v>
      </c>
    </row>
    <row r="277" customFormat="false" ht="15" hidden="false" customHeight="false" outlineLevel="0" collapsed="false">
      <c r="A277" s="10" t="s">
        <v>53</v>
      </c>
      <c r="B277" s="10" t="str">
        <f aca="false">INDEX('Site-uri'!$B$2:$B$20,MATCH(A277,'Site-uri'!$A$2:$A$20,0))</f>
        <v>aiventure.uk</v>
      </c>
      <c r="C277" s="10" t="s">
        <v>141</v>
      </c>
      <c r="D277" s="10" t="s">
        <v>237</v>
      </c>
      <c r="E277" s="10" t="str">
        <f aca="false">INDEX(Canale!$C$2:$C$30,MATCH(C277,Canale!$A$2:$A$30,0))</f>
        <v>google</v>
      </c>
      <c r="F277" s="10" t="str">
        <f aca="false">INDEX(Canale!$D$2:$D$30,MATCH(C277,Canale!$A$2:$A$30,0))</f>
        <v>cpc</v>
      </c>
      <c r="G277" s="10" t="str">
        <f aca="false">INDEX('Site-uri'!$C$2:$C$20,MATCH(A277,'Site-uri'!$A$2:$A$20,0))</f>
        <v>/</v>
      </c>
      <c r="H277" s="10" t="str">
        <f aca="false">Config!$B$3</f>
        <v>2610_ff_lansare</v>
      </c>
      <c r="I277" s="10" t="str">
        <f aca="false">D277&amp;"_"&amp;Config!$B$4</f>
        <v>client_general</v>
      </c>
      <c r="J277" s="10" t="str">
        <f aca="false">"https://"&amp;B277&amp;G277&amp;"?utm_source="&amp;E277&amp;"&amp;utm_medium="&amp;F277&amp;"&amp;utm_campaign="&amp;H277&amp;"&amp;utm_content="&amp;I277</f>
        <v>https://aiventure.uk/?utm_source=google&amp;utm_medium=cpc&amp;utm_campaign=2610_ff_lansare&amp;utm_content=client_general</v>
      </c>
    </row>
    <row r="278" customFormat="false" ht="15" hidden="false" customHeight="false" outlineLevel="0" collapsed="false">
      <c r="A278" s="10" t="s">
        <v>53</v>
      </c>
      <c r="B278" s="10" t="str">
        <f aca="false">INDEX('Site-uri'!$B$2:$B$20,MATCH(A278,'Site-uri'!$A$2:$A$20,0))</f>
        <v>aiventure.uk</v>
      </c>
      <c r="C278" s="10" t="s">
        <v>146</v>
      </c>
      <c r="D278" s="10" t="s">
        <v>219</v>
      </c>
      <c r="E278" s="10" t="str">
        <f aca="false">INDEX(Canale!$C$2:$C$30,MATCH(C278,Canale!$A$2:$A$30,0))</f>
        <v>bing</v>
      </c>
      <c r="F278" s="10" t="str">
        <f aca="false">INDEX(Canale!$D$2:$D$30,MATCH(C278,Canale!$A$2:$A$30,0))</f>
        <v>cpc</v>
      </c>
      <c r="G278" s="10" t="str">
        <f aca="false">INDEX('Site-uri'!$C$2:$C$20,MATCH(A278,'Site-uri'!$A$2:$A$20,0))</f>
        <v>/</v>
      </c>
      <c r="H278" s="10" t="str">
        <f aca="false">Config!$B$3</f>
        <v>2610_ff_lansare</v>
      </c>
      <c r="I278" s="10" t="str">
        <f aca="false">D278&amp;"_"&amp;Config!$B$4</f>
        <v>rece_general</v>
      </c>
      <c r="J278" s="10" t="str">
        <f aca="false">"https://"&amp;B278&amp;G278&amp;"?utm_source="&amp;E278&amp;"&amp;utm_medium="&amp;F278&amp;"&amp;utm_campaign="&amp;H278&amp;"&amp;utm_content="&amp;I278</f>
        <v>https://aiventure.uk/?utm_source=bing&amp;utm_medium=cpc&amp;utm_campaign=2610_ff_lansare&amp;utm_content=rece_general</v>
      </c>
    </row>
    <row r="279" customFormat="false" ht="15" hidden="false" customHeight="false" outlineLevel="0" collapsed="false">
      <c r="A279" s="10" t="s">
        <v>53</v>
      </c>
      <c r="B279" s="10" t="str">
        <f aca="false">INDEX('Site-uri'!$B$2:$B$20,MATCH(A279,'Site-uri'!$A$2:$A$20,0))</f>
        <v>aiventure.uk</v>
      </c>
      <c r="C279" s="10" t="s">
        <v>146</v>
      </c>
      <c r="D279" s="10" t="s">
        <v>225</v>
      </c>
      <c r="E279" s="10" t="str">
        <f aca="false">INDEX(Canale!$C$2:$C$30,MATCH(C279,Canale!$A$2:$A$30,0))</f>
        <v>bing</v>
      </c>
      <c r="F279" s="10" t="str">
        <f aca="false">INDEX(Canale!$D$2:$D$30,MATCH(C279,Canale!$A$2:$A$30,0))</f>
        <v>cpc</v>
      </c>
      <c r="G279" s="10" t="str">
        <f aca="false">INDEX('Site-uri'!$C$2:$C$20,MATCH(A279,'Site-uri'!$A$2:$A$20,0))</f>
        <v>/</v>
      </c>
      <c r="H279" s="10" t="str">
        <f aca="false">Config!$B$3</f>
        <v>2610_ff_lansare</v>
      </c>
      <c r="I279" s="10" t="str">
        <f aca="false">D279&amp;"_"&amp;Config!$B$4</f>
        <v>cald_general</v>
      </c>
      <c r="J279" s="10" t="str">
        <f aca="false">"https://"&amp;B279&amp;G279&amp;"?utm_source="&amp;E279&amp;"&amp;utm_medium="&amp;F279&amp;"&amp;utm_campaign="&amp;H279&amp;"&amp;utm_content="&amp;I279</f>
        <v>https://aiventure.uk/?utm_source=bing&amp;utm_medium=cpc&amp;utm_campaign=2610_ff_lansare&amp;utm_content=cald_general</v>
      </c>
    </row>
    <row r="280" customFormat="false" ht="15" hidden="false" customHeight="false" outlineLevel="0" collapsed="false">
      <c r="A280" s="10" t="s">
        <v>53</v>
      </c>
      <c r="B280" s="10" t="str">
        <f aca="false">INDEX('Site-uri'!$B$2:$B$20,MATCH(A280,'Site-uri'!$A$2:$A$20,0))</f>
        <v>aiventure.uk</v>
      </c>
      <c r="C280" s="10" t="s">
        <v>146</v>
      </c>
      <c r="D280" s="10" t="s">
        <v>231</v>
      </c>
      <c r="E280" s="10" t="str">
        <f aca="false">INDEX(Canale!$C$2:$C$30,MATCH(C280,Canale!$A$2:$A$30,0))</f>
        <v>bing</v>
      </c>
      <c r="F280" s="10" t="str">
        <f aca="false">INDEX(Canale!$D$2:$D$30,MATCH(C280,Canale!$A$2:$A$30,0))</f>
        <v>cpc</v>
      </c>
      <c r="G280" s="10" t="str">
        <f aca="false">INDEX('Site-uri'!$C$2:$C$20,MATCH(A280,'Site-uri'!$A$2:$A$20,0))</f>
        <v>/</v>
      </c>
      <c r="H280" s="10" t="str">
        <f aca="false">Config!$B$3</f>
        <v>2610_ff_lansare</v>
      </c>
      <c r="I280" s="10" t="str">
        <f aca="false">D280&amp;"_"&amp;Config!$B$4</f>
        <v>fierbinte_general</v>
      </c>
      <c r="J280" s="10" t="str">
        <f aca="false">"https://"&amp;B280&amp;G280&amp;"?utm_source="&amp;E280&amp;"&amp;utm_medium="&amp;F280&amp;"&amp;utm_campaign="&amp;H280&amp;"&amp;utm_content="&amp;I280</f>
        <v>https://aiventure.uk/?utm_source=bing&amp;utm_medium=cpc&amp;utm_campaign=2610_ff_lansare&amp;utm_content=fierbinte_general</v>
      </c>
    </row>
    <row r="281" customFormat="false" ht="15" hidden="false" customHeight="false" outlineLevel="0" collapsed="false">
      <c r="A281" s="10" t="s">
        <v>53</v>
      </c>
      <c r="B281" s="10" t="str">
        <f aca="false">INDEX('Site-uri'!$B$2:$B$20,MATCH(A281,'Site-uri'!$A$2:$A$20,0))</f>
        <v>aiventure.uk</v>
      </c>
      <c r="C281" s="10" t="s">
        <v>146</v>
      </c>
      <c r="D281" s="10" t="s">
        <v>237</v>
      </c>
      <c r="E281" s="10" t="str">
        <f aca="false">INDEX(Canale!$C$2:$C$30,MATCH(C281,Canale!$A$2:$A$30,0))</f>
        <v>bing</v>
      </c>
      <c r="F281" s="10" t="str">
        <f aca="false">INDEX(Canale!$D$2:$D$30,MATCH(C281,Canale!$A$2:$A$30,0))</f>
        <v>cpc</v>
      </c>
      <c r="G281" s="10" t="str">
        <f aca="false">INDEX('Site-uri'!$C$2:$C$20,MATCH(A281,'Site-uri'!$A$2:$A$20,0))</f>
        <v>/</v>
      </c>
      <c r="H281" s="10" t="str">
        <f aca="false">Config!$B$3</f>
        <v>2610_ff_lansare</v>
      </c>
      <c r="I281" s="10" t="str">
        <f aca="false">D281&amp;"_"&amp;Config!$B$4</f>
        <v>client_general</v>
      </c>
      <c r="J281" s="10" t="str">
        <f aca="false">"https://"&amp;B281&amp;G281&amp;"?utm_source="&amp;E281&amp;"&amp;utm_medium="&amp;F281&amp;"&amp;utm_campaign="&amp;H281&amp;"&amp;utm_content="&amp;I281</f>
        <v>https://aiventure.uk/?utm_source=bing&amp;utm_medium=cpc&amp;utm_campaign=2610_ff_lansare&amp;utm_content=client_general</v>
      </c>
    </row>
    <row r="282" customFormat="false" ht="15" hidden="false" customHeight="false" outlineLevel="0" collapsed="false">
      <c r="A282" s="10" t="s">
        <v>53</v>
      </c>
      <c r="B282" s="10" t="str">
        <f aca="false">INDEX('Site-uri'!$B$2:$B$20,MATCH(A282,'Site-uri'!$A$2:$A$20,0))</f>
        <v>aiventure.uk</v>
      </c>
      <c r="C282" s="10" t="s">
        <v>149</v>
      </c>
      <c r="D282" s="10" t="s">
        <v>219</v>
      </c>
      <c r="E282" s="10" t="str">
        <f aca="false">INDEX(Canale!$C$2:$C$30,MATCH(C282,Canale!$A$2:$A$30,0))</f>
        <v>facebook</v>
      </c>
      <c r="F282" s="10" t="str">
        <f aca="false">INDEX(Canale!$D$2:$D$30,MATCH(C282,Canale!$A$2:$A$30,0))</f>
        <v>social</v>
      </c>
      <c r="G282" s="10" t="str">
        <f aca="false">INDEX('Site-uri'!$C$2:$C$20,MATCH(A282,'Site-uri'!$A$2:$A$20,0))</f>
        <v>/</v>
      </c>
      <c r="H282" s="10" t="str">
        <f aca="false">Config!$B$3</f>
        <v>2610_ff_lansare</v>
      </c>
      <c r="I282" s="10" t="str">
        <f aca="false">D282&amp;"_"&amp;Config!$B$4</f>
        <v>rece_general</v>
      </c>
      <c r="J282" s="10" t="str">
        <f aca="false">"https://"&amp;B282&amp;G282&amp;"?utm_source="&amp;E282&amp;"&amp;utm_medium="&amp;F282&amp;"&amp;utm_campaign="&amp;H282&amp;"&amp;utm_content="&amp;I282</f>
        <v>https://aiventure.uk/?utm_source=facebook&amp;utm_medium=social&amp;utm_campaign=2610_ff_lansare&amp;utm_content=rece_general</v>
      </c>
    </row>
    <row r="283" customFormat="false" ht="15" hidden="false" customHeight="false" outlineLevel="0" collapsed="false">
      <c r="A283" s="10" t="s">
        <v>53</v>
      </c>
      <c r="B283" s="10" t="str">
        <f aca="false">INDEX('Site-uri'!$B$2:$B$20,MATCH(A283,'Site-uri'!$A$2:$A$20,0))</f>
        <v>aiventure.uk</v>
      </c>
      <c r="C283" s="10" t="s">
        <v>149</v>
      </c>
      <c r="D283" s="10" t="s">
        <v>225</v>
      </c>
      <c r="E283" s="10" t="str">
        <f aca="false">INDEX(Canale!$C$2:$C$30,MATCH(C283,Canale!$A$2:$A$30,0))</f>
        <v>facebook</v>
      </c>
      <c r="F283" s="10" t="str">
        <f aca="false">INDEX(Canale!$D$2:$D$30,MATCH(C283,Canale!$A$2:$A$30,0))</f>
        <v>social</v>
      </c>
      <c r="G283" s="10" t="str">
        <f aca="false">INDEX('Site-uri'!$C$2:$C$20,MATCH(A283,'Site-uri'!$A$2:$A$20,0))</f>
        <v>/</v>
      </c>
      <c r="H283" s="10" t="str">
        <f aca="false">Config!$B$3</f>
        <v>2610_ff_lansare</v>
      </c>
      <c r="I283" s="10" t="str">
        <f aca="false">D283&amp;"_"&amp;Config!$B$4</f>
        <v>cald_general</v>
      </c>
      <c r="J283" s="10" t="str">
        <f aca="false">"https://"&amp;B283&amp;G283&amp;"?utm_source="&amp;E283&amp;"&amp;utm_medium="&amp;F283&amp;"&amp;utm_campaign="&amp;H283&amp;"&amp;utm_content="&amp;I283</f>
        <v>https://aiventure.uk/?utm_source=facebook&amp;utm_medium=social&amp;utm_campaign=2610_ff_lansare&amp;utm_content=cald_general</v>
      </c>
    </row>
    <row r="284" customFormat="false" ht="15" hidden="false" customHeight="false" outlineLevel="0" collapsed="false">
      <c r="A284" s="10" t="s">
        <v>53</v>
      </c>
      <c r="B284" s="10" t="str">
        <f aca="false">INDEX('Site-uri'!$B$2:$B$20,MATCH(A284,'Site-uri'!$A$2:$A$20,0))</f>
        <v>aiventure.uk</v>
      </c>
      <c r="C284" s="10" t="s">
        <v>149</v>
      </c>
      <c r="D284" s="10" t="s">
        <v>231</v>
      </c>
      <c r="E284" s="10" t="str">
        <f aca="false">INDEX(Canale!$C$2:$C$30,MATCH(C284,Canale!$A$2:$A$30,0))</f>
        <v>facebook</v>
      </c>
      <c r="F284" s="10" t="str">
        <f aca="false">INDEX(Canale!$D$2:$D$30,MATCH(C284,Canale!$A$2:$A$30,0))</f>
        <v>social</v>
      </c>
      <c r="G284" s="10" t="str">
        <f aca="false">INDEX('Site-uri'!$C$2:$C$20,MATCH(A284,'Site-uri'!$A$2:$A$20,0))</f>
        <v>/</v>
      </c>
      <c r="H284" s="10" t="str">
        <f aca="false">Config!$B$3</f>
        <v>2610_ff_lansare</v>
      </c>
      <c r="I284" s="10" t="str">
        <f aca="false">D284&amp;"_"&amp;Config!$B$4</f>
        <v>fierbinte_general</v>
      </c>
      <c r="J284" s="10" t="str">
        <f aca="false">"https://"&amp;B284&amp;G284&amp;"?utm_source="&amp;E284&amp;"&amp;utm_medium="&amp;F284&amp;"&amp;utm_campaign="&amp;H284&amp;"&amp;utm_content="&amp;I284</f>
        <v>https://aiventure.uk/?utm_source=facebook&amp;utm_medium=social&amp;utm_campaign=2610_ff_lansare&amp;utm_content=fierbinte_general</v>
      </c>
    </row>
    <row r="285" customFormat="false" ht="15" hidden="false" customHeight="false" outlineLevel="0" collapsed="false">
      <c r="A285" s="10" t="s">
        <v>53</v>
      </c>
      <c r="B285" s="10" t="str">
        <f aca="false">INDEX('Site-uri'!$B$2:$B$20,MATCH(A285,'Site-uri'!$A$2:$A$20,0))</f>
        <v>aiventure.uk</v>
      </c>
      <c r="C285" s="10" t="s">
        <v>149</v>
      </c>
      <c r="D285" s="10" t="s">
        <v>237</v>
      </c>
      <c r="E285" s="10" t="str">
        <f aca="false">INDEX(Canale!$C$2:$C$30,MATCH(C285,Canale!$A$2:$A$30,0))</f>
        <v>facebook</v>
      </c>
      <c r="F285" s="10" t="str">
        <f aca="false">INDEX(Canale!$D$2:$D$30,MATCH(C285,Canale!$A$2:$A$30,0))</f>
        <v>social</v>
      </c>
      <c r="G285" s="10" t="str">
        <f aca="false">INDEX('Site-uri'!$C$2:$C$20,MATCH(A285,'Site-uri'!$A$2:$A$20,0))</f>
        <v>/</v>
      </c>
      <c r="H285" s="10" t="str">
        <f aca="false">Config!$B$3</f>
        <v>2610_ff_lansare</v>
      </c>
      <c r="I285" s="10" t="str">
        <f aca="false">D285&amp;"_"&amp;Config!$B$4</f>
        <v>client_general</v>
      </c>
      <c r="J285" s="10" t="str">
        <f aca="false">"https://"&amp;B285&amp;G285&amp;"?utm_source="&amp;E285&amp;"&amp;utm_medium="&amp;F285&amp;"&amp;utm_campaign="&amp;H285&amp;"&amp;utm_content="&amp;I285</f>
        <v>https://aiventure.uk/?utm_source=facebook&amp;utm_medium=social&amp;utm_campaign=2610_ff_lansare&amp;utm_content=client_general</v>
      </c>
    </row>
    <row r="286" customFormat="false" ht="15" hidden="false" customHeight="false" outlineLevel="0" collapsed="false">
      <c r="A286" s="10" t="s">
        <v>53</v>
      </c>
      <c r="B286" s="10" t="str">
        <f aca="false">INDEX('Site-uri'!$B$2:$B$20,MATCH(A286,'Site-uri'!$A$2:$A$20,0))</f>
        <v>aiventure.uk</v>
      </c>
      <c r="C286" s="10" t="s">
        <v>153</v>
      </c>
      <c r="D286" s="10" t="s">
        <v>219</v>
      </c>
      <c r="E286" s="10" t="str">
        <f aca="false">INDEX(Canale!$C$2:$C$30,MATCH(C286,Canale!$A$2:$A$30,0))</f>
        <v>x</v>
      </c>
      <c r="F286" s="10" t="str">
        <f aca="false">INDEX(Canale!$D$2:$D$30,MATCH(C286,Canale!$A$2:$A$30,0))</f>
        <v>social</v>
      </c>
      <c r="G286" s="10" t="str">
        <f aca="false">INDEX('Site-uri'!$C$2:$C$20,MATCH(A286,'Site-uri'!$A$2:$A$20,0))</f>
        <v>/</v>
      </c>
      <c r="H286" s="10" t="str">
        <f aca="false">Config!$B$3</f>
        <v>2610_ff_lansare</v>
      </c>
      <c r="I286" s="10" t="str">
        <f aca="false">D286&amp;"_"&amp;Config!$B$4</f>
        <v>rece_general</v>
      </c>
      <c r="J286" s="10" t="str">
        <f aca="false">"https://"&amp;B286&amp;G286&amp;"?utm_source="&amp;E286&amp;"&amp;utm_medium="&amp;F286&amp;"&amp;utm_campaign="&amp;H286&amp;"&amp;utm_content="&amp;I286</f>
        <v>https://aiventure.uk/?utm_source=x&amp;utm_medium=social&amp;utm_campaign=2610_ff_lansare&amp;utm_content=rece_general</v>
      </c>
    </row>
    <row r="287" customFormat="false" ht="15" hidden="false" customHeight="false" outlineLevel="0" collapsed="false">
      <c r="A287" s="10" t="s">
        <v>53</v>
      </c>
      <c r="B287" s="10" t="str">
        <f aca="false">INDEX('Site-uri'!$B$2:$B$20,MATCH(A287,'Site-uri'!$A$2:$A$20,0))</f>
        <v>aiventure.uk</v>
      </c>
      <c r="C287" s="10" t="s">
        <v>153</v>
      </c>
      <c r="D287" s="10" t="s">
        <v>225</v>
      </c>
      <c r="E287" s="10" t="str">
        <f aca="false">INDEX(Canale!$C$2:$C$30,MATCH(C287,Canale!$A$2:$A$30,0))</f>
        <v>x</v>
      </c>
      <c r="F287" s="10" t="str">
        <f aca="false">INDEX(Canale!$D$2:$D$30,MATCH(C287,Canale!$A$2:$A$30,0))</f>
        <v>social</v>
      </c>
      <c r="G287" s="10" t="str">
        <f aca="false">INDEX('Site-uri'!$C$2:$C$20,MATCH(A287,'Site-uri'!$A$2:$A$20,0))</f>
        <v>/</v>
      </c>
      <c r="H287" s="10" t="str">
        <f aca="false">Config!$B$3</f>
        <v>2610_ff_lansare</v>
      </c>
      <c r="I287" s="10" t="str">
        <f aca="false">D287&amp;"_"&amp;Config!$B$4</f>
        <v>cald_general</v>
      </c>
      <c r="J287" s="10" t="str">
        <f aca="false">"https://"&amp;B287&amp;G287&amp;"?utm_source="&amp;E287&amp;"&amp;utm_medium="&amp;F287&amp;"&amp;utm_campaign="&amp;H287&amp;"&amp;utm_content="&amp;I287</f>
        <v>https://aiventure.uk/?utm_source=x&amp;utm_medium=social&amp;utm_campaign=2610_ff_lansare&amp;utm_content=cald_general</v>
      </c>
    </row>
    <row r="288" customFormat="false" ht="15" hidden="false" customHeight="false" outlineLevel="0" collapsed="false">
      <c r="A288" s="10" t="s">
        <v>53</v>
      </c>
      <c r="B288" s="10" t="str">
        <f aca="false">INDEX('Site-uri'!$B$2:$B$20,MATCH(A288,'Site-uri'!$A$2:$A$20,0))</f>
        <v>aiventure.uk</v>
      </c>
      <c r="C288" s="10" t="s">
        <v>153</v>
      </c>
      <c r="D288" s="10" t="s">
        <v>231</v>
      </c>
      <c r="E288" s="10" t="str">
        <f aca="false">INDEX(Canale!$C$2:$C$30,MATCH(C288,Canale!$A$2:$A$30,0))</f>
        <v>x</v>
      </c>
      <c r="F288" s="10" t="str">
        <f aca="false">INDEX(Canale!$D$2:$D$30,MATCH(C288,Canale!$A$2:$A$30,0))</f>
        <v>social</v>
      </c>
      <c r="G288" s="10" t="str">
        <f aca="false">INDEX('Site-uri'!$C$2:$C$20,MATCH(A288,'Site-uri'!$A$2:$A$20,0))</f>
        <v>/</v>
      </c>
      <c r="H288" s="10" t="str">
        <f aca="false">Config!$B$3</f>
        <v>2610_ff_lansare</v>
      </c>
      <c r="I288" s="10" t="str">
        <f aca="false">D288&amp;"_"&amp;Config!$B$4</f>
        <v>fierbinte_general</v>
      </c>
      <c r="J288" s="10" t="str">
        <f aca="false">"https://"&amp;B288&amp;G288&amp;"?utm_source="&amp;E288&amp;"&amp;utm_medium="&amp;F288&amp;"&amp;utm_campaign="&amp;H288&amp;"&amp;utm_content="&amp;I288</f>
        <v>https://aiventure.uk/?utm_source=x&amp;utm_medium=social&amp;utm_campaign=2610_ff_lansare&amp;utm_content=fierbinte_general</v>
      </c>
    </row>
    <row r="289" customFormat="false" ht="15" hidden="false" customHeight="false" outlineLevel="0" collapsed="false">
      <c r="A289" s="10" t="s">
        <v>53</v>
      </c>
      <c r="B289" s="10" t="str">
        <f aca="false">INDEX('Site-uri'!$B$2:$B$20,MATCH(A289,'Site-uri'!$A$2:$A$20,0))</f>
        <v>aiventure.uk</v>
      </c>
      <c r="C289" s="10" t="s">
        <v>153</v>
      </c>
      <c r="D289" s="10" t="s">
        <v>237</v>
      </c>
      <c r="E289" s="10" t="str">
        <f aca="false">INDEX(Canale!$C$2:$C$30,MATCH(C289,Canale!$A$2:$A$30,0))</f>
        <v>x</v>
      </c>
      <c r="F289" s="10" t="str">
        <f aca="false">INDEX(Canale!$D$2:$D$30,MATCH(C289,Canale!$A$2:$A$30,0))</f>
        <v>social</v>
      </c>
      <c r="G289" s="10" t="str">
        <f aca="false">INDEX('Site-uri'!$C$2:$C$20,MATCH(A289,'Site-uri'!$A$2:$A$20,0))</f>
        <v>/</v>
      </c>
      <c r="H289" s="10" t="str">
        <f aca="false">Config!$B$3</f>
        <v>2610_ff_lansare</v>
      </c>
      <c r="I289" s="10" t="str">
        <f aca="false">D289&amp;"_"&amp;Config!$B$4</f>
        <v>client_general</v>
      </c>
      <c r="J289" s="10" t="str">
        <f aca="false">"https://"&amp;B289&amp;G289&amp;"?utm_source="&amp;E289&amp;"&amp;utm_medium="&amp;F289&amp;"&amp;utm_campaign="&amp;H289&amp;"&amp;utm_content="&amp;I289</f>
        <v>https://aiventure.uk/?utm_source=x&amp;utm_medium=social&amp;utm_campaign=2610_ff_lansare&amp;utm_content=client_general</v>
      </c>
    </row>
    <row r="290" customFormat="false" ht="15" hidden="false" customHeight="false" outlineLevel="0" collapsed="false">
      <c r="A290" s="10" t="s">
        <v>53</v>
      </c>
      <c r="B290" s="10" t="str">
        <f aca="false">INDEX('Site-uri'!$B$2:$B$20,MATCH(A290,'Site-uri'!$A$2:$A$20,0))</f>
        <v>aiventure.uk</v>
      </c>
      <c r="C290" s="10" t="s">
        <v>155</v>
      </c>
      <c r="D290" s="10" t="s">
        <v>219</v>
      </c>
      <c r="E290" s="10" t="str">
        <f aca="false">INDEX(Canale!$C$2:$C$30,MATCH(C290,Canale!$A$2:$A$30,0))</f>
        <v>youtube</v>
      </c>
      <c r="F290" s="10" t="str">
        <f aca="false">INDEX(Canale!$D$2:$D$30,MATCH(C290,Canale!$A$2:$A$30,0))</f>
        <v>video</v>
      </c>
      <c r="G290" s="10" t="str">
        <f aca="false">INDEX('Site-uri'!$C$2:$C$20,MATCH(A290,'Site-uri'!$A$2:$A$20,0))</f>
        <v>/</v>
      </c>
      <c r="H290" s="10" t="str">
        <f aca="false">Config!$B$3</f>
        <v>2610_ff_lansare</v>
      </c>
      <c r="I290" s="10" t="str">
        <f aca="false">D290&amp;"_"&amp;Config!$B$4</f>
        <v>rece_general</v>
      </c>
      <c r="J290" s="10" t="str">
        <f aca="false">"https://"&amp;B290&amp;G290&amp;"?utm_source="&amp;E290&amp;"&amp;utm_medium="&amp;F290&amp;"&amp;utm_campaign="&amp;H290&amp;"&amp;utm_content="&amp;I290</f>
        <v>https://aiventure.uk/?utm_source=youtube&amp;utm_medium=video&amp;utm_campaign=2610_ff_lansare&amp;utm_content=rece_general</v>
      </c>
    </row>
    <row r="291" customFormat="false" ht="15" hidden="false" customHeight="false" outlineLevel="0" collapsed="false">
      <c r="A291" s="10" t="s">
        <v>53</v>
      </c>
      <c r="B291" s="10" t="str">
        <f aca="false">INDEX('Site-uri'!$B$2:$B$20,MATCH(A291,'Site-uri'!$A$2:$A$20,0))</f>
        <v>aiventure.uk</v>
      </c>
      <c r="C291" s="10" t="s">
        <v>155</v>
      </c>
      <c r="D291" s="10" t="s">
        <v>225</v>
      </c>
      <c r="E291" s="10" t="str">
        <f aca="false">INDEX(Canale!$C$2:$C$30,MATCH(C291,Canale!$A$2:$A$30,0))</f>
        <v>youtube</v>
      </c>
      <c r="F291" s="10" t="str">
        <f aca="false">INDEX(Canale!$D$2:$D$30,MATCH(C291,Canale!$A$2:$A$30,0))</f>
        <v>video</v>
      </c>
      <c r="G291" s="10" t="str">
        <f aca="false">INDEX('Site-uri'!$C$2:$C$20,MATCH(A291,'Site-uri'!$A$2:$A$20,0))</f>
        <v>/</v>
      </c>
      <c r="H291" s="10" t="str">
        <f aca="false">Config!$B$3</f>
        <v>2610_ff_lansare</v>
      </c>
      <c r="I291" s="10" t="str">
        <f aca="false">D291&amp;"_"&amp;Config!$B$4</f>
        <v>cald_general</v>
      </c>
      <c r="J291" s="10" t="str">
        <f aca="false">"https://"&amp;B291&amp;G291&amp;"?utm_source="&amp;E291&amp;"&amp;utm_medium="&amp;F291&amp;"&amp;utm_campaign="&amp;H291&amp;"&amp;utm_content="&amp;I291</f>
        <v>https://aiventure.uk/?utm_source=youtube&amp;utm_medium=video&amp;utm_campaign=2610_ff_lansare&amp;utm_content=cald_general</v>
      </c>
    </row>
    <row r="292" customFormat="false" ht="15" hidden="false" customHeight="false" outlineLevel="0" collapsed="false">
      <c r="A292" s="10" t="s">
        <v>53</v>
      </c>
      <c r="B292" s="10" t="str">
        <f aca="false">INDEX('Site-uri'!$B$2:$B$20,MATCH(A292,'Site-uri'!$A$2:$A$20,0))</f>
        <v>aiventure.uk</v>
      </c>
      <c r="C292" s="10" t="s">
        <v>155</v>
      </c>
      <c r="D292" s="10" t="s">
        <v>231</v>
      </c>
      <c r="E292" s="10" t="str">
        <f aca="false">INDEX(Canale!$C$2:$C$30,MATCH(C292,Canale!$A$2:$A$30,0))</f>
        <v>youtube</v>
      </c>
      <c r="F292" s="10" t="str">
        <f aca="false">INDEX(Canale!$D$2:$D$30,MATCH(C292,Canale!$A$2:$A$30,0))</f>
        <v>video</v>
      </c>
      <c r="G292" s="10" t="str">
        <f aca="false">INDEX('Site-uri'!$C$2:$C$20,MATCH(A292,'Site-uri'!$A$2:$A$20,0))</f>
        <v>/</v>
      </c>
      <c r="H292" s="10" t="str">
        <f aca="false">Config!$B$3</f>
        <v>2610_ff_lansare</v>
      </c>
      <c r="I292" s="10" t="str">
        <f aca="false">D292&amp;"_"&amp;Config!$B$4</f>
        <v>fierbinte_general</v>
      </c>
      <c r="J292" s="10" t="str">
        <f aca="false">"https://"&amp;B292&amp;G292&amp;"?utm_source="&amp;E292&amp;"&amp;utm_medium="&amp;F292&amp;"&amp;utm_campaign="&amp;H292&amp;"&amp;utm_content="&amp;I292</f>
        <v>https://aiventure.uk/?utm_source=youtube&amp;utm_medium=video&amp;utm_campaign=2610_ff_lansare&amp;utm_content=fierbinte_general</v>
      </c>
    </row>
    <row r="293" customFormat="false" ht="15" hidden="false" customHeight="false" outlineLevel="0" collapsed="false">
      <c r="A293" s="10" t="s">
        <v>53</v>
      </c>
      <c r="B293" s="10" t="str">
        <f aca="false">INDEX('Site-uri'!$B$2:$B$20,MATCH(A293,'Site-uri'!$A$2:$A$20,0))</f>
        <v>aiventure.uk</v>
      </c>
      <c r="C293" s="10" t="s">
        <v>155</v>
      </c>
      <c r="D293" s="10" t="s">
        <v>237</v>
      </c>
      <c r="E293" s="10" t="str">
        <f aca="false">INDEX(Canale!$C$2:$C$30,MATCH(C293,Canale!$A$2:$A$30,0))</f>
        <v>youtube</v>
      </c>
      <c r="F293" s="10" t="str">
        <f aca="false">INDEX(Canale!$D$2:$D$30,MATCH(C293,Canale!$A$2:$A$30,0))</f>
        <v>video</v>
      </c>
      <c r="G293" s="10" t="str">
        <f aca="false">INDEX('Site-uri'!$C$2:$C$20,MATCH(A293,'Site-uri'!$A$2:$A$20,0))</f>
        <v>/</v>
      </c>
      <c r="H293" s="10" t="str">
        <f aca="false">Config!$B$3</f>
        <v>2610_ff_lansare</v>
      </c>
      <c r="I293" s="10" t="str">
        <f aca="false">D293&amp;"_"&amp;Config!$B$4</f>
        <v>client_general</v>
      </c>
      <c r="J293" s="10" t="str">
        <f aca="false">"https://"&amp;B293&amp;G293&amp;"?utm_source="&amp;E293&amp;"&amp;utm_medium="&amp;F293&amp;"&amp;utm_campaign="&amp;H293&amp;"&amp;utm_content="&amp;I293</f>
        <v>https://aiventure.uk/?utm_source=youtube&amp;utm_medium=video&amp;utm_campaign=2610_ff_lansare&amp;utm_content=client_general</v>
      </c>
    </row>
    <row r="294" customFormat="false" ht="15" hidden="false" customHeight="false" outlineLevel="0" collapsed="false">
      <c r="A294" s="10" t="s">
        <v>53</v>
      </c>
      <c r="B294" s="10" t="str">
        <f aca="false">INDEX('Site-uri'!$B$2:$B$20,MATCH(A294,'Site-uri'!$A$2:$A$20,0))</f>
        <v>aiventure.uk</v>
      </c>
      <c r="C294" s="10" t="s">
        <v>160</v>
      </c>
      <c r="D294" s="10" t="s">
        <v>219</v>
      </c>
      <c r="E294" s="10" t="str">
        <f aca="false">INDEX(Canale!$C$2:$C$30,MATCH(C294,Canale!$A$2:$A$30,0))</f>
        <v>medium</v>
      </c>
      <c r="F294" s="10" t="str">
        <f aca="false">INDEX(Canale!$D$2:$D$30,MATCH(C294,Canale!$A$2:$A$30,0))</f>
        <v>content</v>
      </c>
      <c r="G294" s="10" t="str">
        <f aca="false">INDEX('Site-uri'!$C$2:$C$20,MATCH(A294,'Site-uri'!$A$2:$A$20,0))</f>
        <v>/</v>
      </c>
      <c r="H294" s="10" t="str">
        <f aca="false">Config!$B$3</f>
        <v>2610_ff_lansare</v>
      </c>
      <c r="I294" s="10" t="str">
        <f aca="false">D294&amp;"_"&amp;Config!$B$4</f>
        <v>rece_general</v>
      </c>
      <c r="J294" s="10" t="str">
        <f aca="false">"https://"&amp;B294&amp;G294&amp;"?utm_source="&amp;E294&amp;"&amp;utm_medium="&amp;F294&amp;"&amp;utm_campaign="&amp;H294&amp;"&amp;utm_content="&amp;I294</f>
        <v>https://aiventure.uk/?utm_source=medium&amp;utm_medium=content&amp;utm_campaign=2610_ff_lansare&amp;utm_content=rece_general</v>
      </c>
    </row>
    <row r="295" customFormat="false" ht="15" hidden="false" customHeight="false" outlineLevel="0" collapsed="false">
      <c r="A295" s="10" t="s">
        <v>53</v>
      </c>
      <c r="B295" s="10" t="str">
        <f aca="false">INDEX('Site-uri'!$B$2:$B$20,MATCH(A295,'Site-uri'!$A$2:$A$20,0))</f>
        <v>aiventure.uk</v>
      </c>
      <c r="C295" s="10" t="s">
        <v>160</v>
      </c>
      <c r="D295" s="10" t="s">
        <v>225</v>
      </c>
      <c r="E295" s="10" t="str">
        <f aca="false">INDEX(Canale!$C$2:$C$30,MATCH(C295,Canale!$A$2:$A$30,0))</f>
        <v>medium</v>
      </c>
      <c r="F295" s="10" t="str">
        <f aca="false">INDEX(Canale!$D$2:$D$30,MATCH(C295,Canale!$A$2:$A$30,0))</f>
        <v>content</v>
      </c>
      <c r="G295" s="10" t="str">
        <f aca="false">INDEX('Site-uri'!$C$2:$C$20,MATCH(A295,'Site-uri'!$A$2:$A$20,0))</f>
        <v>/</v>
      </c>
      <c r="H295" s="10" t="str">
        <f aca="false">Config!$B$3</f>
        <v>2610_ff_lansare</v>
      </c>
      <c r="I295" s="10" t="str">
        <f aca="false">D295&amp;"_"&amp;Config!$B$4</f>
        <v>cald_general</v>
      </c>
      <c r="J295" s="10" t="str">
        <f aca="false">"https://"&amp;B295&amp;G295&amp;"?utm_source="&amp;E295&amp;"&amp;utm_medium="&amp;F295&amp;"&amp;utm_campaign="&amp;H295&amp;"&amp;utm_content="&amp;I295</f>
        <v>https://aiventure.uk/?utm_source=medium&amp;utm_medium=content&amp;utm_campaign=2610_ff_lansare&amp;utm_content=cald_general</v>
      </c>
    </row>
    <row r="296" customFormat="false" ht="15" hidden="false" customHeight="false" outlineLevel="0" collapsed="false">
      <c r="A296" s="10" t="s">
        <v>53</v>
      </c>
      <c r="B296" s="10" t="str">
        <f aca="false">INDEX('Site-uri'!$B$2:$B$20,MATCH(A296,'Site-uri'!$A$2:$A$20,0))</f>
        <v>aiventure.uk</v>
      </c>
      <c r="C296" s="10" t="s">
        <v>160</v>
      </c>
      <c r="D296" s="10" t="s">
        <v>231</v>
      </c>
      <c r="E296" s="10" t="str">
        <f aca="false">INDEX(Canale!$C$2:$C$30,MATCH(C296,Canale!$A$2:$A$30,0))</f>
        <v>medium</v>
      </c>
      <c r="F296" s="10" t="str">
        <f aca="false">INDEX(Canale!$D$2:$D$30,MATCH(C296,Canale!$A$2:$A$30,0))</f>
        <v>content</v>
      </c>
      <c r="G296" s="10" t="str">
        <f aca="false">INDEX('Site-uri'!$C$2:$C$20,MATCH(A296,'Site-uri'!$A$2:$A$20,0))</f>
        <v>/</v>
      </c>
      <c r="H296" s="10" t="str">
        <f aca="false">Config!$B$3</f>
        <v>2610_ff_lansare</v>
      </c>
      <c r="I296" s="10" t="str">
        <f aca="false">D296&amp;"_"&amp;Config!$B$4</f>
        <v>fierbinte_general</v>
      </c>
      <c r="J296" s="10" t="str">
        <f aca="false">"https://"&amp;B296&amp;G296&amp;"?utm_source="&amp;E296&amp;"&amp;utm_medium="&amp;F296&amp;"&amp;utm_campaign="&amp;H296&amp;"&amp;utm_content="&amp;I296</f>
        <v>https://aiventure.uk/?utm_source=medium&amp;utm_medium=content&amp;utm_campaign=2610_ff_lansare&amp;utm_content=fierbinte_general</v>
      </c>
    </row>
    <row r="297" customFormat="false" ht="15" hidden="false" customHeight="false" outlineLevel="0" collapsed="false">
      <c r="A297" s="10" t="s">
        <v>53</v>
      </c>
      <c r="B297" s="10" t="str">
        <f aca="false">INDEX('Site-uri'!$B$2:$B$20,MATCH(A297,'Site-uri'!$A$2:$A$20,0))</f>
        <v>aiventure.uk</v>
      </c>
      <c r="C297" s="10" t="s">
        <v>160</v>
      </c>
      <c r="D297" s="10" t="s">
        <v>237</v>
      </c>
      <c r="E297" s="10" t="str">
        <f aca="false">INDEX(Canale!$C$2:$C$30,MATCH(C297,Canale!$A$2:$A$30,0))</f>
        <v>medium</v>
      </c>
      <c r="F297" s="10" t="str">
        <f aca="false">INDEX(Canale!$D$2:$D$30,MATCH(C297,Canale!$A$2:$A$30,0))</f>
        <v>content</v>
      </c>
      <c r="G297" s="10" t="str">
        <f aca="false">INDEX('Site-uri'!$C$2:$C$20,MATCH(A297,'Site-uri'!$A$2:$A$20,0))</f>
        <v>/</v>
      </c>
      <c r="H297" s="10" t="str">
        <f aca="false">Config!$B$3</f>
        <v>2610_ff_lansare</v>
      </c>
      <c r="I297" s="10" t="str">
        <f aca="false">D297&amp;"_"&amp;Config!$B$4</f>
        <v>client_general</v>
      </c>
      <c r="J297" s="10" t="str">
        <f aca="false">"https://"&amp;B297&amp;G297&amp;"?utm_source="&amp;E297&amp;"&amp;utm_medium="&amp;F297&amp;"&amp;utm_campaign="&amp;H297&amp;"&amp;utm_content="&amp;I297</f>
        <v>https://aiventure.uk/?utm_source=medium&amp;utm_medium=content&amp;utm_campaign=2610_ff_lansare&amp;utm_content=client_general</v>
      </c>
    </row>
    <row r="298" customFormat="false" ht="15" hidden="false" customHeight="false" outlineLevel="0" collapsed="false">
      <c r="A298" s="10" t="s">
        <v>53</v>
      </c>
      <c r="B298" s="10" t="str">
        <f aca="false">INDEX('Site-uri'!$B$2:$B$20,MATCH(A298,'Site-uri'!$A$2:$A$20,0))</f>
        <v>aiventure.uk</v>
      </c>
      <c r="C298" s="10" t="s">
        <v>165</v>
      </c>
      <c r="D298" s="10" t="s">
        <v>219</v>
      </c>
      <c r="E298" s="10" t="str">
        <f aca="false">INDEX(Canale!$C$2:$C$30,MATCH(C298,Canale!$A$2:$A$30,0))</f>
        <v>crunchbase</v>
      </c>
      <c r="F298" s="10" t="str">
        <f aca="false">INDEX(Canale!$D$2:$D$30,MATCH(C298,Canale!$A$2:$A$30,0))</f>
        <v>referral</v>
      </c>
      <c r="G298" s="10" t="str">
        <f aca="false">INDEX('Site-uri'!$C$2:$C$20,MATCH(A298,'Site-uri'!$A$2:$A$20,0))</f>
        <v>/</v>
      </c>
      <c r="H298" s="10" t="str">
        <f aca="false">Config!$B$3</f>
        <v>2610_ff_lansare</v>
      </c>
      <c r="I298" s="10" t="str">
        <f aca="false">D298&amp;"_"&amp;Config!$B$4</f>
        <v>rece_general</v>
      </c>
      <c r="J298" s="10" t="str">
        <f aca="false">"https://"&amp;B298&amp;G298&amp;"?utm_source="&amp;E298&amp;"&amp;utm_medium="&amp;F298&amp;"&amp;utm_campaign="&amp;H298&amp;"&amp;utm_content="&amp;I298</f>
        <v>https://aiventure.uk/?utm_source=crunchbase&amp;utm_medium=referral&amp;utm_campaign=2610_ff_lansare&amp;utm_content=rece_general</v>
      </c>
    </row>
    <row r="299" customFormat="false" ht="15" hidden="false" customHeight="false" outlineLevel="0" collapsed="false">
      <c r="A299" s="10" t="s">
        <v>53</v>
      </c>
      <c r="B299" s="10" t="str">
        <f aca="false">INDEX('Site-uri'!$B$2:$B$20,MATCH(A299,'Site-uri'!$A$2:$A$20,0))</f>
        <v>aiventure.uk</v>
      </c>
      <c r="C299" s="10" t="s">
        <v>165</v>
      </c>
      <c r="D299" s="10" t="s">
        <v>225</v>
      </c>
      <c r="E299" s="10" t="str">
        <f aca="false">INDEX(Canale!$C$2:$C$30,MATCH(C299,Canale!$A$2:$A$30,0))</f>
        <v>crunchbase</v>
      </c>
      <c r="F299" s="10" t="str">
        <f aca="false">INDEX(Canale!$D$2:$D$30,MATCH(C299,Canale!$A$2:$A$30,0))</f>
        <v>referral</v>
      </c>
      <c r="G299" s="10" t="str">
        <f aca="false">INDEX('Site-uri'!$C$2:$C$20,MATCH(A299,'Site-uri'!$A$2:$A$20,0))</f>
        <v>/</v>
      </c>
      <c r="H299" s="10" t="str">
        <f aca="false">Config!$B$3</f>
        <v>2610_ff_lansare</v>
      </c>
      <c r="I299" s="10" t="str">
        <f aca="false">D299&amp;"_"&amp;Config!$B$4</f>
        <v>cald_general</v>
      </c>
      <c r="J299" s="10" t="str">
        <f aca="false">"https://"&amp;B299&amp;G299&amp;"?utm_source="&amp;E299&amp;"&amp;utm_medium="&amp;F299&amp;"&amp;utm_campaign="&amp;H299&amp;"&amp;utm_content="&amp;I299</f>
        <v>https://aiventure.uk/?utm_source=crunchbase&amp;utm_medium=referral&amp;utm_campaign=2610_ff_lansare&amp;utm_content=cald_general</v>
      </c>
    </row>
    <row r="300" customFormat="false" ht="15" hidden="false" customHeight="false" outlineLevel="0" collapsed="false">
      <c r="A300" s="10" t="s">
        <v>53</v>
      </c>
      <c r="B300" s="10" t="str">
        <f aca="false">INDEX('Site-uri'!$B$2:$B$20,MATCH(A300,'Site-uri'!$A$2:$A$20,0))</f>
        <v>aiventure.uk</v>
      </c>
      <c r="C300" s="10" t="s">
        <v>165</v>
      </c>
      <c r="D300" s="10" t="s">
        <v>231</v>
      </c>
      <c r="E300" s="10" t="str">
        <f aca="false">INDEX(Canale!$C$2:$C$30,MATCH(C300,Canale!$A$2:$A$30,0))</f>
        <v>crunchbase</v>
      </c>
      <c r="F300" s="10" t="str">
        <f aca="false">INDEX(Canale!$D$2:$D$30,MATCH(C300,Canale!$A$2:$A$30,0))</f>
        <v>referral</v>
      </c>
      <c r="G300" s="10" t="str">
        <f aca="false">INDEX('Site-uri'!$C$2:$C$20,MATCH(A300,'Site-uri'!$A$2:$A$20,0))</f>
        <v>/</v>
      </c>
      <c r="H300" s="10" t="str">
        <f aca="false">Config!$B$3</f>
        <v>2610_ff_lansare</v>
      </c>
      <c r="I300" s="10" t="str">
        <f aca="false">D300&amp;"_"&amp;Config!$B$4</f>
        <v>fierbinte_general</v>
      </c>
      <c r="J300" s="10" t="str">
        <f aca="false">"https://"&amp;B300&amp;G300&amp;"?utm_source="&amp;E300&amp;"&amp;utm_medium="&amp;F300&amp;"&amp;utm_campaign="&amp;H300&amp;"&amp;utm_content="&amp;I300</f>
        <v>https://aiventure.uk/?utm_source=crunchbase&amp;utm_medium=referral&amp;utm_campaign=2610_ff_lansare&amp;utm_content=fierbinte_general</v>
      </c>
    </row>
    <row r="301" customFormat="false" ht="15" hidden="false" customHeight="false" outlineLevel="0" collapsed="false">
      <c r="A301" s="10" t="s">
        <v>53</v>
      </c>
      <c r="B301" s="10" t="str">
        <f aca="false">INDEX('Site-uri'!$B$2:$B$20,MATCH(A301,'Site-uri'!$A$2:$A$20,0))</f>
        <v>aiventure.uk</v>
      </c>
      <c r="C301" s="10" t="s">
        <v>165</v>
      </c>
      <c r="D301" s="10" t="s">
        <v>237</v>
      </c>
      <c r="E301" s="10" t="str">
        <f aca="false">INDEX(Canale!$C$2:$C$30,MATCH(C301,Canale!$A$2:$A$30,0))</f>
        <v>crunchbase</v>
      </c>
      <c r="F301" s="10" t="str">
        <f aca="false">INDEX(Canale!$D$2:$D$30,MATCH(C301,Canale!$A$2:$A$30,0))</f>
        <v>referral</v>
      </c>
      <c r="G301" s="10" t="str">
        <f aca="false">INDEX('Site-uri'!$C$2:$C$20,MATCH(A301,'Site-uri'!$A$2:$A$20,0))</f>
        <v>/</v>
      </c>
      <c r="H301" s="10" t="str">
        <f aca="false">Config!$B$3</f>
        <v>2610_ff_lansare</v>
      </c>
      <c r="I301" s="10" t="str">
        <f aca="false">D301&amp;"_"&amp;Config!$B$4</f>
        <v>client_general</v>
      </c>
      <c r="J301" s="10" t="str">
        <f aca="false">"https://"&amp;B301&amp;G301&amp;"?utm_source="&amp;E301&amp;"&amp;utm_medium="&amp;F301&amp;"&amp;utm_campaign="&amp;H301&amp;"&amp;utm_content="&amp;I301</f>
        <v>https://aiventure.uk/?utm_source=crunchbase&amp;utm_medium=referral&amp;utm_campaign=2610_ff_lansare&amp;utm_content=client_general</v>
      </c>
    </row>
    <row r="302" customFormat="false" ht="15" hidden="false" customHeight="false" outlineLevel="0" collapsed="false">
      <c r="A302" s="10" t="s">
        <v>53</v>
      </c>
      <c r="B302" s="10" t="str">
        <f aca="false">INDEX('Site-uri'!$B$2:$B$20,MATCH(A302,'Site-uri'!$A$2:$A$20,0))</f>
        <v>aiventure.uk</v>
      </c>
      <c r="C302" s="10" t="s">
        <v>170</v>
      </c>
      <c r="D302" s="10" t="s">
        <v>219</v>
      </c>
      <c r="E302" s="10" t="str">
        <f aca="false">INDEX(Canale!$C$2:$C$30,MATCH(C302,Canale!$A$2:$A$30,0))</f>
        <v>zenodo</v>
      </c>
      <c r="F302" s="10" t="str">
        <f aca="false">INDEX(Canale!$D$2:$D$30,MATCH(C302,Canale!$A$2:$A$30,0))</f>
        <v>referral</v>
      </c>
      <c r="G302" s="10" t="str">
        <f aca="false">INDEX('Site-uri'!$C$2:$C$20,MATCH(A302,'Site-uri'!$A$2:$A$20,0))</f>
        <v>/</v>
      </c>
      <c r="H302" s="10" t="str">
        <f aca="false">Config!$B$3</f>
        <v>2610_ff_lansare</v>
      </c>
      <c r="I302" s="10" t="str">
        <f aca="false">D302&amp;"_"&amp;Config!$B$4</f>
        <v>rece_general</v>
      </c>
      <c r="J302" s="10" t="str">
        <f aca="false">"https://"&amp;B302&amp;G302&amp;"?utm_source="&amp;E302&amp;"&amp;utm_medium="&amp;F302&amp;"&amp;utm_campaign="&amp;H302&amp;"&amp;utm_content="&amp;I302</f>
        <v>https://aiventure.uk/?utm_source=zenodo&amp;utm_medium=referral&amp;utm_campaign=2610_ff_lansare&amp;utm_content=rece_general</v>
      </c>
    </row>
    <row r="303" customFormat="false" ht="15" hidden="false" customHeight="false" outlineLevel="0" collapsed="false">
      <c r="A303" s="10" t="s">
        <v>53</v>
      </c>
      <c r="B303" s="10" t="str">
        <f aca="false">INDEX('Site-uri'!$B$2:$B$20,MATCH(A303,'Site-uri'!$A$2:$A$20,0))</f>
        <v>aiventure.uk</v>
      </c>
      <c r="C303" s="10" t="s">
        <v>170</v>
      </c>
      <c r="D303" s="10" t="s">
        <v>225</v>
      </c>
      <c r="E303" s="10" t="str">
        <f aca="false">INDEX(Canale!$C$2:$C$30,MATCH(C303,Canale!$A$2:$A$30,0))</f>
        <v>zenodo</v>
      </c>
      <c r="F303" s="10" t="str">
        <f aca="false">INDEX(Canale!$D$2:$D$30,MATCH(C303,Canale!$A$2:$A$30,0))</f>
        <v>referral</v>
      </c>
      <c r="G303" s="10" t="str">
        <f aca="false">INDEX('Site-uri'!$C$2:$C$20,MATCH(A303,'Site-uri'!$A$2:$A$20,0))</f>
        <v>/</v>
      </c>
      <c r="H303" s="10" t="str">
        <f aca="false">Config!$B$3</f>
        <v>2610_ff_lansare</v>
      </c>
      <c r="I303" s="10" t="str">
        <f aca="false">D303&amp;"_"&amp;Config!$B$4</f>
        <v>cald_general</v>
      </c>
      <c r="J303" s="10" t="str">
        <f aca="false">"https://"&amp;B303&amp;G303&amp;"?utm_source="&amp;E303&amp;"&amp;utm_medium="&amp;F303&amp;"&amp;utm_campaign="&amp;H303&amp;"&amp;utm_content="&amp;I303</f>
        <v>https://aiventure.uk/?utm_source=zenodo&amp;utm_medium=referral&amp;utm_campaign=2610_ff_lansare&amp;utm_content=cald_general</v>
      </c>
    </row>
    <row r="304" customFormat="false" ht="15" hidden="false" customHeight="false" outlineLevel="0" collapsed="false">
      <c r="A304" s="10" t="s">
        <v>53</v>
      </c>
      <c r="B304" s="10" t="str">
        <f aca="false">INDEX('Site-uri'!$B$2:$B$20,MATCH(A304,'Site-uri'!$A$2:$A$20,0))</f>
        <v>aiventure.uk</v>
      </c>
      <c r="C304" s="10" t="s">
        <v>170</v>
      </c>
      <c r="D304" s="10" t="s">
        <v>231</v>
      </c>
      <c r="E304" s="10" t="str">
        <f aca="false">INDEX(Canale!$C$2:$C$30,MATCH(C304,Canale!$A$2:$A$30,0))</f>
        <v>zenodo</v>
      </c>
      <c r="F304" s="10" t="str">
        <f aca="false">INDEX(Canale!$D$2:$D$30,MATCH(C304,Canale!$A$2:$A$30,0))</f>
        <v>referral</v>
      </c>
      <c r="G304" s="10" t="str">
        <f aca="false">INDEX('Site-uri'!$C$2:$C$20,MATCH(A304,'Site-uri'!$A$2:$A$20,0))</f>
        <v>/</v>
      </c>
      <c r="H304" s="10" t="str">
        <f aca="false">Config!$B$3</f>
        <v>2610_ff_lansare</v>
      </c>
      <c r="I304" s="10" t="str">
        <f aca="false">D304&amp;"_"&amp;Config!$B$4</f>
        <v>fierbinte_general</v>
      </c>
      <c r="J304" s="10" t="str">
        <f aca="false">"https://"&amp;B304&amp;G304&amp;"?utm_source="&amp;E304&amp;"&amp;utm_medium="&amp;F304&amp;"&amp;utm_campaign="&amp;H304&amp;"&amp;utm_content="&amp;I304</f>
        <v>https://aiventure.uk/?utm_source=zenodo&amp;utm_medium=referral&amp;utm_campaign=2610_ff_lansare&amp;utm_content=fierbinte_general</v>
      </c>
    </row>
    <row r="305" customFormat="false" ht="15" hidden="false" customHeight="false" outlineLevel="0" collapsed="false">
      <c r="A305" s="10" t="s">
        <v>53</v>
      </c>
      <c r="B305" s="10" t="str">
        <f aca="false">INDEX('Site-uri'!$B$2:$B$20,MATCH(A305,'Site-uri'!$A$2:$A$20,0))</f>
        <v>aiventure.uk</v>
      </c>
      <c r="C305" s="10" t="s">
        <v>170</v>
      </c>
      <c r="D305" s="10" t="s">
        <v>237</v>
      </c>
      <c r="E305" s="10" t="str">
        <f aca="false">INDEX(Canale!$C$2:$C$30,MATCH(C305,Canale!$A$2:$A$30,0))</f>
        <v>zenodo</v>
      </c>
      <c r="F305" s="10" t="str">
        <f aca="false">INDEX(Canale!$D$2:$D$30,MATCH(C305,Canale!$A$2:$A$30,0))</f>
        <v>referral</v>
      </c>
      <c r="G305" s="10" t="str">
        <f aca="false">INDEX('Site-uri'!$C$2:$C$20,MATCH(A305,'Site-uri'!$A$2:$A$20,0))</f>
        <v>/</v>
      </c>
      <c r="H305" s="10" t="str">
        <f aca="false">Config!$B$3</f>
        <v>2610_ff_lansare</v>
      </c>
      <c r="I305" s="10" t="str">
        <f aca="false">D305&amp;"_"&amp;Config!$B$4</f>
        <v>client_general</v>
      </c>
      <c r="J305" s="10" t="str">
        <f aca="false">"https://"&amp;B305&amp;G305&amp;"?utm_source="&amp;E305&amp;"&amp;utm_medium="&amp;F305&amp;"&amp;utm_campaign="&amp;H305&amp;"&amp;utm_content="&amp;I305</f>
        <v>https://aiventure.uk/?utm_source=zenodo&amp;utm_medium=referral&amp;utm_campaign=2610_ff_lansare&amp;utm_content=client_general</v>
      </c>
    </row>
    <row r="306" customFormat="false" ht="15" hidden="false" customHeight="false" outlineLevel="0" collapsed="false">
      <c r="A306" s="10" t="s">
        <v>53</v>
      </c>
      <c r="B306" s="10" t="str">
        <f aca="false">INDEX('Site-uri'!$B$2:$B$20,MATCH(A306,'Site-uri'!$A$2:$A$20,0))</f>
        <v>aiventure.uk</v>
      </c>
      <c r="C306" s="10" t="s">
        <v>173</v>
      </c>
      <c r="D306" s="10" t="s">
        <v>219</v>
      </c>
      <c r="E306" s="10" t="str">
        <f aca="false">INDEX(Canale!$C$2:$C$30,MATCH(C306,Canale!$A$2:$A$30,0))</f>
        <v>orcid</v>
      </c>
      <c r="F306" s="10" t="str">
        <f aca="false">INDEX(Canale!$D$2:$D$30,MATCH(C306,Canale!$A$2:$A$30,0))</f>
        <v>referral</v>
      </c>
      <c r="G306" s="10" t="str">
        <f aca="false">INDEX('Site-uri'!$C$2:$C$20,MATCH(A306,'Site-uri'!$A$2:$A$20,0))</f>
        <v>/</v>
      </c>
      <c r="H306" s="10" t="str">
        <f aca="false">Config!$B$3</f>
        <v>2610_ff_lansare</v>
      </c>
      <c r="I306" s="10" t="str">
        <f aca="false">D306&amp;"_"&amp;Config!$B$4</f>
        <v>rece_general</v>
      </c>
      <c r="J306" s="10" t="str">
        <f aca="false">"https://"&amp;B306&amp;G306&amp;"?utm_source="&amp;E306&amp;"&amp;utm_medium="&amp;F306&amp;"&amp;utm_campaign="&amp;H306&amp;"&amp;utm_content="&amp;I306</f>
        <v>https://aiventure.uk/?utm_source=orcid&amp;utm_medium=referral&amp;utm_campaign=2610_ff_lansare&amp;utm_content=rece_general</v>
      </c>
    </row>
    <row r="307" customFormat="false" ht="15" hidden="false" customHeight="false" outlineLevel="0" collapsed="false">
      <c r="A307" s="10" t="s">
        <v>53</v>
      </c>
      <c r="B307" s="10" t="str">
        <f aca="false">INDEX('Site-uri'!$B$2:$B$20,MATCH(A307,'Site-uri'!$A$2:$A$20,0))</f>
        <v>aiventure.uk</v>
      </c>
      <c r="C307" s="10" t="s">
        <v>173</v>
      </c>
      <c r="D307" s="10" t="s">
        <v>225</v>
      </c>
      <c r="E307" s="10" t="str">
        <f aca="false">INDEX(Canale!$C$2:$C$30,MATCH(C307,Canale!$A$2:$A$30,0))</f>
        <v>orcid</v>
      </c>
      <c r="F307" s="10" t="str">
        <f aca="false">INDEX(Canale!$D$2:$D$30,MATCH(C307,Canale!$A$2:$A$30,0))</f>
        <v>referral</v>
      </c>
      <c r="G307" s="10" t="str">
        <f aca="false">INDEX('Site-uri'!$C$2:$C$20,MATCH(A307,'Site-uri'!$A$2:$A$20,0))</f>
        <v>/</v>
      </c>
      <c r="H307" s="10" t="str">
        <f aca="false">Config!$B$3</f>
        <v>2610_ff_lansare</v>
      </c>
      <c r="I307" s="10" t="str">
        <f aca="false">D307&amp;"_"&amp;Config!$B$4</f>
        <v>cald_general</v>
      </c>
      <c r="J307" s="10" t="str">
        <f aca="false">"https://"&amp;B307&amp;G307&amp;"?utm_source="&amp;E307&amp;"&amp;utm_medium="&amp;F307&amp;"&amp;utm_campaign="&amp;H307&amp;"&amp;utm_content="&amp;I307</f>
        <v>https://aiventure.uk/?utm_source=orcid&amp;utm_medium=referral&amp;utm_campaign=2610_ff_lansare&amp;utm_content=cald_general</v>
      </c>
    </row>
    <row r="308" customFormat="false" ht="15" hidden="false" customHeight="false" outlineLevel="0" collapsed="false">
      <c r="A308" s="10" t="s">
        <v>53</v>
      </c>
      <c r="B308" s="10" t="str">
        <f aca="false">INDEX('Site-uri'!$B$2:$B$20,MATCH(A308,'Site-uri'!$A$2:$A$20,0))</f>
        <v>aiventure.uk</v>
      </c>
      <c r="C308" s="10" t="s">
        <v>173</v>
      </c>
      <c r="D308" s="10" t="s">
        <v>231</v>
      </c>
      <c r="E308" s="10" t="str">
        <f aca="false">INDEX(Canale!$C$2:$C$30,MATCH(C308,Canale!$A$2:$A$30,0))</f>
        <v>orcid</v>
      </c>
      <c r="F308" s="10" t="str">
        <f aca="false">INDEX(Canale!$D$2:$D$30,MATCH(C308,Canale!$A$2:$A$30,0))</f>
        <v>referral</v>
      </c>
      <c r="G308" s="10" t="str">
        <f aca="false">INDEX('Site-uri'!$C$2:$C$20,MATCH(A308,'Site-uri'!$A$2:$A$20,0))</f>
        <v>/</v>
      </c>
      <c r="H308" s="10" t="str">
        <f aca="false">Config!$B$3</f>
        <v>2610_ff_lansare</v>
      </c>
      <c r="I308" s="10" t="str">
        <f aca="false">D308&amp;"_"&amp;Config!$B$4</f>
        <v>fierbinte_general</v>
      </c>
      <c r="J308" s="10" t="str">
        <f aca="false">"https://"&amp;B308&amp;G308&amp;"?utm_source="&amp;E308&amp;"&amp;utm_medium="&amp;F308&amp;"&amp;utm_campaign="&amp;H308&amp;"&amp;utm_content="&amp;I308</f>
        <v>https://aiventure.uk/?utm_source=orcid&amp;utm_medium=referral&amp;utm_campaign=2610_ff_lansare&amp;utm_content=fierbinte_general</v>
      </c>
    </row>
    <row r="309" customFormat="false" ht="15" hidden="false" customHeight="false" outlineLevel="0" collapsed="false">
      <c r="A309" s="10" t="s">
        <v>53</v>
      </c>
      <c r="B309" s="10" t="str">
        <f aca="false">INDEX('Site-uri'!$B$2:$B$20,MATCH(A309,'Site-uri'!$A$2:$A$20,0))</f>
        <v>aiventure.uk</v>
      </c>
      <c r="C309" s="10" t="s">
        <v>173</v>
      </c>
      <c r="D309" s="10" t="s">
        <v>237</v>
      </c>
      <c r="E309" s="10" t="str">
        <f aca="false">INDEX(Canale!$C$2:$C$30,MATCH(C309,Canale!$A$2:$A$30,0))</f>
        <v>orcid</v>
      </c>
      <c r="F309" s="10" t="str">
        <f aca="false">INDEX(Canale!$D$2:$D$30,MATCH(C309,Canale!$A$2:$A$30,0))</f>
        <v>referral</v>
      </c>
      <c r="G309" s="10" t="str">
        <f aca="false">INDEX('Site-uri'!$C$2:$C$20,MATCH(A309,'Site-uri'!$A$2:$A$20,0))</f>
        <v>/</v>
      </c>
      <c r="H309" s="10" t="str">
        <f aca="false">Config!$B$3</f>
        <v>2610_ff_lansare</v>
      </c>
      <c r="I309" s="10" t="str">
        <f aca="false">D309&amp;"_"&amp;Config!$B$4</f>
        <v>client_general</v>
      </c>
      <c r="J309" s="10" t="str">
        <f aca="false">"https://"&amp;B309&amp;G309&amp;"?utm_source="&amp;E309&amp;"&amp;utm_medium="&amp;F309&amp;"&amp;utm_campaign="&amp;H309&amp;"&amp;utm_content="&amp;I309</f>
        <v>https://aiventure.uk/?utm_source=orcid&amp;utm_medium=referral&amp;utm_campaign=2610_ff_lansare&amp;utm_content=client_general</v>
      </c>
    </row>
    <row r="310" customFormat="false" ht="15" hidden="false" customHeight="false" outlineLevel="0" collapsed="false">
      <c r="A310" s="10" t="s">
        <v>53</v>
      </c>
      <c r="B310" s="10" t="str">
        <f aca="false">INDEX('Site-uri'!$B$2:$B$20,MATCH(A310,'Site-uri'!$A$2:$A$20,0))</f>
        <v>aiventure.uk</v>
      </c>
      <c r="C310" s="10" t="s">
        <v>176</v>
      </c>
      <c r="D310" s="10" t="s">
        <v>219</v>
      </c>
      <c r="E310" s="10" t="str">
        <f aca="false">INDEX(Canale!$C$2:$C$30,MATCH(C310,Canale!$A$2:$A$30,0))</f>
        <v>github</v>
      </c>
      <c r="F310" s="10" t="str">
        <f aca="false">INDEX(Canale!$D$2:$D$30,MATCH(C310,Canale!$A$2:$A$30,0))</f>
        <v>referral</v>
      </c>
      <c r="G310" s="10" t="str">
        <f aca="false">INDEX('Site-uri'!$C$2:$C$20,MATCH(A310,'Site-uri'!$A$2:$A$20,0))</f>
        <v>/</v>
      </c>
      <c r="H310" s="10" t="str">
        <f aca="false">Config!$B$3</f>
        <v>2610_ff_lansare</v>
      </c>
      <c r="I310" s="10" t="str">
        <f aca="false">D310&amp;"_"&amp;Config!$B$4</f>
        <v>rece_general</v>
      </c>
      <c r="J310" s="10" t="str">
        <f aca="false">"https://"&amp;B310&amp;G310&amp;"?utm_source="&amp;E310&amp;"&amp;utm_medium="&amp;F310&amp;"&amp;utm_campaign="&amp;H310&amp;"&amp;utm_content="&amp;I310</f>
        <v>https://aiventure.uk/?utm_source=github&amp;utm_medium=referral&amp;utm_campaign=2610_ff_lansare&amp;utm_content=rece_general</v>
      </c>
    </row>
    <row r="311" customFormat="false" ht="15" hidden="false" customHeight="false" outlineLevel="0" collapsed="false">
      <c r="A311" s="10" t="s">
        <v>53</v>
      </c>
      <c r="B311" s="10" t="str">
        <f aca="false">INDEX('Site-uri'!$B$2:$B$20,MATCH(A311,'Site-uri'!$A$2:$A$20,0))</f>
        <v>aiventure.uk</v>
      </c>
      <c r="C311" s="10" t="s">
        <v>176</v>
      </c>
      <c r="D311" s="10" t="s">
        <v>225</v>
      </c>
      <c r="E311" s="10" t="str">
        <f aca="false">INDEX(Canale!$C$2:$C$30,MATCH(C311,Canale!$A$2:$A$30,0))</f>
        <v>github</v>
      </c>
      <c r="F311" s="10" t="str">
        <f aca="false">INDEX(Canale!$D$2:$D$30,MATCH(C311,Canale!$A$2:$A$30,0))</f>
        <v>referral</v>
      </c>
      <c r="G311" s="10" t="str">
        <f aca="false">INDEX('Site-uri'!$C$2:$C$20,MATCH(A311,'Site-uri'!$A$2:$A$20,0))</f>
        <v>/</v>
      </c>
      <c r="H311" s="10" t="str">
        <f aca="false">Config!$B$3</f>
        <v>2610_ff_lansare</v>
      </c>
      <c r="I311" s="10" t="str">
        <f aca="false">D311&amp;"_"&amp;Config!$B$4</f>
        <v>cald_general</v>
      </c>
      <c r="J311" s="10" t="str">
        <f aca="false">"https://"&amp;B311&amp;G311&amp;"?utm_source="&amp;E311&amp;"&amp;utm_medium="&amp;F311&amp;"&amp;utm_campaign="&amp;H311&amp;"&amp;utm_content="&amp;I311</f>
        <v>https://aiventure.uk/?utm_source=github&amp;utm_medium=referral&amp;utm_campaign=2610_ff_lansare&amp;utm_content=cald_general</v>
      </c>
    </row>
    <row r="312" customFormat="false" ht="15" hidden="false" customHeight="false" outlineLevel="0" collapsed="false">
      <c r="A312" s="10" t="s">
        <v>53</v>
      </c>
      <c r="B312" s="10" t="str">
        <f aca="false">INDEX('Site-uri'!$B$2:$B$20,MATCH(A312,'Site-uri'!$A$2:$A$20,0))</f>
        <v>aiventure.uk</v>
      </c>
      <c r="C312" s="10" t="s">
        <v>176</v>
      </c>
      <c r="D312" s="10" t="s">
        <v>231</v>
      </c>
      <c r="E312" s="10" t="str">
        <f aca="false">INDEX(Canale!$C$2:$C$30,MATCH(C312,Canale!$A$2:$A$30,0))</f>
        <v>github</v>
      </c>
      <c r="F312" s="10" t="str">
        <f aca="false">INDEX(Canale!$D$2:$D$30,MATCH(C312,Canale!$A$2:$A$30,0))</f>
        <v>referral</v>
      </c>
      <c r="G312" s="10" t="str">
        <f aca="false">INDEX('Site-uri'!$C$2:$C$20,MATCH(A312,'Site-uri'!$A$2:$A$20,0))</f>
        <v>/</v>
      </c>
      <c r="H312" s="10" t="str">
        <f aca="false">Config!$B$3</f>
        <v>2610_ff_lansare</v>
      </c>
      <c r="I312" s="10" t="str">
        <f aca="false">D312&amp;"_"&amp;Config!$B$4</f>
        <v>fierbinte_general</v>
      </c>
      <c r="J312" s="10" t="str">
        <f aca="false">"https://"&amp;B312&amp;G312&amp;"?utm_source="&amp;E312&amp;"&amp;utm_medium="&amp;F312&amp;"&amp;utm_campaign="&amp;H312&amp;"&amp;utm_content="&amp;I312</f>
        <v>https://aiventure.uk/?utm_source=github&amp;utm_medium=referral&amp;utm_campaign=2610_ff_lansare&amp;utm_content=fierbinte_general</v>
      </c>
    </row>
    <row r="313" customFormat="false" ht="15" hidden="false" customHeight="false" outlineLevel="0" collapsed="false">
      <c r="A313" s="10" t="s">
        <v>53</v>
      </c>
      <c r="B313" s="10" t="str">
        <f aca="false">INDEX('Site-uri'!$B$2:$B$20,MATCH(A313,'Site-uri'!$A$2:$A$20,0))</f>
        <v>aiventure.uk</v>
      </c>
      <c r="C313" s="10" t="s">
        <v>176</v>
      </c>
      <c r="D313" s="10" t="s">
        <v>237</v>
      </c>
      <c r="E313" s="10" t="str">
        <f aca="false">INDEX(Canale!$C$2:$C$30,MATCH(C313,Canale!$A$2:$A$30,0))</f>
        <v>github</v>
      </c>
      <c r="F313" s="10" t="str">
        <f aca="false">INDEX(Canale!$D$2:$D$30,MATCH(C313,Canale!$A$2:$A$30,0))</f>
        <v>referral</v>
      </c>
      <c r="G313" s="10" t="str">
        <f aca="false">INDEX('Site-uri'!$C$2:$C$20,MATCH(A313,'Site-uri'!$A$2:$A$20,0))</f>
        <v>/</v>
      </c>
      <c r="H313" s="10" t="str">
        <f aca="false">Config!$B$3</f>
        <v>2610_ff_lansare</v>
      </c>
      <c r="I313" s="10" t="str">
        <f aca="false">D313&amp;"_"&amp;Config!$B$4</f>
        <v>client_general</v>
      </c>
      <c r="J313" s="10" t="str">
        <f aca="false">"https://"&amp;B313&amp;G313&amp;"?utm_source="&amp;E313&amp;"&amp;utm_medium="&amp;F313&amp;"&amp;utm_campaign="&amp;H313&amp;"&amp;utm_content="&amp;I313</f>
        <v>https://aiventure.uk/?utm_source=github&amp;utm_medium=referral&amp;utm_campaign=2610_ff_lansare&amp;utm_content=client_general</v>
      </c>
    </row>
    <row r="314" customFormat="false" ht="15" hidden="false" customHeight="false" outlineLevel="0" collapsed="false">
      <c r="A314" s="10" t="s">
        <v>53</v>
      </c>
      <c r="B314" s="10" t="str">
        <f aca="false">INDEX('Site-uri'!$B$2:$B$20,MATCH(A314,'Site-uri'!$A$2:$A$20,0))</f>
        <v>aiventure.uk</v>
      </c>
      <c r="C314" s="10" t="s">
        <v>179</v>
      </c>
      <c r="D314" s="10" t="s">
        <v>219</v>
      </c>
      <c r="E314" s="10" t="str">
        <f aca="false">INDEX(Canale!$C$2:$C$30,MATCH(C314,Canale!$A$2:$A$30,0))</f>
        <v>kdp_book</v>
      </c>
      <c r="F314" s="10" t="str">
        <f aca="false">INDEX(Canale!$D$2:$D$30,MATCH(C314,Canale!$A$2:$A$30,0))</f>
        <v>book</v>
      </c>
      <c r="G314" s="10" t="str">
        <f aca="false">INDEX('Site-uri'!$C$2:$C$20,MATCH(A314,'Site-uri'!$A$2:$A$20,0))</f>
        <v>/</v>
      </c>
      <c r="H314" s="10" t="str">
        <f aca="false">Config!$B$3</f>
        <v>2610_ff_lansare</v>
      </c>
      <c r="I314" s="10" t="str">
        <f aca="false">D314&amp;"_"&amp;Config!$B$4</f>
        <v>rece_general</v>
      </c>
      <c r="J314" s="10" t="str">
        <f aca="false">"https://"&amp;B314&amp;G314&amp;"?utm_source="&amp;E314&amp;"&amp;utm_medium="&amp;F314&amp;"&amp;utm_campaign="&amp;H314&amp;"&amp;utm_content="&amp;I314</f>
        <v>https://aiventure.uk/?utm_source=kdp_book&amp;utm_medium=book&amp;utm_campaign=2610_ff_lansare&amp;utm_content=rece_general</v>
      </c>
    </row>
    <row r="315" customFormat="false" ht="15" hidden="false" customHeight="false" outlineLevel="0" collapsed="false">
      <c r="A315" s="10" t="s">
        <v>53</v>
      </c>
      <c r="B315" s="10" t="str">
        <f aca="false">INDEX('Site-uri'!$B$2:$B$20,MATCH(A315,'Site-uri'!$A$2:$A$20,0))</f>
        <v>aiventure.uk</v>
      </c>
      <c r="C315" s="10" t="s">
        <v>179</v>
      </c>
      <c r="D315" s="10" t="s">
        <v>225</v>
      </c>
      <c r="E315" s="10" t="str">
        <f aca="false">INDEX(Canale!$C$2:$C$30,MATCH(C315,Canale!$A$2:$A$30,0))</f>
        <v>kdp_book</v>
      </c>
      <c r="F315" s="10" t="str">
        <f aca="false">INDEX(Canale!$D$2:$D$30,MATCH(C315,Canale!$A$2:$A$30,0))</f>
        <v>book</v>
      </c>
      <c r="G315" s="10" t="str">
        <f aca="false">INDEX('Site-uri'!$C$2:$C$20,MATCH(A315,'Site-uri'!$A$2:$A$20,0))</f>
        <v>/</v>
      </c>
      <c r="H315" s="10" t="str">
        <f aca="false">Config!$B$3</f>
        <v>2610_ff_lansare</v>
      </c>
      <c r="I315" s="10" t="str">
        <f aca="false">D315&amp;"_"&amp;Config!$B$4</f>
        <v>cald_general</v>
      </c>
      <c r="J315" s="10" t="str">
        <f aca="false">"https://"&amp;B315&amp;G315&amp;"?utm_source="&amp;E315&amp;"&amp;utm_medium="&amp;F315&amp;"&amp;utm_campaign="&amp;H315&amp;"&amp;utm_content="&amp;I315</f>
        <v>https://aiventure.uk/?utm_source=kdp_book&amp;utm_medium=book&amp;utm_campaign=2610_ff_lansare&amp;utm_content=cald_general</v>
      </c>
    </row>
    <row r="316" customFormat="false" ht="15" hidden="false" customHeight="false" outlineLevel="0" collapsed="false">
      <c r="A316" s="10" t="s">
        <v>53</v>
      </c>
      <c r="B316" s="10" t="str">
        <f aca="false">INDEX('Site-uri'!$B$2:$B$20,MATCH(A316,'Site-uri'!$A$2:$A$20,0))</f>
        <v>aiventure.uk</v>
      </c>
      <c r="C316" s="10" t="s">
        <v>179</v>
      </c>
      <c r="D316" s="10" t="s">
        <v>231</v>
      </c>
      <c r="E316" s="10" t="str">
        <f aca="false">INDEX(Canale!$C$2:$C$30,MATCH(C316,Canale!$A$2:$A$30,0))</f>
        <v>kdp_book</v>
      </c>
      <c r="F316" s="10" t="str">
        <f aca="false">INDEX(Canale!$D$2:$D$30,MATCH(C316,Canale!$A$2:$A$30,0))</f>
        <v>book</v>
      </c>
      <c r="G316" s="10" t="str">
        <f aca="false">INDEX('Site-uri'!$C$2:$C$20,MATCH(A316,'Site-uri'!$A$2:$A$20,0))</f>
        <v>/</v>
      </c>
      <c r="H316" s="10" t="str">
        <f aca="false">Config!$B$3</f>
        <v>2610_ff_lansare</v>
      </c>
      <c r="I316" s="10" t="str">
        <f aca="false">D316&amp;"_"&amp;Config!$B$4</f>
        <v>fierbinte_general</v>
      </c>
      <c r="J316" s="10" t="str">
        <f aca="false">"https://"&amp;B316&amp;G316&amp;"?utm_source="&amp;E316&amp;"&amp;utm_medium="&amp;F316&amp;"&amp;utm_campaign="&amp;H316&amp;"&amp;utm_content="&amp;I316</f>
        <v>https://aiventure.uk/?utm_source=kdp_book&amp;utm_medium=book&amp;utm_campaign=2610_ff_lansare&amp;utm_content=fierbinte_general</v>
      </c>
    </row>
    <row r="317" customFormat="false" ht="15" hidden="false" customHeight="false" outlineLevel="0" collapsed="false">
      <c r="A317" s="10" t="s">
        <v>53</v>
      </c>
      <c r="B317" s="10" t="str">
        <f aca="false">INDEX('Site-uri'!$B$2:$B$20,MATCH(A317,'Site-uri'!$A$2:$A$20,0))</f>
        <v>aiventure.uk</v>
      </c>
      <c r="C317" s="10" t="s">
        <v>179</v>
      </c>
      <c r="D317" s="10" t="s">
        <v>237</v>
      </c>
      <c r="E317" s="10" t="str">
        <f aca="false">INDEX(Canale!$C$2:$C$30,MATCH(C317,Canale!$A$2:$A$30,0))</f>
        <v>kdp_book</v>
      </c>
      <c r="F317" s="10" t="str">
        <f aca="false">INDEX(Canale!$D$2:$D$30,MATCH(C317,Canale!$A$2:$A$30,0))</f>
        <v>book</v>
      </c>
      <c r="G317" s="10" t="str">
        <f aca="false">INDEX('Site-uri'!$C$2:$C$20,MATCH(A317,'Site-uri'!$A$2:$A$20,0))</f>
        <v>/</v>
      </c>
      <c r="H317" s="10" t="str">
        <f aca="false">Config!$B$3</f>
        <v>2610_ff_lansare</v>
      </c>
      <c r="I317" s="10" t="str">
        <f aca="false">D317&amp;"_"&amp;Config!$B$4</f>
        <v>client_general</v>
      </c>
      <c r="J317" s="10" t="str">
        <f aca="false">"https://"&amp;B317&amp;G317&amp;"?utm_source="&amp;E317&amp;"&amp;utm_medium="&amp;F317&amp;"&amp;utm_campaign="&amp;H317&amp;"&amp;utm_content="&amp;I317</f>
        <v>https://aiventure.uk/?utm_source=kdp_book&amp;utm_medium=book&amp;utm_campaign=2610_ff_lansare&amp;utm_content=client_general</v>
      </c>
    </row>
    <row r="318" customFormat="false" ht="15" hidden="false" customHeight="false" outlineLevel="0" collapsed="false">
      <c r="A318" s="10" t="s">
        <v>53</v>
      </c>
      <c r="B318" s="10" t="str">
        <f aca="false">INDEX('Site-uri'!$B$2:$B$20,MATCH(A318,'Site-uri'!$A$2:$A$20,0))</f>
        <v>aiventure.uk</v>
      </c>
      <c r="C318" s="10" t="s">
        <v>184</v>
      </c>
      <c r="D318" s="10" t="s">
        <v>219</v>
      </c>
      <c r="E318" s="10" t="str">
        <f aca="false">INDEX(Canale!$C$2:$C$30,MATCH(C318,Canale!$A$2:$A$30,0))</f>
        <v>udemy</v>
      </c>
      <c r="F318" s="10" t="str">
        <f aca="false">INDEX(Canale!$D$2:$D$30,MATCH(C318,Canale!$A$2:$A$30,0))</f>
        <v>course</v>
      </c>
      <c r="G318" s="10" t="str">
        <f aca="false">INDEX('Site-uri'!$C$2:$C$20,MATCH(A318,'Site-uri'!$A$2:$A$20,0))</f>
        <v>/</v>
      </c>
      <c r="H318" s="10" t="str">
        <f aca="false">Config!$B$3</f>
        <v>2610_ff_lansare</v>
      </c>
      <c r="I318" s="10" t="str">
        <f aca="false">D318&amp;"_"&amp;Config!$B$4</f>
        <v>rece_general</v>
      </c>
      <c r="J318" s="10" t="str">
        <f aca="false">"https://"&amp;B318&amp;G318&amp;"?utm_source="&amp;E318&amp;"&amp;utm_medium="&amp;F318&amp;"&amp;utm_campaign="&amp;H318&amp;"&amp;utm_content="&amp;I318</f>
        <v>https://aiventure.uk/?utm_source=udemy&amp;utm_medium=course&amp;utm_campaign=2610_ff_lansare&amp;utm_content=rece_general</v>
      </c>
    </row>
    <row r="319" customFormat="false" ht="15" hidden="false" customHeight="false" outlineLevel="0" collapsed="false">
      <c r="A319" s="10" t="s">
        <v>53</v>
      </c>
      <c r="B319" s="10" t="str">
        <f aca="false">INDEX('Site-uri'!$B$2:$B$20,MATCH(A319,'Site-uri'!$A$2:$A$20,0))</f>
        <v>aiventure.uk</v>
      </c>
      <c r="C319" s="10" t="s">
        <v>184</v>
      </c>
      <c r="D319" s="10" t="s">
        <v>225</v>
      </c>
      <c r="E319" s="10" t="str">
        <f aca="false">INDEX(Canale!$C$2:$C$30,MATCH(C319,Canale!$A$2:$A$30,0))</f>
        <v>udemy</v>
      </c>
      <c r="F319" s="10" t="str">
        <f aca="false">INDEX(Canale!$D$2:$D$30,MATCH(C319,Canale!$A$2:$A$30,0))</f>
        <v>course</v>
      </c>
      <c r="G319" s="10" t="str">
        <f aca="false">INDEX('Site-uri'!$C$2:$C$20,MATCH(A319,'Site-uri'!$A$2:$A$20,0))</f>
        <v>/</v>
      </c>
      <c r="H319" s="10" t="str">
        <f aca="false">Config!$B$3</f>
        <v>2610_ff_lansare</v>
      </c>
      <c r="I319" s="10" t="str">
        <f aca="false">D319&amp;"_"&amp;Config!$B$4</f>
        <v>cald_general</v>
      </c>
      <c r="J319" s="10" t="str">
        <f aca="false">"https://"&amp;B319&amp;G319&amp;"?utm_source="&amp;E319&amp;"&amp;utm_medium="&amp;F319&amp;"&amp;utm_campaign="&amp;H319&amp;"&amp;utm_content="&amp;I319</f>
        <v>https://aiventure.uk/?utm_source=udemy&amp;utm_medium=course&amp;utm_campaign=2610_ff_lansare&amp;utm_content=cald_general</v>
      </c>
    </row>
    <row r="320" customFormat="false" ht="15" hidden="false" customHeight="false" outlineLevel="0" collapsed="false">
      <c r="A320" s="10" t="s">
        <v>53</v>
      </c>
      <c r="B320" s="10" t="str">
        <f aca="false">INDEX('Site-uri'!$B$2:$B$20,MATCH(A320,'Site-uri'!$A$2:$A$20,0))</f>
        <v>aiventure.uk</v>
      </c>
      <c r="C320" s="10" t="s">
        <v>184</v>
      </c>
      <c r="D320" s="10" t="s">
        <v>231</v>
      </c>
      <c r="E320" s="10" t="str">
        <f aca="false">INDEX(Canale!$C$2:$C$30,MATCH(C320,Canale!$A$2:$A$30,0))</f>
        <v>udemy</v>
      </c>
      <c r="F320" s="10" t="str">
        <f aca="false">INDEX(Canale!$D$2:$D$30,MATCH(C320,Canale!$A$2:$A$30,0))</f>
        <v>course</v>
      </c>
      <c r="G320" s="10" t="str">
        <f aca="false">INDEX('Site-uri'!$C$2:$C$20,MATCH(A320,'Site-uri'!$A$2:$A$20,0))</f>
        <v>/</v>
      </c>
      <c r="H320" s="10" t="str">
        <f aca="false">Config!$B$3</f>
        <v>2610_ff_lansare</v>
      </c>
      <c r="I320" s="10" t="str">
        <f aca="false">D320&amp;"_"&amp;Config!$B$4</f>
        <v>fierbinte_general</v>
      </c>
      <c r="J320" s="10" t="str">
        <f aca="false">"https://"&amp;B320&amp;G320&amp;"?utm_source="&amp;E320&amp;"&amp;utm_medium="&amp;F320&amp;"&amp;utm_campaign="&amp;H320&amp;"&amp;utm_content="&amp;I320</f>
        <v>https://aiventure.uk/?utm_source=udemy&amp;utm_medium=course&amp;utm_campaign=2610_ff_lansare&amp;utm_content=fierbinte_general</v>
      </c>
    </row>
    <row r="321" customFormat="false" ht="15" hidden="false" customHeight="false" outlineLevel="0" collapsed="false">
      <c r="A321" s="10" t="s">
        <v>53</v>
      </c>
      <c r="B321" s="10" t="str">
        <f aca="false">INDEX('Site-uri'!$B$2:$B$20,MATCH(A321,'Site-uri'!$A$2:$A$20,0))</f>
        <v>aiventure.uk</v>
      </c>
      <c r="C321" s="10" t="s">
        <v>184</v>
      </c>
      <c r="D321" s="10" t="s">
        <v>237</v>
      </c>
      <c r="E321" s="10" t="str">
        <f aca="false">INDEX(Canale!$C$2:$C$30,MATCH(C321,Canale!$A$2:$A$30,0))</f>
        <v>udemy</v>
      </c>
      <c r="F321" s="10" t="str">
        <f aca="false">INDEX(Canale!$D$2:$D$30,MATCH(C321,Canale!$A$2:$A$30,0))</f>
        <v>course</v>
      </c>
      <c r="G321" s="10" t="str">
        <f aca="false">INDEX('Site-uri'!$C$2:$C$20,MATCH(A321,'Site-uri'!$A$2:$A$20,0))</f>
        <v>/</v>
      </c>
      <c r="H321" s="10" t="str">
        <f aca="false">Config!$B$3</f>
        <v>2610_ff_lansare</v>
      </c>
      <c r="I321" s="10" t="str">
        <f aca="false">D321&amp;"_"&amp;Config!$B$4</f>
        <v>client_general</v>
      </c>
      <c r="J321" s="10" t="str">
        <f aca="false">"https://"&amp;B321&amp;G321&amp;"?utm_source="&amp;E321&amp;"&amp;utm_medium="&amp;F321&amp;"&amp;utm_campaign="&amp;H321&amp;"&amp;utm_content="&amp;I321</f>
        <v>https://aiventure.uk/?utm_source=udemy&amp;utm_medium=course&amp;utm_campaign=2610_ff_lansare&amp;utm_content=client_general</v>
      </c>
    </row>
    <row r="322" customFormat="false" ht="15" hidden="false" customHeight="false" outlineLevel="0" collapsed="false">
      <c r="A322" s="10" t="s">
        <v>53</v>
      </c>
      <c r="B322" s="10" t="str">
        <f aca="false">INDEX('Site-uri'!$B$2:$B$20,MATCH(A322,'Site-uri'!$A$2:$A$20,0))</f>
        <v>aiventure.uk</v>
      </c>
      <c r="C322" s="10" t="s">
        <v>187</v>
      </c>
      <c r="D322" s="10" t="s">
        <v>219</v>
      </c>
      <c r="E322" s="10" t="str">
        <f aca="false">INDEX(Canale!$C$2:$C$30,MATCH(C322,Canale!$A$2:$A$30,0))</f>
        <v>directory</v>
      </c>
      <c r="F322" s="10" t="str">
        <f aca="false">INDEX(Canale!$D$2:$D$30,MATCH(C322,Canale!$A$2:$A$30,0))</f>
        <v>referral</v>
      </c>
      <c r="G322" s="10" t="str">
        <f aca="false">INDEX('Site-uri'!$C$2:$C$20,MATCH(A322,'Site-uri'!$A$2:$A$20,0))</f>
        <v>/</v>
      </c>
      <c r="H322" s="10" t="str">
        <f aca="false">Config!$B$3</f>
        <v>2610_ff_lansare</v>
      </c>
      <c r="I322" s="10" t="str">
        <f aca="false">D322&amp;"_"&amp;Config!$B$4</f>
        <v>rece_general</v>
      </c>
      <c r="J322" s="10" t="str">
        <f aca="false">"https://"&amp;B322&amp;G322&amp;"?utm_source="&amp;E322&amp;"&amp;utm_medium="&amp;F322&amp;"&amp;utm_campaign="&amp;H322&amp;"&amp;utm_content="&amp;I322</f>
        <v>https://aiventure.uk/?utm_source=directory&amp;utm_medium=referral&amp;utm_campaign=2610_ff_lansare&amp;utm_content=rece_general</v>
      </c>
    </row>
    <row r="323" customFormat="false" ht="15" hidden="false" customHeight="false" outlineLevel="0" collapsed="false">
      <c r="A323" s="10" t="s">
        <v>53</v>
      </c>
      <c r="B323" s="10" t="str">
        <f aca="false">INDEX('Site-uri'!$B$2:$B$20,MATCH(A323,'Site-uri'!$A$2:$A$20,0))</f>
        <v>aiventure.uk</v>
      </c>
      <c r="C323" s="10" t="s">
        <v>187</v>
      </c>
      <c r="D323" s="10" t="s">
        <v>225</v>
      </c>
      <c r="E323" s="10" t="str">
        <f aca="false">INDEX(Canale!$C$2:$C$30,MATCH(C323,Canale!$A$2:$A$30,0))</f>
        <v>directory</v>
      </c>
      <c r="F323" s="10" t="str">
        <f aca="false">INDEX(Canale!$D$2:$D$30,MATCH(C323,Canale!$A$2:$A$30,0))</f>
        <v>referral</v>
      </c>
      <c r="G323" s="10" t="str">
        <f aca="false">INDEX('Site-uri'!$C$2:$C$20,MATCH(A323,'Site-uri'!$A$2:$A$20,0))</f>
        <v>/</v>
      </c>
      <c r="H323" s="10" t="str">
        <f aca="false">Config!$B$3</f>
        <v>2610_ff_lansare</v>
      </c>
      <c r="I323" s="10" t="str">
        <f aca="false">D323&amp;"_"&amp;Config!$B$4</f>
        <v>cald_general</v>
      </c>
      <c r="J323" s="10" t="str">
        <f aca="false">"https://"&amp;B323&amp;G323&amp;"?utm_source="&amp;E323&amp;"&amp;utm_medium="&amp;F323&amp;"&amp;utm_campaign="&amp;H323&amp;"&amp;utm_content="&amp;I323</f>
        <v>https://aiventure.uk/?utm_source=directory&amp;utm_medium=referral&amp;utm_campaign=2610_ff_lansare&amp;utm_content=cald_general</v>
      </c>
    </row>
    <row r="324" customFormat="false" ht="15" hidden="false" customHeight="false" outlineLevel="0" collapsed="false">
      <c r="A324" s="10" t="s">
        <v>53</v>
      </c>
      <c r="B324" s="10" t="str">
        <f aca="false">INDEX('Site-uri'!$B$2:$B$20,MATCH(A324,'Site-uri'!$A$2:$A$20,0))</f>
        <v>aiventure.uk</v>
      </c>
      <c r="C324" s="10" t="s">
        <v>187</v>
      </c>
      <c r="D324" s="10" t="s">
        <v>231</v>
      </c>
      <c r="E324" s="10" t="str">
        <f aca="false">INDEX(Canale!$C$2:$C$30,MATCH(C324,Canale!$A$2:$A$30,0))</f>
        <v>directory</v>
      </c>
      <c r="F324" s="10" t="str">
        <f aca="false">INDEX(Canale!$D$2:$D$30,MATCH(C324,Canale!$A$2:$A$30,0))</f>
        <v>referral</v>
      </c>
      <c r="G324" s="10" t="str">
        <f aca="false">INDEX('Site-uri'!$C$2:$C$20,MATCH(A324,'Site-uri'!$A$2:$A$20,0))</f>
        <v>/</v>
      </c>
      <c r="H324" s="10" t="str">
        <f aca="false">Config!$B$3</f>
        <v>2610_ff_lansare</v>
      </c>
      <c r="I324" s="10" t="str">
        <f aca="false">D324&amp;"_"&amp;Config!$B$4</f>
        <v>fierbinte_general</v>
      </c>
      <c r="J324" s="10" t="str">
        <f aca="false">"https://"&amp;B324&amp;G324&amp;"?utm_source="&amp;E324&amp;"&amp;utm_medium="&amp;F324&amp;"&amp;utm_campaign="&amp;H324&amp;"&amp;utm_content="&amp;I324</f>
        <v>https://aiventure.uk/?utm_source=directory&amp;utm_medium=referral&amp;utm_campaign=2610_ff_lansare&amp;utm_content=fierbinte_general</v>
      </c>
    </row>
    <row r="325" customFormat="false" ht="15" hidden="false" customHeight="false" outlineLevel="0" collapsed="false">
      <c r="A325" s="10" t="s">
        <v>53</v>
      </c>
      <c r="B325" s="10" t="str">
        <f aca="false">INDEX('Site-uri'!$B$2:$B$20,MATCH(A325,'Site-uri'!$A$2:$A$20,0))</f>
        <v>aiventure.uk</v>
      </c>
      <c r="C325" s="10" t="s">
        <v>187</v>
      </c>
      <c r="D325" s="10" t="s">
        <v>237</v>
      </c>
      <c r="E325" s="10" t="str">
        <f aca="false">INDEX(Canale!$C$2:$C$30,MATCH(C325,Canale!$A$2:$A$30,0))</f>
        <v>directory</v>
      </c>
      <c r="F325" s="10" t="str">
        <f aca="false">INDEX(Canale!$D$2:$D$30,MATCH(C325,Canale!$A$2:$A$30,0))</f>
        <v>referral</v>
      </c>
      <c r="G325" s="10" t="str">
        <f aca="false">INDEX('Site-uri'!$C$2:$C$20,MATCH(A325,'Site-uri'!$A$2:$A$20,0))</f>
        <v>/</v>
      </c>
      <c r="H325" s="10" t="str">
        <f aca="false">Config!$B$3</f>
        <v>2610_ff_lansare</v>
      </c>
      <c r="I325" s="10" t="str">
        <f aca="false">D325&amp;"_"&amp;Config!$B$4</f>
        <v>client_general</v>
      </c>
      <c r="J325" s="10" t="str">
        <f aca="false">"https://"&amp;B325&amp;G325&amp;"?utm_source="&amp;E325&amp;"&amp;utm_medium="&amp;F325&amp;"&amp;utm_campaign="&amp;H325&amp;"&amp;utm_content="&amp;I325</f>
        <v>https://aiventure.uk/?utm_source=directory&amp;utm_medium=referral&amp;utm_campaign=2610_ff_lansare&amp;utm_content=client_general</v>
      </c>
    </row>
    <row r="326" customFormat="false" ht="15" hidden="false" customHeight="false" outlineLevel="0" collapsed="false">
      <c r="A326" s="10" t="s">
        <v>53</v>
      </c>
      <c r="B326" s="10" t="str">
        <f aca="false">INDEX('Site-uri'!$B$2:$B$20,MATCH(A326,'Site-uri'!$A$2:$A$20,0))</f>
        <v>aiventure.uk</v>
      </c>
      <c r="C326" s="10" t="s">
        <v>191</v>
      </c>
      <c r="D326" s="10" t="s">
        <v>219</v>
      </c>
      <c r="E326" s="10" t="str">
        <f aca="false">INDEX(Canale!$C$2:$C$30,MATCH(C326,Canale!$A$2:$A$30,0))</f>
        <v>partner</v>
      </c>
      <c r="F326" s="10" t="str">
        <f aca="false">INDEX(Canale!$D$2:$D$30,MATCH(C326,Canale!$A$2:$A$30,0))</f>
        <v>partner</v>
      </c>
      <c r="G326" s="10" t="str">
        <f aca="false">INDEX('Site-uri'!$C$2:$C$20,MATCH(A326,'Site-uri'!$A$2:$A$20,0))</f>
        <v>/</v>
      </c>
      <c r="H326" s="10" t="str">
        <f aca="false">Config!$B$3</f>
        <v>2610_ff_lansare</v>
      </c>
      <c r="I326" s="10" t="str">
        <f aca="false">D326&amp;"_"&amp;Config!$B$4</f>
        <v>rece_general</v>
      </c>
      <c r="J326" s="10" t="str">
        <f aca="false">"https://"&amp;B326&amp;G326&amp;"?utm_source="&amp;E326&amp;"&amp;utm_medium="&amp;F326&amp;"&amp;utm_campaign="&amp;H326&amp;"&amp;utm_content="&amp;I326</f>
        <v>https://aiventure.uk/?utm_source=partner&amp;utm_medium=partner&amp;utm_campaign=2610_ff_lansare&amp;utm_content=rece_general</v>
      </c>
    </row>
    <row r="327" customFormat="false" ht="15" hidden="false" customHeight="false" outlineLevel="0" collapsed="false">
      <c r="A327" s="10" t="s">
        <v>53</v>
      </c>
      <c r="B327" s="10" t="str">
        <f aca="false">INDEX('Site-uri'!$B$2:$B$20,MATCH(A327,'Site-uri'!$A$2:$A$20,0))</f>
        <v>aiventure.uk</v>
      </c>
      <c r="C327" s="10" t="s">
        <v>191</v>
      </c>
      <c r="D327" s="10" t="s">
        <v>225</v>
      </c>
      <c r="E327" s="10" t="str">
        <f aca="false">INDEX(Canale!$C$2:$C$30,MATCH(C327,Canale!$A$2:$A$30,0))</f>
        <v>partner</v>
      </c>
      <c r="F327" s="10" t="str">
        <f aca="false">INDEX(Canale!$D$2:$D$30,MATCH(C327,Canale!$A$2:$A$30,0))</f>
        <v>partner</v>
      </c>
      <c r="G327" s="10" t="str">
        <f aca="false">INDEX('Site-uri'!$C$2:$C$20,MATCH(A327,'Site-uri'!$A$2:$A$20,0))</f>
        <v>/</v>
      </c>
      <c r="H327" s="10" t="str">
        <f aca="false">Config!$B$3</f>
        <v>2610_ff_lansare</v>
      </c>
      <c r="I327" s="10" t="str">
        <f aca="false">D327&amp;"_"&amp;Config!$B$4</f>
        <v>cald_general</v>
      </c>
      <c r="J327" s="10" t="str">
        <f aca="false">"https://"&amp;B327&amp;G327&amp;"?utm_source="&amp;E327&amp;"&amp;utm_medium="&amp;F327&amp;"&amp;utm_campaign="&amp;H327&amp;"&amp;utm_content="&amp;I327</f>
        <v>https://aiventure.uk/?utm_source=partner&amp;utm_medium=partner&amp;utm_campaign=2610_ff_lansare&amp;utm_content=cald_general</v>
      </c>
    </row>
    <row r="328" customFormat="false" ht="15" hidden="false" customHeight="false" outlineLevel="0" collapsed="false">
      <c r="A328" s="10" t="s">
        <v>53</v>
      </c>
      <c r="B328" s="10" t="str">
        <f aca="false">INDEX('Site-uri'!$B$2:$B$20,MATCH(A328,'Site-uri'!$A$2:$A$20,0))</f>
        <v>aiventure.uk</v>
      </c>
      <c r="C328" s="10" t="s">
        <v>191</v>
      </c>
      <c r="D328" s="10" t="s">
        <v>231</v>
      </c>
      <c r="E328" s="10" t="str">
        <f aca="false">INDEX(Canale!$C$2:$C$30,MATCH(C328,Canale!$A$2:$A$30,0))</f>
        <v>partner</v>
      </c>
      <c r="F328" s="10" t="str">
        <f aca="false">INDEX(Canale!$D$2:$D$30,MATCH(C328,Canale!$A$2:$A$30,0))</f>
        <v>partner</v>
      </c>
      <c r="G328" s="10" t="str">
        <f aca="false">INDEX('Site-uri'!$C$2:$C$20,MATCH(A328,'Site-uri'!$A$2:$A$20,0))</f>
        <v>/</v>
      </c>
      <c r="H328" s="10" t="str">
        <f aca="false">Config!$B$3</f>
        <v>2610_ff_lansare</v>
      </c>
      <c r="I328" s="10" t="str">
        <f aca="false">D328&amp;"_"&amp;Config!$B$4</f>
        <v>fierbinte_general</v>
      </c>
      <c r="J328" s="10" t="str">
        <f aca="false">"https://"&amp;B328&amp;G328&amp;"?utm_source="&amp;E328&amp;"&amp;utm_medium="&amp;F328&amp;"&amp;utm_campaign="&amp;H328&amp;"&amp;utm_content="&amp;I328</f>
        <v>https://aiventure.uk/?utm_source=partner&amp;utm_medium=partner&amp;utm_campaign=2610_ff_lansare&amp;utm_content=fierbinte_general</v>
      </c>
    </row>
    <row r="329" customFormat="false" ht="15" hidden="false" customHeight="false" outlineLevel="0" collapsed="false">
      <c r="A329" s="10" t="s">
        <v>53</v>
      </c>
      <c r="B329" s="10" t="str">
        <f aca="false">INDEX('Site-uri'!$B$2:$B$20,MATCH(A329,'Site-uri'!$A$2:$A$20,0))</f>
        <v>aiventure.uk</v>
      </c>
      <c r="C329" s="10" t="s">
        <v>191</v>
      </c>
      <c r="D329" s="10" t="s">
        <v>237</v>
      </c>
      <c r="E329" s="10" t="str">
        <f aca="false">INDEX(Canale!$C$2:$C$30,MATCH(C329,Canale!$A$2:$A$30,0))</f>
        <v>partner</v>
      </c>
      <c r="F329" s="10" t="str">
        <f aca="false">INDEX(Canale!$D$2:$D$30,MATCH(C329,Canale!$A$2:$A$30,0))</f>
        <v>partner</v>
      </c>
      <c r="G329" s="10" t="str">
        <f aca="false">INDEX('Site-uri'!$C$2:$C$20,MATCH(A329,'Site-uri'!$A$2:$A$20,0))</f>
        <v>/</v>
      </c>
      <c r="H329" s="10" t="str">
        <f aca="false">Config!$B$3</f>
        <v>2610_ff_lansare</v>
      </c>
      <c r="I329" s="10" t="str">
        <f aca="false">D329&amp;"_"&amp;Config!$B$4</f>
        <v>client_general</v>
      </c>
      <c r="J329" s="10" t="str">
        <f aca="false">"https://"&amp;B329&amp;G329&amp;"?utm_source="&amp;E329&amp;"&amp;utm_medium="&amp;F329&amp;"&amp;utm_campaign="&amp;H329&amp;"&amp;utm_content="&amp;I329</f>
        <v>https://aiventure.uk/?utm_source=partner&amp;utm_medium=partner&amp;utm_campaign=2610_ff_lansare&amp;utm_content=client_general</v>
      </c>
    </row>
    <row r="330" customFormat="false" ht="15" hidden="false" customHeight="false" outlineLevel="0" collapsed="false">
      <c r="A330" s="10" t="s">
        <v>53</v>
      </c>
      <c r="B330" s="10" t="str">
        <f aca="false">INDEX('Site-uri'!$B$2:$B$20,MATCH(A330,'Site-uri'!$A$2:$A$20,0))</f>
        <v>aiventure.uk</v>
      </c>
      <c r="C330" s="10" t="s">
        <v>193</v>
      </c>
      <c r="D330" s="10" t="s">
        <v>219</v>
      </c>
      <c r="E330" s="10" t="str">
        <f aca="false">INDEX(Canale!$C$2:$C$30,MATCH(C330,Canale!$A$2:$A$30,0))</f>
        <v>pdf_proposal</v>
      </c>
      <c r="F330" s="10" t="str">
        <f aca="false">INDEX(Canale!$D$2:$D$30,MATCH(C330,Canale!$A$2:$A$30,0))</f>
        <v>document</v>
      </c>
      <c r="G330" s="10" t="str">
        <f aca="false">INDEX('Site-uri'!$C$2:$C$20,MATCH(A330,'Site-uri'!$A$2:$A$20,0))</f>
        <v>/</v>
      </c>
      <c r="H330" s="10" t="str">
        <f aca="false">Config!$B$3</f>
        <v>2610_ff_lansare</v>
      </c>
      <c r="I330" s="10" t="str">
        <f aca="false">D330&amp;"_"&amp;Config!$B$4</f>
        <v>rece_general</v>
      </c>
      <c r="J330" s="10" t="str">
        <f aca="false">"https://"&amp;B330&amp;G330&amp;"?utm_source="&amp;E330&amp;"&amp;utm_medium="&amp;F330&amp;"&amp;utm_campaign="&amp;H330&amp;"&amp;utm_content="&amp;I330</f>
        <v>https://aiventure.uk/?utm_source=pdf_proposal&amp;utm_medium=document&amp;utm_campaign=2610_ff_lansare&amp;utm_content=rece_general</v>
      </c>
    </row>
    <row r="331" customFormat="false" ht="15" hidden="false" customHeight="false" outlineLevel="0" collapsed="false">
      <c r="A331" s="10" t="s">
        <v>53</v>
      </c>
      <c r="B331" s="10" t="str">
        <f aca="false">INDEX('Site-uri'!$B$2:$B$20,MATCH(A331,'Site-uri'!$A$2:$A$20,0))</f>
        <v>aiventure.uk</v>
      </c>
      <c r="C331" s="10" t="s">
        <v>193</v>
      </c>
      <c r="D331" s="10" t="s">
        <v>225</v>
      </c>
      <c r="E331" s="10" t="str">
        <f aca="false">INDEX(Canale!$C$2:$C$30,MATCH(C331,Canale!$A$2:$A$30,0))</f>
        <v>pdf_proposal</v>
      </c>
      <c r="F331" s="10" t="str">
        <f aca="false">INDEX(Canale!$D$2:$D$30,MATCH(C331,Canale!$A$2:$A$30,0))</f>
        <v>document</v>
      </c>
      <c r="G331" s="10" t="str">
        <f aca="false">INDEX('Site-uri'!$C$2:$C$20,MATCH(A331,'Site-uri'!$A$2:$A$20,0))</f>
        <v>/</v>
      </c>
      <c r="H331" s="10" t="str">
        <f aca="false">Config!$B$3</f>
        <v>2610_ff_lansare</v>
      </c>
      <c r="I331" s="10" t="str">
        <f aca="false">D331&amp;"_"&amp;Config!$B$4</f>
        <v>cald_general</v>
      </c>
      <c r="J331" s="10" t="str">
        <f aca="false">"https://"&amp;B331&amp;G331&amp;"?utm_source="&amp;E331&amp;"&amp;utm_medium="&amp;F331&amp;"&amp;utm_campaign="&amp;H331&amp;"&amp;utm_content="&amp;I331</f>
        <v>https://aiventure.uk/?utm_source=pdf_proposal&amp;utm_medium=document&amp;utm_campaign=2610_ff_lansare&amp;utm_content=cald_general</v>
      </c>
    </row>
    <row r="332" customFormat="false" ht="15" hidden="false" customHeight="false" outlineLevel="0" collapsed="false">
      <c r="A332" s="10" t="s">
        <v>53</v>
      </c>
      <c r="B332" s="10" t="str">
        <f aca="false">INDEX('Site-uri'!$B$2:$B$20,MATCH(A332,'Site-uri'!$A$2:$A$20,0))</f>
        <v>aiventure.uk</v>
      </c>
      <c r="C332" s="10" t="s">
        <v>193</v>
      </c>
      <c r="D332" s="10" t="s">
        <v>231</v>
      </c>
      <c r="E332" s="10" t="str">
        <f aca="false">INDEX(Canale!$C$2:$C$30,MATCH(C332,Canale!$A$2:$A$30,0))</f>
        <v>pdf_proposal</v>
      </c>
      <c r="F332" s="10" t="str">
        <f aca="false">INDEX(Canale!$D$2:$D$30,MATCH(C332,Canale!$A$2:$A$30,0))</f>
        <v>document</v>
      </c>
      <c r="G332" s="10" t="str">
        <f aca="false">INDEX('Site-uri'!$C$2:$C$20,MATCH(A332,'Site-uri'!$A$2:$A$20,0))</f>
        <v>/</v>
      </c>
      <c r="H332" s="10" t="str">
        <f aca="false">Config!$B$3</f>
        <v>2610_ff_lansare</v>
      </c>
      <c r="I332" s="10" t="str">
        <f aca="false">D332&amp;"_"&amp;Config!$B$4</f>
        <v>fierbinte_general</v>
      </c>
      <c r="J332" s="10" t="str">
        <f aca="false">"https://"&amp;B332&amp;G332&amp;"?utm_source="&amp;E332&amp;"&amp;utm_medium="&amp;F332&amp;"&amp;utm_campaign="&amp;H332&amp;"&amp;utm_content="&amp;I332</f>
        <v>https://aiventure.uk/?utm_source=pdf_proposal&amp;utm_medium=document&amp;utm_campaign=2610_ff_lansare&amp;utm_content=fierbinte_general</v>
      </c>
    </row>
    <row r="333" customFormat="false" ht="15" hidden="false" customHeight="false" outlineLevel="0" collapsed="false">
      <c r="A333" s="10" t="s">
        <v>53</v>
      </c>
      <c r="B333" s="10" t="str">
        <f aca="false">INDEX('Site-uri'!$B$2:$B$20,MATCH(A333,'Site-uri'!$A$2:$A$20,0))</f>
        <v>aiventure.uk</v>
      </c>
      <c r="C333" s="10" t="s">
        <v>193</v>
      </c>
      <c r="D333" s="10" t="s">
        <v>237</v>
      </c>
      <c r="E333" s="10" t="str">
        <f aca="false">INDEX(Canale!$C$2:$C$30,MATCH(C333,Canale!$A$2:$A$30,0))</f>
        <v>pdf_proposal</v>
      </c>
      <c r="F333" s="10" t="str">
        <f aca="false">INDEX(Canale!$D$2:$D$30,MATCH(C333,Canale!$A$2:$A$30,0))</f>
        <v>document</v>
      </c>
      <c r="G333" s="10" t="str">
        <f aca="false">INDEX('Site-uri'!$C$2:$C$20,MATCH(A333,'Site-uri'!$A$2:$A$20,0))</f>
        <v>/</v>
      </c>
      <c r="H333" s="10" t="str">
        <f aca="false">Config!$B$3</f>
        <v>2610_ff_lansare</v>
      </c>
      <c r="I333" s="10" t="str">
        <f aca="false">D333&amp;"_"&amp;Config!$B$4</f>
        <v>client_general</v>
      </c>
      <c r="J333" s="10" t="str">
        <f aca="false">"https://"&amp;B333&amp;G333&amp;"?utm_source="&amp;E333&amp;"&amp;utm_medium="&amp;F333&amp;"&amp;utm_campaign="&amp;H333&amp;"&amp;utm_content="&amp;I333</f>
        <v>https://aiventure.uk/?utm_source=pdf_proposal&amp;utm_medium=document&amp;utm_campaign=2610_ff_lansare&amp;utm_content=client_general</v>
      </c>
    </row>
    <row r="334" customFormat="false" ht="15" hidden="false" customHeight="false" outlineLevel="0" collapsed="false">
      <c r="A334" s="10" t="s">
        <v>53</v>
      </c>
      <c r="B334" s="10" t="str">
        <f aca="false">INDEX('Site-uri'!$B$2:$B$20,MATCH(A334,'Site-uri'!$A$2:$A$20,0))</f>
        <v>aiventure.uk</v>
      </c>
      <c r="C334" s="10" t="s">
        <v>198</v>
      </c>
      <c r="D334" s="10" t="s">
        <v>219</v>
      </c>
      <c r="E334" s="10" t="str">
        <f aca="false">INDEX(Canale!$C$2:$C$30,MATCH(C334,Canale!$A$2:$A$30,0))</f>
        <v>qr_print</v>
      </c>
      <c r="F334" s="10" t="str">
        <f aca="false">INDEX(Canale!$D$2:$D$30,MATCH(C334,Canale!$A$2:$A$30,0))</f>
        <v>qr</v>
      </c>
      <c r="G334" s="10" t="str">
        <f aca="false">INDEX('Site-uri'!$C$2:$C$20,MATCH(A334,'Site-uri'!$A$2:$A$20,0))</f>
        <v>/</v>
      </c>
      <c r="H334" s="10" t="str">
        <f aca="false">Config!$B$3</f>
        <v>2610_ff_lansare</v>
      </c>
      <c r="I334" s="10" t="str">
        <f aca="false">D334&amp;"_"&amp;Config!$B$4</f>
        <v>rece_general</v>
      </c>
      <c r="J334" s="10" t="str">
        <f aca="false">"https://"&amp;B334&amp;G334&amp;"?utm_source="&amp;E334&amp;"&amp;utm_medium="&amp;F334&amp;"&amp;utm_campaign="&amp;H334&amp;"&amp;utm_content="&amp;I334</f>
        <v>https://aiventure.uk/?utm_source=qr_print&amp;utm_medium=qr&amp;utm_campaign=2610_ff_lansare&amp;utm_content=rece_general</v>
      </c>
    </row>
    <row r="335" customFormat="false" ht="15" hidden="false" customHeight="false" outlineLevel="0" collapsed="false">
      <c r="A335" s="10" t="s">
        <v>53</v>
      </c>
      <c r="B335" s="10" t="str">
        <f aca="false">INDEX('Site-uri'!$B$2:$B$20,MATCH(A335,'Site-uri'!$A$2:$A$20,0))</f>
        <v>aiventure.uk</v>
      </c>
      <c r="C335" s="10" t="s">
        <v>198</v>
      </c>
      <c r="D335" s="10" t="s">
        <v>225</v>
      </c>
      <c r="E335" s="10" t="str">
        <f aca="false">INDEX(Canale!$C$2:$C$30,MATCH(C335,Canale!$A$2:$A$30,0))</f>
        <v>qr_print</v>
      </c>
      <c r="F335" s="10" t="str">
        <f aca="false">INDEX(Canale!$D$2:$D$30,MATCH(C335,Canale!$A$2:$A$30,0))</f>
        <v>qr</v>
      </c>
      <c r="G335" s="10" t="str">
        <f aca="false">INDEX('Site-uri'!$C$2:$C$20,MATCH(A335,'Site-uri'!$A$2:$A$20,0))</f>
        <v>/</v>
      </c>
      <c r="H335" s="10" t="str">
        <f aca="false">Config!$B$3</f>
        <v>2610_ff_lansare</v>
      </c>
      <c r="I335" s="10" t="str">
        <f aca="false">D335&amp;"_"&amp;Config!$B$4</f>
        <v>cald_general</v>
      </c>
      <c r="J335" s="10" t="str">
        <f aca="false">"https://"&amp;B335&amp;G335&amp;"?utm_source="&amp;E335&amp;"&amp;utm_medium="&amp;F335&amp;"&amp;utm_campaign="&amp;H335&amp;"&amp;utm_content="&amp;I335</f>
        <v>https://aiventure.uk/?utm_source=qr_print&amp;utm_medium=qr&amp;utm_campaign=2610_ff_lansare&amp;utm_content=cald_general</v>
      </c>
    </row>
    <row r="336" customFormat="false" ht="15" hidden="false" customHeight="false" outlineLevel="0" collapsed="false">
      <c r="A336" s="10" t="s">
        <v>53</v>
      </c>
      <c r="B336" s="10" t="str">
        <f aca="false">INDEX('Site-uri'!$B$2:$B$20,MATCH(A336,'Site-uri'!$A$2:$A$20,0))</f>
        <v>aiventure.uk</v>
      </c>
      <c r="C336" s="10" t="s">
        <v>198</v>
      </c>
      <c r="D336" s="10" t="s">
        <v>231</v>
      </c>
      <c r="E336" s="10" t="str">
        <f aca="false">INDEX(Canale!$C$2:$C$30,MATCH(C336,Canale!$A$2:$A$30,0))</f>
        <v>qr_print</v>
      </c>
      <c r="F336" s="10" t="str">
        <f aca="false">INDEX(Canale!$D$2:$D$30,MATCH(C336,Canale!$A$2:$A$30,0))</f>
        <v>qr</v>
      </c>
      <c r="G336" s="10" t="str">
        <f aca="false">INDEX('Site-uri'!$C$2:$C$20,MATCH(A336,'Site-uri'!$A$2:$A$20,0))</f>
        <v>/</v>
      </c>
      <c r="H336" s="10" t="str">
        <f aca="false">Config!$B$3</f>
        <v>2610_ff_lansare</v>
      </c>
      <c r="I336" s="10" t="str">
        <f aca="false">D336&amp;"_"&amp;Config!$B$4</f>
        <v>fierbinte_general</v>
      </c>
      <c r="J336" s="10" t="str">
        <f aca="false">"https://"&amp;B336&amp;G336&amp;"?utm_source="&amp;E336&amp;"&amp;utm_medium="&amp;F336&amp;"&amp;utm_campaign="&amp;H336&amp;"&amp;utm_content="&amp;I336</f>
        <v>https://aiventure.uk/?utm_source=qr_print&amp;utm_medium=qr&amp;utm_campaign=2610_ff_lansare&amp;utm_content=fierbinte_general</v>
      </c>
    </row>
    <row r="337" customFormat="false" ht="15" hidden="false" customHeight="false" outlineLevel="0" collapsed="false">
      <c r="A337" s="10" t="s">
        <v>53</v>
      </c>
      <c r="B337" s="10" t="str">
        <f aca="false">INDEX('Site-uri'!$B$2:$B$20,MATCH(A337,'Site-uri'!$A$2:$A$20,0))</f>
        <v>aiventure.uk</v>
      </c>
      <c r="C337" s="10" t="s">
        <v>198</v>
      </c>
      <c r="D337" s="10" t="s">
        <v>237</v>
      </c>
      <c r="E337" s="10" t="str">
        <f aca="false">INDEX(Canale!$C$2:$C$30,MATCH(C337,Canale!$A$2:$A$30,0))</f>
        <v>qr_print</v>
      </c>
      <c r="F337" s="10" t="str">
        <f aca="false">INDEX(Canale!$D$2:$D$30,MATCH(C337,Canale!$A$2:$A$30,0))</f>
        <v>qr</v>
      </c>
      <c r="G337" s="10" t="str">
        <f aca="false">INDEX('Site-uri'!$C$2:$C$20,MATCH(A337,'Site-uri'!$A$2:$A$20,0))</f>
        <v>/</v>
      </c>
      <c r="H337" s="10" t="str">
        <f aca="false">Config!$B$3</f>
        <v>2610_ff_lansare</v>
      </c>
      <c r="I337" s="10" t="str">
        <f aca="false">D337&amp;"_"&amp;Config!$B$4</f>
        <v>client_general</v>
      </c>
      <c r="J337" s="10" t="str">
        <f aca="false">"https://"&amp;B337&amp;G337&amp;"?utm_source="&amp;E337&amp;"&amp;utm_medium="&amp;F337&amp;"&amp;utm_campaign="&amp;H337&amp;"&amp;utm_content="&amp;I337</f>
        <v>https://aiventure.uk/?utm_source=qr_print&amp;utm_medium=qr&amp;utm_campaign=2610_ff_lansare&amp;utm_content=client_general</v>
      </c>
    </row>
    <row r="338" customFormat="false" ht="15" hidden="false" customHeight="false" outlineLevel="0" collapsed="false">
      <c r="A338" s="10" t="s">
        <v>53</v>
      </c>
      <c r="B338" s="10" t="str">
        <f aca="false">INDEX('Site-uri'!$B$2:$B$20,MATCH(A338,'Site-uri'!$A$2:$A$20,0))</f>
        <v>aiventure.uk</v>
      </c>
      <c r="C338" s="10" t="s">
        <v>202</v>
      </c>
      <c r="D338" s="10" t="s">
        <v>219</v>
      </c>
      <c r="E338" s="10" t="str">
        <f aca="false">INDEX(Canale!$C$2:$C$30,MATCH(C338,Canale!$A$2:$A$30,0))</f>
        <v>event</v>
      </c>
      <c r="F338" s="10" t="str">
        <f aca="false">INDEX(Canale!$D$2:$D$30,MATCH(C338,Canale!$A$2:$A$30,0))</f>
        <v>event</v>
      </c>
      <c r="G338" s="10" t="str">
        <f aca="false">INDEX('Site-uri'!$C$2:$C$20,MATCH(A338,'Site-uri'!$A$2:$A$20,0))</f>
        <v>/</v>
      </c>
      <c r="H338" s="10" t="str">
        <f aca="false">Config!$B$3</f>
        <v>2610_ff_lansare</v>
      </c>
      <c r="I338" s="10" t="str">
        <f aca="false">D338&amp;"_"&amp;Config!$B$4</f>
        <v>rece_general</v>
      </c>
      <c r="J338" s="10" t="str">
        <f aca="false">"https://"&amp;B338&amp;G338&amp;"?utm_source="&amp;E338&amp;"&amp;utm_medium="&amp;F338&amp;"&amp;utm_campaign="&amp;H338&amp;"&amp;utm_content="&amp;I338</f>
        <v>https://aiventure.uk/?utm_source=event&amp;utm_medium=event&amp;utm_campaign=2610_ff_lansare&amp;utm_content=rece_general</v>
      </c>
    </row>
    <row r="339" customFormat="false" ht="15" hidden="false" customHeight="false" outlineLevel="0" collapsed="false">
      <c r="A339" s="10" t="s">
        <v>53</v>
      </c>
      <c r="B339" s="10" t="str">
        <f aca="false">INDEX('Site-uri'!$B$2:$B$20,MATCH(A339,'Site-uri'!$A$2:$A$20,0))</f>
        <v>aiventure.uk</v>
      </c>
      <c r="C339" s="10" t="s">
        <v>202</v>
      </c>
      <c r="D339" s="10" t="s">
        <v>225</v>
      </c>
      <c r="E339" s="10" t="str">
        <f aca="false">INDEX(Canale!$C$2:$C$30,MATCH(C339,Canale!$A$2:$A$30,0))</f>
        <v>event</v>
      </c>
      <c r="F339" s="10" t="str">
        <f aca="false">INDEX(Canale!$D$2:$D$30,MATCH(C339,Canale!$A$2:$A$30,0))</f>
        <v>event</v>
      </c>
      <c r="G339" s="10" t="str">
        <f aca="false">INDEX('Site-uri'!$C$2:$C$20,MATCH(A339,'Site-uri'!$A$2:$A$20,0))</f>
        <v>/</v>
      </c>
      <c r="H339" s="10" t="str">
        <f aca="false">Config!$B$3</f>
        <v>2610_ff_lansare</v>
      </c>
      <c r="I339" s="10" t="str">
        <f aca="false">D339&amp;"_"&amp;Config!$B$4</f>
        <v>cald_general</v>
      </c>
      <c r="J339" s="10" t="str">
        <f aca="false">"https://"&amp;B339&amp;G339&amp;"?utm_source="&amp;E339&amp;"&amp;utm_medium="&amp;F339&amp;"&amp;utm_campaign="&amp;H339&amp;"&amp;utm_content="&amp;I339</f>
        <v>https://aiventure.uk/?utm_source=event&amp;utm_medium=event&amp;utm_campaign=2610_ff_lansare&amp;utm_content=cald_general</v>
      </c>
    </row>
    <row r="340" customFormat="false" ht="15" hidden="false" customHeight="false" outlineLevel="0" collapsed="false">
      <c r="A340" s="10" t="s">
        <v>53</v>
      </c>
      <c r="B340" s="10" t="str">
        <f aca="false">INDEX('Site-uri'!$B$2:$B$20,MATCH(A340,'Site-uri'!$A$2:$A$20,0))</f>
        <v>aiventure.uk</v>
      </c>
      <c r="C340" s="10" t="s">
        <v>202</v>
      </c>
      <c r="D340" s="10" t="s">
        <v>231</v>
      </c>
      <c r="E340" s="10" t="str">
        <f aca="false">INDEX(Canale!$C$2:$C$30,MATCH(C340,Canale!$A$2:$A$30,0))</f>
        <v>event</v>
      </c>
      <c r="F340" s="10" t="str">
        <f aca="false">INDEX(Canale!$D$2:$D$30,MATCH(C340,Canale!$A$2:$A$30,0))</f>
        <v>event</v>
      </c>
      <c r="G340" s="10" t="str">
        <f aca="false">INDEX('Site-uri'!$C$2:$C$20,MATCH(A340,'Site-uri'!$A$2:$A$20,0))</f>
        <v>/</v>
      </c>
      <c r="H340" s="10" t="str">
        <f aca="false">Config!$B$3</f>
        <v>2610_ff_lansare</v>
      </c>
      <c r="I340" s="10" t="str">
        <f aca="false">D340&amp;"_"&amp;Config!$B$4</f>
        <v>fierbinte_general</v>
      </c>
      <c r="J340" s="10" t="str">
        <f aca="false">"https://"&amp;B340&amp;G340&amp;"?utm_source="&amp;E340&amp;"&amp;utm_medium="&amp;F340&amp;"&amp;utm_campaign="&amp;H340&amp;"&amp;utm_content="&amp;I340</f>
        <v>https://aiventure.uk/?utm_source=event&amp;utm_medium=event&amp;utm_campaign=2610_ff_lansare&amp;utm_content=fierbinte_general</v>
      </c>
    </row>
    <row r="341" customFormat="false" ht="15" hidden="false" customHeight="false" outlineLevel="0" collapsed="false">
      <c r="A341" s="10" t="s">
        <v>53</v>
      </c>
      <c r="B341" s="10" t="str">
        <f aca="false">INDEX('Site-uri'!$B$2:$B$20,MATCH(A341,'Site-uri'!$A$2:$A$20,0))</f>
        <v>aiventure.uk</v>
      </c>
      <c r="C341" s="10" t="s">
        <v>202</v>
      </c>
      <c r="D341" s="10" t="s">
        <v>237</v>
      </c>
      <c r="E341" s="10" t="str">
        <f aca="false">INDEX(Canale!$C$2:$C$30,MATCH(C341,Canale!$A$2:$A$30,0))</f>
        <v>event</v>
      </c>
      <c r="F341" s="10" t="str">
        <f aca="false">INDEX(Canale!$D$2:$D$30,MATCH(C341,Canale!$A$2:$A$30,0))</f>
        <v>event</v>
      </c>
      <c r="G341" s="10" t="str">
        <f aca="false">INDEX('Site-uri'!$C$2:$C$20,MATCH(A341,'Site-uri'!$A$2:$A$20,0))</f>
        <v>/</v>
      </c>
      <c r="H341" s="10" t="str">
        <f aca="false">Config!$B$3</f>
        <v>2610_ff_lansare</v>
      </c>
      <c r="I341" s="10" t="str">
        <f aca="false">D341&amp;"_"&amp;Config!$B$4</f>
        <v>client_general</v>
      </c>
      <c r="J341" s="10" t="str">
        <f aca="false">"https://"&amp;B341&amp;G341&amp;"?utm_source="&amp;E341&amp;"&amp;utm_medium="&amp;F341&amp;"&amp;utm_campaign="&amp;H341&amp;"&amp;utm_content="&amp;I341</f>
        <v>https://aiventure.uk/?utm_source=event&amp;utm_medium=event&amp;utm_campaign=2610_ff_lansare&amp;utm_content=client_general</v>
      </c>
    </row>
    <row r="342" customFormat="false" ht="15" hidden="false" customHeight="false" outlineLevel="0" collapsed="false">
      <c r="A342" s="10" t="s">
        <v>53</v>
      </c>
      <c r="B342" s="10" t="str">
        <f aca="false">INDEX('Site-uri'!$B$2:$B$20,MATCH(A342,'Site-uri'!$A$2:$A$20,0))</f>
        <v>aiventure.uk</v>
      </c>
      <c r="C342" s="10" t="s">
        <v>204</v>
      </c>
      <c r="D342" s="10" t="s">
        <v>219</v>
      </c>
      <c r="E342" s="10" t="str">
        <f aca="false">INDEX(Canale!$C$2:$C$30,MATCH(C342,Canale!$A$2:$A$30,0))</f>
        <v>a2a_agent_card</v>
      </c>
      <c r="F342" s="10" t="str">
        <f aca="false">INDEX(Canale!$D$2:$D$30,MATCH(C342,Canale!$A$2:$A$30,0))</f>
        <v>agent</v>
      </c>
      <c r="G342" s="10" t="str">
        <f aca="false">INDEX('Site-uri'!$C$2:$C$20,MATCH(A342,'Site-uri'!$A$2:$A$20,0))</f>
        <v>/</v>
      </c>
      <c r="H342" s="10" t="str">
        <f aca="false">Config!$B$3</f>
        <v>2610_ff_lansare</v>
      </c>
      <c r="I342" s="10" t="str">
        <f aca="false">D342&amp;"_"&amp;Config!$B$4</f>
        <v>rece_general</v>
      </c>
      <c r="J342" s="10" t="str">
        <f aca="false">"https://"&amp;B342&amp;G342&amp;"?utm_source="&amp;E342&amp;"&amp;utm_medium="&amp;F342&amp;"&amp;utm_campaign="&amp;H342&amp;"&amp;utm_content="&amp;I342</f>
        <v>https://aiventure.uk/?utm_source=a2a_agent_card&amp;utm_medium=agent&amp;utm_campaign=2610_ff_lansare&amp;utm_content=rece_general</v>
      </c>
    </row>
    <row r="343" customFormat="false" ht="15" hidden="false" customHeight="false" outlineLevel="0" collapsed="false">
      <c r="A343" s="10" t="s">
        <v>53</v>
      </c>
      <c r="B343" s="10" t="str">
        <f aca="false">INDEX('Site-uri'!$B$2:$B$20,MATCH(A343,'Site-uri'!$A$2:$A$20,0))</f>
        <v>aiventure.uk</v>
      </c>
      <c r="C343" s="10" t="s">
        <v>204</v>
      </c>
      <c r="D343" s="10" t="s">
        <v>225</v>
      </c>
      <c r="E343" s="10" t="str">
        <f aca="false">INDEX(Canale!$C$2:$C$30,MATCH(C343,Canale!$A$2:$A$30,0))</f>
        <v>a2a_agent_card</v>
      </c>
      <c r="F343" s="10" t="str">
        <f aca="false">INDEX(Canale!$D$2:$D$30,MATCH(C343,Canale!$A$2:$A$30,0))</f>
        <v>agent</v>
      </c>
      <c r="G343" s="10" t="str">
        <f aca="false">INDEX('Site-uri'!$C$2:$C$20,MATCH(A343,'Site-uri'!$A$2:$A$20,0))</f>
        <v>/</v>
      </c>
      <c r="H343" s="10" t="str">
        <f aca="false">Config!$B$3</f>
        <v>2610_ff_lansare</v>
      </c>
      <c r="I343" s="10" t="str">
        <f aca="false">D343&amp;"_"&amp;Config!$B$4</f>
        <v>cald_general</v>
      </c>
      <c r="J343" s="10" t="str">
        <f aca="false">"https://"&amp;B343&amp;G343&amp;"?utm_source="&amp;E343&amp;"&amp;utm_medium="&amp;F343&amp;"&amp;utm_campaign="&amp;H343&amp;"&amp;utm_content="&amp;I343</f>
        <v>https://aiventure.uk/?utm_source=a2a_agent_card&amp;utm_medium=agent&amp;utm_campaign=2610_ff_lansare&amp;utm_content=cald_general</v>
      </c>
    </row>
    <row r="344" customFormat="false" ht="15" hidden="false" customHeight="false" outlineLevel="0" collapsed="false">
      <c r="A344" s="10" t="s">
        <v>53</v>
      </c>
      <c r="B344" s="10" t="str">
        <f aca="false">INDEX('Site-uri'!$B$2:$B$20,MATCH(A344,'Site-uri'!$A$2:$A$20,0))</f>
        <v>aiventure.uk</v>
      </c>
      <c r="C344" s="10" t="s">
        <v>204</v>
      </c>
      <c r="D344" s="10" t="s">
        <v>231</v>
      </c>
      <c r="E344" s="10" t="str">
        <f aca="false">INDEX(Canale!$C$2:$C$30,MATCH(C344,Canale!$A$2:$A$30,0))</f>
        <v>a2a_agent_card</v>
      </c>
      <c r="F344" s="10" t="str">
        <f aca="false">INDEX(Canale!$D$2:$D$30,MATCH(C344,Canale!$A$2:$A$30,0))</f>
        <v>agent</v>
      </c>
      <c r="G344" s="10" t="str">
        <f aca="false">INDEX('Site-uri'!$C$2:$C$20,MATCH(A344,'Site-uri'!$A$2:$A$20,0))</f>
        <v>/</v>
      </c>
      <c r="H344" s="10" t="str">
        <f aca="false">Config!$B$3</f>
        <v>2610_ff_lansare</v>
      </c>
      <c r="I344" s="10" t="str">
        <f aca="false">D344&amp;"_"&amp;Config!$B$4</f>
        <v>fierbinte_general</v>
      </c>
      <c r="J344" s="10" t="str">
        <f aca="false">"https://"&amp;B344&amp;G344&amp;"?utm_source="&amp;E344&amp;"&amp;utm_medium="&amp;F344&amp;"&amp;utm_campaign="&amp;H344&amp;"&amp;utm_content="&amp;I344</f>
        <v>https://aiventure.uk/?utm_source=a2a_agent_card&amp;utm_medium=agent&amp;utm_campaign=2610_ff_lansare&amp;utm_content=fierbinte_general</v>
      </c>
    </row>
    <row r="345" customFormat="false" ht="15" hidden="false" customHeight="false" outlineLevel="0" collapsed="false">
      <c r="A345" s="10" t="s">
        <v>53</v>
      </c>
      <c r="B345" s="10" t="str">
        <f aca="false">INDEX('Site-uri'!$B$2:$B$20,MATCH(A345,'Site-uri'!$A$2:$A$20,0))</f>
        <v>aiventure.uk</v>
      </c>
      <c r="C345" s="10" t="s">
        <v>204</v>
      </c>
      <c r="D345" s="10" t="s">
        <v>237</v>
      </c>
      <c r="E345" s="10" t="str">
        <f aca="false">INDEX(Canale!$C$2:$C$30,MATCH(C345,Canale!$A$2:$A$30,0))</f>
        <v>a2a_agent_card</v>
      </c>
      <c r="F345" s="10" t="str">
        <f aca="false">INDEX(Canale!$D$2:$D$30,MATCH(C345,Canale!$A$2:$A$30,0))</f>
        <v>agent</v>
      </c>
      <c r="G345" s="10" t="str">
        <f aca="false">INDEX('Site-uri'!$C$2:$C$20,MATCH(A345,'Site-uri'!$A$2:$A$20,0))</f>
        <v>/</v>
      </c>
      <c r="H345" s="10" t="str">
        <f aca="false">Config!$B$3</f>
        <v>2610_ff_lansare</v>
      </c>
      <c r="I345" s="10" t="str">
        <f aca="false">D345&amp;"_"&amp;Config!$B$4</f>
        <v>client_general</v>
      </c>
      <c r="J345" s="10" t="str">
        <f aca="false">"https://"&amp;B345&amp;G345&amp;"?utm_source="&amp;E345&amp;"&amp;utm_medium="&amp;F345&amp;"&amp;utm_campaign="&amp;H345&amp;"&amp;utm_content="&amp;I345</f>
        <v>https://aiventure.uk/?utm_source=a2a_agent_card&amp;utm_medium=agent&amp;utm_campaign=2610_ff_lansare&amp;utm_content=client_general</v>
      </c>
    </row>
    <row r="346" customFormat="false" ht="15" hidden="false" customHeight="false" outlineLevel="0" collapsed="false">
      <c r="A346" s="10" t="s">
        <v>53</v>
      </c>
      <c r="B346" s="10" t="str">
        <f aca="false">INDEX('Site-uri'!$B$2:$B$20,MATCH(A346,'Site-uri'!$A$2:$A$20,0))</f>
        <v>aiventure.uk</v>
      </c>
      <c r="C346" s="10" t="s">
        <v>209</v>
      </c>
      <c r="D346" s="10" t="s">
        <v>219</v>
      </c>
      <c r="E346" s="10" t="str">
        <f aca="false">INDEX(Canale!$C$2:$C$30,MATCH(C346,Canale!$A$2:$A$30,0))</f>
        <v>llms_txt</v>
      </c>
      <c r="F346" s="10" t="str">
        <f aca="false">INDEX(Canale!$D$2:$D$30,MATCH(C346,Canale!$A$2:$A$30,0))</f>
        <v>ai_web</v>
      </c>
      <c r="G346" s="10" t="str">
        <f aca="false">INDEX('Site-uri'!$C$2:$C$20,MATCH(A346,'Site-uri'!$A$2:$A$20,0))</f>
        <v>/</v>
      </c>
      <c r="H346" s="10" t="str">
        <f aca="false">Config!$B$3</f>
        <v>2610_ff_lansare</v>
      </c>
      <c r="I346" s="10" t="str">
        <f aca="false">D346&amp;"_"&amp;Config!$B$4</f>
        <v>rece_general</v>
      </c>
      <c r="J346" s="10" t="str">
        <f aca="false">"https://"&amp;B346&amp;G346&amp;"?utm_source="&amp;E346&amp;"&amp;utm_medium="&amp;F346&amp;"&amp;utm_campaign="&amp;H346&amp;"&amp;utm_content="&amp;I346</f>
        <v>https://aiventure.uk/?utm_source=llms_txt&amp;utm_medium=ai_web&amp;utm_campaign=2610_ff_lansare&amp;utm_content=rece_general</v>
      </c>
    </row>
    <row r="347" customFormat="false" ht="15" hidden="false" customHeight="false" outlineLevel="0" collapsed="false">
      <c r="A347" s="10" t="s">
        <v>53</v>
      </c>
      <c r="B347" s="10" t="str">
        <f aca="false">INDEX('Site-uri'!$B$2:$B$20,MATCH(A347,'Site-uri'!$A$2:$A$20,0))</f>
        <v>aiventure.uk</v>
      </c>
      <c r="C347" s="10" t="s">
        <v>209</v>
      </c>
      <c r="D347" s="10" t="s">
        <v>225</v>
      </c>
      <c r="E347" s="10" t="str">
        <f aca="false">INDEX(Canale!$C$2:$C$30,MATCH(C347,Canale!$A$2:$A$30,0))</f>
        <v>llms_txt</v>
      </c>
      <c r="F347" s="10" t="str">
        <f aca="false">INDEX(Canale!$D$2:$D$30,MATCH(C347,Canale!$A$2:$A$30,0))</f>
        <v>ai_web</v>
      </c>
      <c r="G347" s="10" t="str">
        <f aca="false">INDEX('Site-uri'!$C$2:$C$20,MATCH(A347,'Site-uri'!$A$2:$A$20,0))</f>
        <v>/</v>
      </c>
      <c r="H347" s="10" t="str">
        <f aca="false">Config!$B$3</f>
        <v>2610_ff_lansare</v>
      </c>
      <c r="I347" s="10" t="str">
        <f aca="false">D347&amp;"_"&amp;Config!$B$4</f>
        <v>cald_general</v>
      </c>
      <c r="J347" s="10" t="str">
        <f aca="false">"https://"&amp;B347&amp;G347&amp;"?utm_source="&amp;E347&amp;"&amp;utm_medium="&amp;F347&amp;"&amp;utm_campaign="&amp;H347&amp;"&amp;utm_content="&amp;I347</f>
        <v>https://aiventure.uk/?utm_source=llms_txt&amp;utm_medium=ai_web&amp;utm_campaign=2610_ff_lansare&amp;utm_content=cald_general</v>
      </c>
    </row>
    <row r="348" customFormat="false" ht="15" hidden="false" customHeight="false" outlineLevel="0" collapsed="false">
      <c r="A348" s="10" t="s">
        <v>53</v>
      </c>
      <c r="B348" s="10" t="str">
        <f aca="false">INDEX('Site-uri'!$B$2:$B$20,MATCH(A348,'Site-uri'!$A$2:$A$20,0))</f>
        <v>aiventure.uk</v>
      </c>
      <c r="C348" s="10" t="s">
        <v>209</v>
      </c>
      <c r="D348" s="10" t="s">
        <v>231</v>
      </c>
      <c r="E348" s="10" t="str">
        <f aca="false">INDEX(Canale!$C$2:$C$30,MATCH(C348,Canale!$A$2:$A$30,0))</f>
        <v>llms_txt</v>
      </c>
      <c r="F348" s="10" t="str">
        <f aca="false">INDEX(Canale!$D$2:$D$30,MATCH(C348,Canale!$A$2:$A$30,0))</f>
        <v>ai_web</v>
      </c>
      <c r="G348" s="10" t="str">
        <f aca="false">INDEX('Site-uri'!$C$2:$C$20,MATCH(A348,'Site-uri'!$A$2:$A$20,0))</f>
        <v>/</v>
      </c>
      <c r="H348" s="10" t="str">
        <f aca="false">Config!$B$3</f>
        <v>2610_ff_lansare</v>
      </c>
      <c r="I348" s="10" t="str">
        <f aca="false">D348&amp;"_"&amp;Config!$B$4</f>
        <v>fierbinte_general</v>
      </c>
      <c r="J348" s="10" t="str">
        <f aca="false">"https://"&amp;B348&amp;G348&amp;"?utm_source="&amp;E348&amp;"&amp;utm_medium="&amp;F348&amp;"&amp;utm_campaign="&amp;H348&amp;"&amp;utm_content="&amp;I348</f>
        <v>https://aiventure.uk/?utm_source=llms_txt&amp;utm_medium=ai_web&amp;utm_campaign=2610_ff_lansare&amp;utm_content=fierbinte_general</v>
      </c>
    </row>
    <row r="349" customFormat="false" ht="15" hidden="false" customHeight="false" outlineLevel="0" collapsed="false">
      <c r="A349" s="10" t="s">
        <v>53</v>
      </c>
      <c r="B349" s="10" t="str">
        <f aca="false">INDEX('Site-uri'!$B$2:$B$20,MATCH(A349,'Site-uri'!$A$2:$A$20,0))</f>
        <v>aiventure.uk</v>
      </c>
      <c r="C349" s="10" t="s">
        <v>209</v>
      </c>
      <c r="D349" s="10" t="s">
        <v>237</v>
      </c>
      <c r="E349" s="10" t="str">
        <f aca="false">INDEX(Canale!$C$2:$C$30,MATCH(C349,Canale!$A$2:$A$30,0))</f>
        <v>llms_txt</v>
      </c>
      <c r="F349" s="10" t="str">
        <f aca="false">INDEX(Canale!$D$2:$D$30,MATCH(C349,Canale!$A$2:$A$30,0))</f>
        <v>ai_web</v>
      </c>
      <c r="G349" s="10" t="str">
        <f aca="false">INDEX('Site-uri'!$C$2:$C$20,MATCH(A349,'Site-uri'!$A$2:$A$20,0))</f>
        <v>/</v>
      </c>
      <c r="H349" s="10" t="str">
        <f aca="false">Config!$B$3</f>
        <v>2610_ff_lansare</v>
      </c>
      <c r="I349" s="10" t="str">
        <f aca="false">D349&amp;"_"&amp;Config!$B$4</f>
        <v>client_general</v>
      </c>
      <c r="J349" s="10" t="str">
        <f aca="false">"https://"&amp;B349&amp;G349&amp;"?utm_source="&amp;E349&amp;"&amp;utm_medium="&amp;F349&amp;"&amp;utm_campaign="&amp;H349&amp;"&amp;utm_content="&amp;I349</f>
        <v>https://aiventure.uk/?utm_source=llms_txt&amp;utm_medium=ai_web&amp;utm_campaign=2610_ff_lansare&amp;utm_content=client_general</v>
      </c>
    </row>
    <row r="350" customFormat="false" ht="15" hidden="false" customHeight="false" outlineLevel="0" collapsed="false">
      <c r="A350" s="10" t="s">
        <v>56</v>
      </c>
      <c r="B350" s="10" t="str">
        <f aca="false">INDEX('Site-uri'!$B$2:$B$20,MATCH(A350,'Site-uri'!$A$2:$A$20,0))</f>
        <v>3webobs.com</v>
      </c>
      <c r="C350" s="10" t="s">
        <v>104</v>
      </c>
      <c r="D350" s="10" t="s">
        <v>219</v>
      </c>
      <c r="E350" s="10" t="str">
        <f aca="false">INDEX(Canale!$C$2:$C$30,MATCH(C350,Canale!$A$2:$A$30,0))</f>
        <v>linkedin_personal</v>
      </c>
      <c r="F350" s="10" t="str">
        <f aca="false">INDEX(Canale!$D$2:$D$30,MATCH(C350,Canale!$A$2:$A$30,0))</f>
        <v>social</v>
      </c>
      <c r="G350" s="10" t="str">
        <f aca="false">INDEX('Site-uri'!$C$2:$C$20,MATCH(A350,'Site-uri'!$A$2:$A$20,0))</f>
        <v>/</v>
      </c>
      <c r="H350" s="10" t="str">
        <f aca="false">Config!$B$3</f>
        <v>2610_ff_lansare</v>
      </c>
      <c r="I350" s="10" t="str">
        <f aca="false">D350&amp;"_"&amp;Config!$B$4</f>
        <v>rece_general</v>
      </c>
      <c r="J350" s="10" t="str">
        <f aca="false">"https://"&amp;B350&amp;G350&amp;"?utm_source="&amp;E350&amp;"&amp;utm_medium="&amp;F350&amp;"&amp;utm_campaign="&amp;H350&amp;"&amp;utm_content="&amp;I350</f>
        <v>https://3webobs.com/?utm_source=linkedin_personal&amp;utm_medium=social&amp;utm_campaign=2610_ff_lansare&amp;utm_content=rece_general</v>
      </c>
    </row>
    <row r="351" customFormat="false" ht="15" hidden="false" customHeight="false" outlineLevel="0" collapsed="false">
      <c r="A351" s="10" t="s">
        <v>56</v>
      </c>
      <c r="B351" s="10" t="str">
        <f aca="false">INDEX('Site-uri'!$B$2:$B$20,MATCH(A351,'Site-uri'!$A$2:$A$20,0))</f>
        <v>3webobs.com</v>
      </c>
      <c r="C351" s="10" t="s">
        <v>104</v>
      </c>
      <c r="D351" s="10" t="s">
        <v>225</v>
      </c>
      <c r="E351" s="10" t="str">
        <f aca="false">INDEX(Canale!$C$2:$C$30,MATCH(C351,Canale!$A$2:$A$30,0))</f>
        <v>linkedin_personal</v>
      </c>
      <c r="F351" s="10" t="str">
        <f aca="false">INDEX(Canale!$D$2:$D$30,MATCH(C351,Canale!$A$2:$A$30,0))</f>
        <v>social</v>
      </c>
      <c r="G351" s="10" t="str">
        <f aca="false">INDEX('Site-uri'!$C$2:$C$20,MATCH(A351,'Site-uri'!$A$2:$A$20,0))</f>
        <v>/</v>
      </c>
      <c r="H351" s="10" t="str">
        <f aca="false">Config!$B$3</f>
        <v>2610_ff_lansare</v>
      </c>
      <c r="I351" s="10" t="str">
        <f aca="false">D351&amp;"_"&amp;Config!$B$4</f>
        <v>cald_general</v>
      </c>
      <c r="J351" s="10" t="str">
        <f aca="false">"https://"&amp;B351&amp;G351&amp;"?utm_source="&amp;E351&amp;"&amp;utm_medium="&amp;F351&amp;"&amp;utm_campaign="&amp;H351&amp;"&amp;utm_content="&amp;I351</f>
        <v>https://3webobs.com/?utm_source=linkedin_personal&amp;utm_medium=social&amp;utm_campaign=2610_ff_lansare&amp;utm_content=cald_general</v>
      </c>
    </row>
    <row r="352" customFormat="false" ht="15" hidden="false" customHeight="false" outlineLevel="0" collapsed="false">
      <c r="A352" s="10" t="s">
        <v>56</v>
      </c>
      <c r="B352" s="10" t="str">
        <f aca="false">INDEX('Site-uri'!$B$2:$B$20,MATCH(A352,'Site-uri'!$A$2:$A$20,0))</f>
        <v>3webobs.com</v>
      </c>
      <c r="C352" s="10" t="s">
        <v>104</v>
      </c>
      <c r="D352" s="10" t="s">
        <v>231</v>
      </c>
      <c r="E352" s="10" t="str">
        <f aca="false">INDEX(Canale!$C$2:$C$30,MATCH(C352,Canale!$A$2:$A$30,0))</f>
        <v>linkedin_personal</v>
      </c>
      <c r="F352" s="10" t="str">
        <f aca="false">INDEX(Canale!$D$2:$D$30,MATCH(C352,Canale!$A$2:$A$30,0))</f>
        <v>social</v>
      </c>
      <c r="G352" s="10" t="str">
        <f aca="false">INDEX('Site-uri'!$C$2:$C$20,MATCH(A352,'Site-uri'!$A$2:$A$20,0))</f>
        <v>/</v>
      </c>
      <c r="H352" s="10" t="str">
        <f aca="false">Config!$B$3</f>
        <v>2610_ff_lansare</v>
      </c>
      <c r="I352" s="10" t="str">
        <f aca="false">D352&amp;"_"&amp;Config!$B$4</f>
        <v>fierbinte_general</v>
      </c>
      <c r="J352" s="10" t="str">
        <f aca="false">"https://"&amp;B352&amp;G352&amp;"?utm_source="&amp;E352&amp;"&amp;utm_medium="&amp;F352&amp;"&amp;utm_campaign="&amp;H352&amp;"&amp;utm_content="&amp;I352</f>
        <v>https://3webobs.com/?utm_source=linkedin_personal&amp;utm_medium=social&amp;utm_campaign=2610_ff_lansare&amp;utm_content=fierbinte_general</v>
      </c>
    </row>
    <row r="353" customFormat="false" ht="15" hidden="false" customHeight="false" outlineLevel="0" collapsed="false">
      <c r="A353" s="10" t="s">
        <v>56</v>
      </c>
      <c r="B353" s="10" t="str">
        <f aca="false">INDEX('Site-uri'!$B$2:$B$20,MATCH(A353,'Site-uri'!$A$2:$A$20,0))</f>
        <v>3webobs.com</v>
      </c>
      <c r="C353" s="10" t="s">
        <v>104</v>
      </c>
      <c r="D353" s="10" t="s">
        <v>237</v>
      </c>
      <c r="E353" s="10" t="str">
        <f aca="false">INDEX(Canale!$C$2:$C$30,MATCH(C353,Canale!$A$2:$A$30,0))</f>
        <v>linkedin_personal</v>
      </c>
      <c r="F353" s="10" t="str">
        <f aca="false">INDEX(Canale!$D$2:$D$30,MATCH(C353,Canale!$A$2:$A$30,0))</f>
        <v>social</v>
      </c>
      <c r="G353" s="10" t="str">
        <f aca="false">INDEX('Site-uri'!$C$2:$C$20,MATCH(A353,'Site-uri'!$A$2:$A$20,0))</f>
        <v>/</v>
      </c>
      <c r="H353" s="10" t="str">
        <f aca="false">Config!$B$3</f>
        <v>2610_ff_lansare</v>
      </c>
      <c r="I353" s="10" t="str">
        <f aca="false">D353&amp;"_"&amp;Config!$B$4</f>
        <v>client_general</v>
      </c>
      <c r="J353" s="10" t="str">
        <f aca="false">"https://"&amp;B353&amp;G353&amp;"?utm_source="&amp;E353&amp;"&amp;utm_medium="&amp;F353&amp;"&amp;utm_campaign="&amp;H353&amp;"&amp;utm_content="&amp;I353</f>
        <v>https://3webobs.com/?utm_source=linkedin_personal&amp;utm_medium=social&amp;utm_campaign=2610_ff_lansare&amp;utm_content=client_general</v>
      </c>
    </row>
    <row r="354" customFormat="false" ht="15" hidden="false" customHeight="false" outlineLevel="0" collapsed="false">
      <c r="A354" s="10" t="s">
        <v>56</v>
      </c>
      <c r="B354" s="10" t="str">
        <f aca="false">INDEX('Site-uri'!$B$2:$B$20,MATCH(A354,'Site-uri'!$A$2:$A$20,0))</f>
        <v>3webobs.com</v>
      </c>
      <c r="C354" s="10" t="s">
        <v>109</v>
      </c>
      <c r="D354" s="10" t="s">
        <v>219</v>
      </c>
      <c r="E354" s="10" t="str">
        <f aca="false">INDEX(Canale!$C$2:$C$30,MATCH(C354,Canale!$A$2:$A$30,0))</f>
        <v>linkedin_company</v>
      </c>
      <c r="F354" s="10" t="str">
        <f aca="false">INDEX(Canale!$D$2:$D$30,MATCH(C354,Canale!$A$2:$A$30,0))</f>
        <v>social</v>
      </c>
      <c r="G354" s="10" t="str">
        <f aca="false">INDEX('Site-uri'!$C$2:$C$20,MATCH(A354,'Site-uri'!$A$2:$A$20,0))</f>
        <v>/</v>
      </c>
      <c r="H354" s="10" t="str">
        <f aca="false">Config!$B$3</f>
        <v>2610_ff_lansare</v>
      </c>
      <c r="I354" s="10" t="str">
        <f aca="false">D354&amp;"_"&amp;Config!$B$4</f>
        <v>rece_general</v>
      </c>
      <c r="J354" s="10" t="str">
        <f aca="false">"https://"&amp;B354&amp;G354&amp;"?utm_source="&amp;E354&amp;"&amp;utm_medium="&amp;F354&amp;"&amp;utm_campaign="&amp;H354&amp;"&amp;utm_content="&amp;I354</f>
        <v>https://3webobs.com/?utm_source=linkedin_company&amp;utm_medium=social&amp;utm_campaign=2610_ff_lansare&amp;utm_content=rece_general</v>
      </c>
    </row>
    <row r="355" customFormat="false" ht="15" hidden="false" customHeight="false" outlineLevel="0" collapsed="false">
      <c r="A355" s="10" t="s">
        <v>56</v>
      </c>
      <c r="B355" s="10" t="str">
        <f aca="false">INDEX('Site-uri'!$B$2:$B$20,MATCH(A355,'Site-uri'!$A$2:$A$20,0))</f>
        <v>3webobs.com</v>
      </c>
      <c r="C355" s="10" t="s">
        <v>109</v>
      </c>
      <c r="D355" s="10" t="s">
        <v>225</v>
      </c>
      <c r="E355" s="10" t="str">
        <f aca="false">INDEX(Canale!$C$2:$C$30,MATCH(C355,Canale!$A$2:$A$30,0))</f>
        <v>linkedin_company</v>
      </c>
      <c r="F355" s="10" t="str">
        <f aca="false">INDEX(Canale!$D$2:$D$30,MATCH(C355,Canale!$A$2:$A$30,0))</f>
        <v>social</v>
      </c>
      <c r="G355" s="10" t="str">
        <f aca="false">INDEX('Site-uri'!$C$2:$C$20,MATCH(A355,'Site-uri'!$A$2:$A$20,0))</f>
        <v>/</v>
      </c>
      <c r="H355" s="10" t="str">
        <f aca="false">Config!$B$3</f>
        <v>2610_ff_lansare</v>
      </c>
      <c r="I355" s="10" t="str">
        <f aca="false">D355&amp;"_"&amp;Config!$B$4</f>
        <v>cald_general</v>
      </c>
      <c r="J355" s="10" t="str">
        <f aca="false">"https://"&amp;B355&amp;G355&amp;"?utm_source="&amp;E355&amp;"&amp;utm_medium="&amp;F355&amp;"&amp;utm_campaign="&amp;H355&amp;"&amp;utm_content="&amp;I355</f>
        <v>https://3webobs.com/?utm_source=linkedin_company&amp;utm_medium=social&amp;utm_campaign=2610_ff_lansare&amp;utm_content=cald_general</v>
      </c>
    </row>
    <row r="356" customFormat="false" ht="15" hidden="false" customHeight="false" outlineLevel="0" collapsed="false">
      <c r="A356" s="10" t="s">
        <v>56</v>
      </c>
      <c r="B356" s="10" t="str">
        <f aca="false">INDEX('Site-uri'!$B$2:$B$20,MATCH(A356,'Site-uri'!$A$2:$A$20,0))</f>
        <v>3webobs.com</v>
      </c>
      <c r="C356" s="10" t="s">
        <v>109</v>
      </c>
      <c r="D356" s="10" t="s">
        <v>231</v>
      </c>
      <c r="E356" s="10" t="str">
        <f aca="false">INDEX(Canale!$C$2:$C$30,MATCH(C356,Canale!$A$2:$A$30,0))</f>
        <v>linkedin_company</v>
      </c>
      <c r="F356" s="10" t="str">
        <f aca="false">INDEX(Canale!$D$2:$D$30,MATCH(C356,Canale!$A$2:$A$30,0))</f>
        <v>social</v>
      </c>
      <c r="G356" s="10" t="str">
        <f aca="false">INDEX('Site-uri'!$C$2:$C$20,MATCH(A356,'Site-uri'!$A$2:$A$20,0))</f>
        <v>/</v>
      </c>
      <c r="H356" s="10" t="str">
        <f aca="false">Config!$B$3</f>
        <v>2610_ff_lansare</v>
      </c>
      <c r="I356" s="10" t="str">
        <f aca="false">D356&amp;"_"&amp;Config!$B$4</f>
        <v>fierbinte_general</v>
      </c>
      <c r="J356" s="10" t="str">
        <f aca="false">"https://"&amp;B356&amp;G356&amp;"?utm_source="&amp;E356&amp;"&amp;utm_medium="&amp;F356&amp;"&amp;utm_campaign="&amp;H356&amp;"&amp;utm_content="&amp;I356</f>
        <v>https://3webobs.com/?utm_source=linkedin_company&amp;utm_medium=social&amp;utm_campaign=2610_ff_lansare&amp;utm_content=fierbinte_general</v>
      </c>
    </row>
    <row r="357" customFormat="false" ht="15" hidden="false" customHeight="false" outlineLevel="0" collapsed="false">
      <c r="A357" s="10" t="s">
        <v>56</v>
      </c>
      <c r="B357" s="10" t="str">
        <f aca="false">INDEX('Site-uri'!$B$2:$B$20,MATCH(A357,'Site-uri'!$A$2:$A$20,0))</f>
        <v>3webobs.com</v>
      </c>
      <c r="C357" s="10" t="s">
        <v>109</v>
      </c>
      <c r="D357" s="10" t="s">
        <v>237</v>
      </c>
      <c r="E357" s="10" t="str">
        <f aca="false">INDEX(Canale!$C$2:$C$30,MATCH(C357,Canale!$A$2:$A$30,0))</f>
        <v>linkedin_company</v>
      </c>
      <c r="F357" s="10" t="str">
        <f aca="false">INDEX(Canale!$D$2:$D$30,MATCH(C357,Canale!$A$2:$A$30,0))</f>
        <v>social</v>
      </c>
      <c r="G357" s="10" t="str">
        <f aca="false">INDEX('Site-uri'!$C$2:$C$20,MATCH(A357,'Site-uri'!$A$2:$A$20,0))</f>
        <v>/</v>
      </c>
      <c r="H357" s="10" t="str">
        <f aca="false">Config!$B$3</f>
        <v>2610_ff_lansare</v>
      </c>
      <c r="I357" s="10" t="str">
        <f aca="false">D357&amp;"_"&amp;Config!$B$4</f>
        <v>client_general</v>
      </c>
      <c r="J357" s="10" t="str">
        <f aca="false">"https://"&amp;B357&amp;G357&amp;"?utm_source="&amp;E357&amp;"&amp;utm_medium="&amp;F357&amp;"&amp;utm_campaign="&amp;H357&amp;"&amp;utm_content="&amp;I357</f>
        <v>https://3webobs.com/?utm_source=linkedin_company&amp;utm_medium=social&amp;utm_campaign=2610_ff_lansare&amp;utm_content=client_general</v>
      </c>
    </row>
    <row r="358" customFormat="false" ht="15" hidden="false" customHeight="false" outlineLevel="0" collapsed="false">
      <c r="A358" s="10" t="s">
        <v>56</v>
      </c>
      <c r="B358" s="10" t="str">
        <f aca="false">INDEX('Site-uri'!$B$2:$B$20,MATCH(A358,'Site-uri'!$A$2:$A$20,0))</f>
        <v>3webobs.com</v>
      </c>
      <c r="C358" s="10" t="s">
        <v>112</v>
      </c>
      <c r="D358" s="10" t="s">
        <v>219</v>
      </c>
      <c r="E358" s="10" t="str">
        <f aca="false">INDEX(Canale!$C$2:$C$30,MATCH(C358,Canale!$A$2:$A$30,0))</f>
        <v>linkedin_showcase</v>
      </c>
      <c r="F358" s="10" t="str">
        <f aca="false">INDEX(Canale!$D$2:$D$30,MATCH(C358,Canale!$A$2:$A$30,0))</f>
        <v>social</v>
      </c>
      <c r="G358" s="10" t="str">
        <f aca="false">INDEX('Site-uri'!$C$2:$C$20,MATCH(A358,'Site-uri'!$A$2:$A$20,0))</f>
        <v>/</v>
      </c>
      <c r="H358" s="10" t="str">
        <f aca="false">Config!$B$3</f>
        <v>2610_ff_lansare</v>
      </c>
      <c r="I358" s="10" t="str">
        <f aca="false">D358&amp;"_"&amp;Config!$B$4</f>
        <v>rece_general</v>
      </c>
      <c r="J358" s="10" t="str">
        <f aca="false">"https://"&amp;B358&amp;G358&amp;"?utm_source="&amp;E358&amp;"&amp;utm_medium="&amp;F358&amp;"&amp;utm_campaign="&amp;H358&amp;"&amp;utm_content="&amp;I358</f>
        <v>https://3webobs.com/?utm_source=linkedin_showcase&amp;utm_medium=social&amp;utm_campaign=2610_ff_lansare&amp;utm_content=rece_general</v>
      </c>
    </row>
    <row r="359" customFormat="false" ht="15" hidden="false" customHeight="false" outlineLevel="0" collapsed="false">
      <c r="A359" s="10" t="s">
        <v>56</v>
      </c>
      <c r="B359" s="10" t="str">
        <f aca="false">INDEX('Site-uri'!$B$2:$B$20,MATCH(A359,'Site-uri'!$A$2:$A$20,0))</f>
        <v>3webobs.com</v>
      </c>
      <c r="C359" s="10" t="s">
        <v>112</v>
      </c>
      <c r="D359" s="10" t="s">
        <v>225</v>
      </c>
      <c r="E359" s="10" t="str">
        <f aca="false">INDEX(Canale!$C$2:$C$30,MATCH(C359,Canale!$A$2:$A$30,0))</f>
        <v>linkedin_showcase</v>
      </c>
      <c r="F359" s="10" t="str">
        <f aca="false">INDEX(Canale!$D$2:$D$30,MATCH(C359,Canale!$A$2:$A$30,0))</f>
        <v>social</v>
      </c>
      <c r="G359" s="10" t="str">
        <f aca="false">INDEX('Site-uri'!$C$2:$C$20,MATCH(A359,'Site-uri'!$A$2:$A$20,0))</f>
        <v>/</v>
      </c>
      <c r="H359" s="10" t="str">
        <f aca="false">Config!$B$3</f>
        <v>2610_ff_lansare</v>
      </c>
      <c r="I359" s="10" t="str">
        <f aca="false">D359&amp;"_"&amp;Config!$B$4</f>
        <v>cald_general</v>
      </c>
      <c r="J359" s="10" t="str">
        <f aca="false">"https://"&amp;B359&amp;G359&amp;"?utm_source="&amp;E359&amp;"&amp;utm_medium="&amp;F359&amp;"&amp;utm_campaign="&amp;H359&amp;"&amp;utm_content="&amp;I359</f>
        <v>https://3webobs.com/?utm_source=linkedin_showcase&amp;utm_medium=social&amp;utm_campaign=2610_ff_lansare&amp;utm_content=cald_general</v>
      </c>
    </row>
    <row r="360" customFormat="false" ht="15" hidden="false" customHeight="false" outlineLevel="0" collapsed="false">
      <c r="A360" s="10" t="s">
        <v>56</v>
      </c>
      <c r="B360" s="10" t="str">
        <f aca="false">INDEX('Site-uri'!$B$2:$B$20,MATCH(A360,'Site-uri'!$A$2:$A$20,0))</f>
        <v>3webobs.com</v>
      </c>
      <c r="C360" s="10" t="s">
        <v>112</v>
      </c>
      <c r="D360" s="10" t="s">
        <v>231</v>
      </c>
      <c r="E360" s="10" t="str">
        <f aca="false">INDEX(Canale!$C$2:$C$30,MATCH(C360,Canale!$A$2:$A$30,0))</f>
        <v>linkedin_showcase</v>
      </c>
      <c r="F360" s="10" t="str">
        <f aca="false">INDEX(Canale!$D$2:$D$30,MATCH(C360,Canale!$A$2:$A$30,0))</f>
        <v>social</v>
      </c>
      <c r="G360" s="10" t="str">
        <f aca="false">INDEX('Site-uri'!$C$2:$C$20,MATCH(A360,'Site-uri'!$A$2:$A$20,0))</f>
        <v>/</v>
      </c>
      <c r="H360" s="10" t="str">
        <f aca="false">Config!$B$3</f>
        <v>2610_ff_lansare</v>
      </c>
      <c r="I360" s="10" t="str">
        <f aca="false">D360&amp;"_"&amp;Config!$B$4</f>
        <v>fierbinte_general</v>
      </c>
      <c r="J360" s="10" t="str">
        <f aca="false">"https://"&amp;B360&amp;G360&amp;"?utm_source="&amp;E360&amp;"&amp;utm_medium="&amp;F360&amp;"&amp;utm_campaign="&amp;H360&amp;"&amp;utm_content="&amp;I360</f>
        <v>https://3webobs.com/?utm_source=linkedin_showcase&amp;utm_medium=social&amp;utm_campaign=2610_ff_lansare&amp;utm_content=fierbinte_general</v>
      </c>
    </row>
    <row r="361" customFormat="false" ht="15" hidden="false" customHeight="false" outlineLevel="0" collapsed="false">
      <c r="A361" s="10" t="s">
        <v>56</v>
      </c>
      <c r="B361" s="10" t="str">
        <f aca="false">INDEX('Site-uri'!$B$2:$B$20,MATCH(A361,'Site-uri'!$A$2:$A$20,0))</f>
        <v>3webobs.com</v>
      </c>
      <c r="C361" s="10" t="s">
        <v>112</v>
      </c>
      <c r="D361" s="10" t="s">
        <v>237</v>
      </c>
      <c r="E361" s="10" t="str">
        <f aca="false">INDEX(Canale!$C$2:$C$30,MATCH(C361,Canale!$A$2:$A$30,0))</f>
        <v>linkedin_showcase</v>
      </c>
      <c r="F361" s="10" t="str">
        <f aca="false">INDEX(Canale!$D$2:$D$30,MATCH(C361,Canale!$A$2:$A$30,0))</f>
        <v>social</v>
      </c>
      <c r="G361" s="10" t="str">
        <f aca="false">INDEX('Site-uri'!$C$2:$C$20,MATCH(A361,'Site-uri'!$A$2:$A$20,0))</f>
        <v>/</v>
      </c>
      <c r="H361" s="10" t="str">
        <f aca="false">Config!$B$3</f>
        <v>2610_ff_lansare</v>
      </c>
      <c r="I361" s="10" t="str">
        <f aca="false">D361&amp;"_"&amp;Config!$B$4</f>
        <v>client_general</v>
      </c>
      <c r="J361" s="10" t="str">
        <f aca="false">"https://"&amp;B361&amp;G361&amp;"?utm_source="&amp;E361&amp;"&amp;utm_medium="&amp;F361&amp;"&amp;utm_campaign="&amp;H361&amp;"&amp;utm_content="&amp;I361</f>
        <v>https://3webobs.com/?utm_source=linkedin_showcase&amp;utm_medium=social&amp;utm_campaign=2610_ff_lansare&amp;utm_content=client_general</v>
      </c>
    </row>
    <row r="362" customFormat="false" ht="15" hidden="false" customHeight="false" outlineLevel="0" collapsed="false">
      <c r="A362" s="10" t="s">
        <v>56</v>
      </c>
      <c r="B362" s="10" t="str">
        <f aca="false">INDEX('Site-uri'!$B$2:$B$20,MATCH(A362,'Site-uri'!$A$2:$A$20,0))</f>
        <v>3webobs.com</v>
      </c>
      <c r="C362" s="10" t="s">
        <v>115</v>
      </c>
      <c r="D362" s="10" t="s">
        <v>219</v>
      </c>
      <c r="E362" s="10" t="str">
        <f aca="false">INDEX(Canale!$C$2:$C$30,MATCH(C362,Canale!$A$2:$A$30,0))</f>
        <v>linkedin_newsletter</v>
      </c>
      <c r="F362" s="10" t="str">
        <f aca="false">INDEX(Canale!$D$2:$D$30,MATCH(C362,Canale!$A$2:$A$30,0))</f>
        <v>social</v>
      </c>
      <c r="G362" s="10" t="str">
        <f aca="false">INDEX('Site-uri'!$C$2:$C$20,MATCH(A362,'Site-uri'!$A$2:$A$20,0))</f>
        <v>/</v>
      </c>
      <c r="H362" s="10" t="str">
        <f aca="false">Config!$B$3</f>
        <v>2610_ff_lansare</v>
      </c>
      <c r="I362" s="10" t="str">
        <f aca="false">D362&amp;"_"&amp;Config!$B$4</f>
        <v>rece_general</v>
      </c>
      <c r="J362" s="10" t="str">
        <f aca="false">"https://"&amp;B362&amp;G362&amp;"?utm_source="&amp;E362&amp;"&amp;utm_medium="&amp;F362&amp;"&amp;utm_campaign="&amp;H362&amp;"&amp;utm_content="&amp;I362</f>
        <v>https://3webobs.com/?utm_source=linkedin_newsletter&amp;utm_medium=social&amp;utm_campaign=2610_ff_lansare&amp;utm_content=rece_general</v>
      </c>
    </row>
    <row r="363" customFormat="false" ht="15" hidden="false" customHeight="false" outlineLevel="0" collapsed="false">
      <c r="A363" s="10" t="s">
        <v>56</v>
      </c>
      <c r="B363" s="10" t="str">
        <f aca="false">INDEX('Site-uri'!$B$2:$B$20,MATCH(A363,'Site-uri'!$A$2:$A$20,0))</f>
        <v>3webobs.com</v>
      </c>
      <c r="C363" s="10" t="s">
        <v>115</v>
      </c>
      <c r="D363" s="10" t="s">
        <v>225</v>
      </c>
      <c r="E363" s="10" t="str">
        <f aca="false">INDEX(Canale!$C$2:$C$30,MATCH(C363,Canale!$A$2:$A$30,0))</f>
        <v>linkedin_newsletter</v>
      </c>
      <c r="F363" s="10" t="str">
        <f aca="false">INDEX(Canale!$D$2:$D$30,MATCH(C363,Canale!$A$2:$A$30,0))</f>
        <v>social</v>
      </c>
      <c r="G363" s="10" t="str">
        <f aca="false">INDEX('Site-uri'!$C$2:$C$20,MATCH(A363,'Site-uri'!$A$2:$A$20,0))</f>
        <v>/</v>
      </c>
      <c r="H363" s="10" t="str">
        <f aca="false">Config!$B$3</f>
        <v>2610_ff_lansare</v>
      </c>
      <c r="I363" s="10" t="str">
        <f aca="false">D363&amp;"_"&amp;Config!$B$4</f>
        <v>cald_general</v>
      </c>
      <c r="J363" s="10" t="str">
        <f aca="false">"https://"&amp;B363&amp;G363&amp;"?utm_source="&amp;E363&amp;"&amp;utm_medium="&amp;F363&amp;"&amp;utm_campaign="&amp;H363&amp;"&amp;utm_content="&amp;I363</f>
        <v>https://3webobs.com/?utm_source=linkedin_newsletter&amp;utm_medium=social&amp;utm_campaign=2610_ff_lansare&amp;utm_content=cald_general</v>
      </c>
    </row>
    <row r="364" customFormat="false" ht="15" hidden="false" customHeight="false" outlineLevel="0" collapsed="false">
      <c r="A364" s="10" t="s">
        <v>56</v>
      </c>
      <c r="B364" s="10" t="str">
        <f aca="false">INDEX('Site-uri'!$B$2:$B$20,MATCH(A364,'Site-uri'!$A$2:$A$20,0))</f>
        <v>3webobs.com</v>
      </c>
      <c r="C364" s="10" t="s">
        <v>115</v>
      </c>
      <c r="D364" s="10" t="s">
        <v>231</v>
      </c>
      <c r="E364" s="10" t="str">
        <f aca="false">INDEX(Canale!$C$2:$C$30,MATCH(C364,Canale!$A$2:$A$30,0))</f>
        <v>linkedin_newsletter</v>
      </c>
      <c r="F364" s="10" t="str">
        <f aca="false">INDEX(Canale!$D$2:$D$30,MATCH(C364,Canale!$A$2:$A$30,0))</f>
        <v>social</v>
      </c>
      <c r="G364" s="10" t="str">
        <f aca="false">INDEX('Site-uri'!$C$2:$C$20,MATCH(A364,'Site-uri'!$A$2:$A$20,0))</f>
        <v>/</v>
      </c>
      <c r="H364" s="10" t="str">
        <f aca="false">Config!$B$3</f>
        <v>2610_ff_lansare</v>
      </c>
      <c r="I364" s="10" t="str">
        <f aca="false">D364&amp;"_"&amp;Config!$B$4</f>
        <v>fierbinte_general</v>
      </c>
      <c r="J364" s="10" t="str">
        <f aca="false">"https://"&amp;B364&amp;G364&amp;"?utm_source="&amp;E364&amp;"&amp;utm_medium="&amp;F364&amp;"&amp;utm_campaign="&amp;H364&amp;"&amp;utm_content="&amp;I364</f>
        <v>https://3webobs.com/?utm_source=linkedin_newsletter&amp;utm_medium=social&amp;utm_campaign=2610_ff_lansare&amp;utm_content=fierbinte_general</v>
      </c>
    </row>
    <row r="365" customFormat="false" ht="15" hidden="false" customHeight="false" outlineLevel="0" collapsed="false">
      <c r="A365" s="10" t="s">
        <v>56</v>
      </c>
      <c r="B365" s="10" t="str">
        <f aca="false">INDEX('Site-uri'!$B$2:$B$20,MATCH(A365,'Site-uri'!$A$2:$A$20,0))</f>
        <v>3webobs.com</v>
      </c>
      <c r="C365" s="10" t="s">
        <v>115</v>
      </c>
      <c r="D365" s="10" t="s">
        <v>237</v>
      </c>
      <c r="E365" s="10" t="str">
        <f aca="false">INDEX(Canale!$C$2:$C$30,MATCH(C365,Canale!$A$2:$A$30,0))</f>
        <v>linkedin_newsletter</v>
      </c>
      <c r="F365" s="10" t="str">
        <f aca="false">INDEX(Canale!$D$2:$D$30,MATCH(C365,Canale!$A$2:$A$30,0))</f>
        <v>social</v>
      </c>
      <c r="G365" s="10" t="str">
        <f aca="false">INDEX('Site-uri'!$C$2:$C$20,MATCH(A365,'Site-uri'!$A$2:$A$20,0))</f>
        <v>/</v>
      </c>
      <c r="H365" s="10" t="str">
        <f aca="false">Config!$B$3</f>
        <v>2610_ff_lansare</v>
      </c>
      <c r="I365" s="10" t="str">
        <f aca="false">D365&amp;"_"&amp;Config!$B$4</f>
        <v>client_general</v>
      </c>
      <c r="J365" s="10" t="str">
        <f aca="false">"https://"&amp;B365&amp;G365&amp;"?utm_source="&amp;E365&amp;"&amp;utm_medium="&amp;F365&amp;"&amp;utm_campaign="&amp;H365&amp;"&amp;utm_content="&amp;I365</f>
        <v>https://3webobs.com/?utm_source=linkedin_newsletter&amp;utm_medium=social&amp;utm_campaign=2610_ff_lansare&amp;utm_content=client_general</v>
      </c>
    </row>
    <row r="366" customFormat="false" ht="15" hidden="false" customHeight="false" outlineLevel="0" collapsed="false">
      <c r="A366" s="10" t="s">
        <v>56</v>
      </c>
      <c r="B366" s="10" t="str">
        <f aca="false">INDEX('Site-uri'!$B$2:$B$20,MATCH(A366,'Site-uri'!$A$2:$A$20,0))</f>
        <v>3webobs.com</v>
      </c>
      <c r="C366" s="10" t="s">
        <v>118</v>
      </c>
      <c r="D366" s="10" t="s">
        <v>219</v>
      </c>
      <c r="E366" s="10" t="str">
        <f aca="false">INDEX(Canale!$C$2:$C$30,MATCH(C366,Canale!$A$2:$A$30,0))</f>
        <v>linkedin_ads</v>
      </c>
      <c r="F366" s="10" t="str">
        <f aca="false">INDEX(Canale!$D$2:$D$30,MATCH(C366,Canale!$A$2:$A$30,0))</f>
        <v>paid_social</v>
      </c>
      <c r="G366" s="10" t="str">
        <f aca="false">INDEX('Site-uri'!$C$2:$C$20,MATCH(A366,'Site-uri'!$A$2:$A$20,0))</f>
        <v>/</v>
      </c>
      <c r="H366" s="10" t="str">
        <f aca="false">Config!$B$3</f>
        <v>2610_ff_lansare</v>
      </c>
      <c r="I366" s="10" t="str">
        <f aca="false">D366&amp;"_"&amp;Config!$B$4</f>
        <v>rece_general</v>
      </c>
      <c r="J366" s="10" t="str">
        <f aca="false">"https://"&amp;B366&amp;G366&amp;"?utm_source="&amp;E366&amp;"&amp;utm_medium="&amp;F366&amp;"&amp;utm_campaign="&amp;H366&amp;"&amp;utm_content="&amp;I366</f>
        <v>https://3webobs.com/?utm_source=linkedin_ads&amp;utm_medium=paid_social&amp;utm_campaign=2610_ff_lansare&amp;utm_content=rece_general</v>
      </c>
    </row>
    <row r="367" customFormat="false" ht="15" hidden="false" customHeight="false" outlineLevel="0" collapsed="false">
      <c r="A367" s="10" t="s">
        <v>56</v>
      </c>
      <c r="B367" s="10" t="str">
        <f aca="false">INDEX('Site-uri'!$B$2:$B$20,MATCH(A367,'Site-uri'!$A$2:$A$20,0))</f>
        <v>3webobs.com</v>
      </c>
      <c r="C367" s="10" t="s">
        <v>118</v>
      </c>
      <c r="D367" s="10" t="s">
        <v>225</v>
      </c>
      <c r="E367" s="10" t="str">
        <f aca="false">INDEX(Canale!$C$2:$C$30,MATCH(C367,Canale!$A$2:$A$30,0))</f>
        <v>linkedin_ads</v>
      </c>
      <c r="F367" s="10" t="str">
        <f aca="false">INDEX(Canale!$D$2:$D$30,MATCH(C367,Canale!$A$2:$A$30,0))</f>
        <v>paid_social</v>
      </c>
      <c r="G367" s="10" t="str">
        <f aca="false">INDEX('Site-uri'!$C$2:$C$20,MATCH(A367,'Site-uri'!$A$2:$A$20,0))</f>
        <v>/</v>
      </c>
      <c r="H367" s="10" t="str">
        <f aca="false">Config!$B$3</f>
        <v>2610_ff_lansare</v>
      </c>
      <c r="I367" s="10" t="str">
        <f aca="false">D367&amp;"_"&amp;Config!$B$4</f>
        <v>cald_general</v>
      </c>
      <c r="J367" s="10" t="str">
        <f aca="false">"https://"&amp;B367&amp;G367&amp;"?utm_source="&amp;E367&amp;"&amp;utm_medium="&amp;F367&amp;"&amp;utm_campaign="&amp;H367&amp;"&amp;utm_content="&amp;I367</f>
        <v>https://3webobs.com/?utm_source=linkedin_ads&amp;utm_medium=paid_social&amp;utm_campaign=2610_ff_lansare&amp;utm_content=cald_general</v>
      </c>
    </row>
    <row r="368" customFormat="false" ht="15" hidden="false" customHeight="false" outlineLevel="0" collapsed="false">
      <c r="A368" s="10" t="s">
        <v>56</v>
      </c>
      <c r="B368" s="10" t="str">
        <f aca="false">INDEX('Site-uri'!$B$2:$B$20,MATCH(A368,'Site-uri'!$A$2:$A$20,0))</f>
        <v>3webobs.com</v>
      </c>
      <c r="C368" s="10" t="s">
        <v>118</v>
      </c>
      <c r="D368" s="10" t="s">
        <v>231</v>
      </c>
      <c r="E368" s="10" t="str">
        <f aca="false">INDEX(Canale!$C$2:$C$30,MATCH(C368,Canale!$A$2:$A$30,0))</f>
        <v>linkedin_ads</v>
      </c>
      <c r="F368" s="10" t="str">
        <f aca="false">INDEX(Canale!$D$2:$D$30,MATCH(C368,Canale!$A$2:$A$30,0))</f>
        <v>paid_social</v>
      </c>
      <c r="G368" s="10" t="str">
        <f aca="false">INDEX('Site-uri'!$C$2:$C$20,MATCH(A368,'Site-uri'!$A$2:$A$20,0))</f>
        <v>/</v>
      </c>
      <c r="H368" s="10" t="str">
        <f aca="false">Config!$B$3</f>
        <v>2610_ff_lansare</v>
      </c>
      <c r="I368" s="10" t="str">
        <f aca="false">D368&amp;"_"&amp;Config!$B$4</f>
        <v>fierbinte_general</v>
      </c>
      <c r="J368" s="10" t="str">
        <f aca="false">"https://"&amp;B368&amp;G368&amp;"?utm_source="&amp;E368&amp;"&amp;utm_medium="&amp;F368&amp;"&amp;utm_campaign="&amp;H368&amp;"&amp;utm_content="&amp;I368</f>
        <v>https://3webobs.com/?utm_source=linkedin_ads&amp;utm_medium=paid_social&amp;utm_campaign=2610_ff_lansare&amp;utm_content=fierbinte_general</v>
      </c>
    </row>
    <row r="369" customFormat="false" ht="15" hidden="false" customHeight="false" outlineLevel="0" collapsed="false">
      <c r="A369" s="10" t="s">
        <v>56</v>
      </c>
      <c r="B369" s="10" t="str">
        <f aca="false">INDEX('Site-uri'!$B$2:$B$20,MATCH(A369,'Site-uri'!$A$2:$A$20,0))</f>
        <v>3webobs.com</v>
      </c>
      <c r="C369" s="10" t="s">
        <v>118</v>
      </c>
      <c r="D369" s="10" t="s">
        <v>237</v>
      </c>
      <c r="E369" s="10" t="str">
        <f aca="false">INDEX(Canale!$C$2:$C$30,MATCH(C369,Canale!$A$2:$A$30,0))</f>
        <v>linkedin_ads</v>
      </c>
      <c r="F369" s="10" t="str">
        <f aca="false">INDEX(Canale!$D$2:$D$30,MATCH(C369,Canale!$A$2:$A$30,0))</f>
        <v>paid_social</v>
      </c>
      <c r="G369" s="10" t="str">
        <f aca="false">INDEX('Site-uri'!$C$2:$C$20,MATCH(A369,'Site-uri'!$A$2:$A$20,0))</f>
        <v>/</v>
      </c>
      <c r="H369" s="10" t="str">
        <f aca="false">Config!$B$3</f>
        <v>2610_ff_lansare</v>
      </c>
      <c r="I369" s="10" t="str">
        <f aca="false">D369&amp;"_"&amp;Config!$B$4</f>
        <v>client_general</v>
      </c>
      <c r="J369" s="10" t="str">
        <f aca="false">"https://"&amp;B369&amp;G369&amp;"?utm_source="&amp;E369&amp;"&amp;utm_medium="&amp;F369&amp;"&amp;utm_campaign="&amp;H369&amp;"&amp;utm_content="&amp;I369</f>
        <v>https://3webobs.com/?utm_source=linkedin_ads&amp;utm_medium=paid_social&amp;utm_campaign=2610_ff_lansare&amp;utm_content=client_general</v>
      </c>
    </row>
    <row r="370" customFormat="false" ht="15" hidden="false" customHeight="false" outlineLevel="0" collapsed="false">
      <c r="A370" s="10" t="s">
        <v>56</v>
      </c>
      <c r="B370" s="10" t="str">
        <f aca="false">INDEX('Site-uri'!$B$2:$B$20,MATCH(A370,'Site-uri'!$A$2:$A$20,0))</f>
        <v>3webobs.com</v>
      </c>
      <c r="C370" s="10" t="s">
        <v>122</v>
      </c>
      <c r="D370" s="10" t="s">
        <v>219</v>
      </c>
      <c r="E370" s="10" t="str">
        <f aca="false">INDEX(Canale!$C$2:$C$30,MATCH(C370,Canale!$A$2:$A$30,0))</f>
        <v>linkedin_dm</v>
      </c>
      <c r="F370" s="10" t="str">
        <f aca="false">INDEX(Canale!$D$2:$D$30,MATCH(C370,Canale!$A$2:$A$30,0))</f>
        <v>dm</v>
      </c>
      <c r="G370" s="10" t="str">
        <f aca="false">INDEX('Site-uri'!$C$2:$C$20,MATCH(A370,'Site-uri'!$A$2:$A$20,0))</f>
        <v>/</v>
      </c>
      <c r="H370" s="10" t="str">
        <f aca="false">Config!$B$3</f>
        <v>2610_ff_lansare</v>
      </c>
      <c r="I370" s="10" t="str">
        <f aca="false">D370&amp;"_"&amp;Config!$B$4</f>
        <v>rece_general</v>
      </c>
      <c r="J370" s="10" t="str">
        <f aca="false">"https://"&amp;B370&amp;G370&amp;"?utm_source="&amp;E370&amp;"&amp;utm_medium="&amp;F370&amp;"&amp;utm_campaign="&amp;H370&amp;"&amp;utm_content="&amp;I370</f>
        <v>https://3webobs.com/?utm_source=linkedin_dm&amp;utm_medium=dm&amp;utm_campaign=2610_ff_lansare&amp;utm_content=rece_general</v>
      </c>
    </row>
    <row r="371" customFormat="false" ht="15" hidden="false" customHeight="false" outlineLevel="0" collapsed="false">
      <c r="A371" s="10" t="s">
        <v>56</v>
      </c>
      <c r="B371" s="10" t="str">
        <f aca="false">INDEX('Site-uri'!$B$2:$B$20,MATCH(A371,'Site-uri'!$A$2:$A$20,0))</f>
        <v>3webobs.com</v>
      </c>
      <c r="C371" s="10" t="s">
        <v>122</v>
      </c>
      <c r="D371" s="10" t="s">
        <v>225</v>
      </c>
      <c r="E371" s="10" t="str">
        <f aca="false">INDEX(Canale!$C$2:$C$30,MATCH(C371,Canale!$A$2:$A$30,0))</f>
        <v>linkedin_dm</v>
      </c>
      <c r="F371" s="10" t="str">
        <f aca="false">INDEX(Canale!$D$2:$D$30,MATCH(C371,Canale!$A$2:$A$30,0))</f>
        <v>dm</v>
      </c>
      <c r="G371" s="10" t="str">
        <f aca="false">INDEX('Site-uri'!$C$2:$C$20,MATCH(A371,'Site-uri'!$A$2:$A$20,0))</f>
        <v>/</v>
      </c>
      <c r="H371" s="10" t="str">
        <f aca="false">Config!$B$3</f>
        <v>2610_ff_lansare</v>
      </c>
      <c r="I371" s="10" t="str">
        <f aca="false">D371&amp;"_"&amp;Config!$B$4</f>
        <v>cald_general</v>
      </c>
      <c r="J371" s="10" t="str">
        <f aca="false">"https://"&amp;B371&amp;G371&amp;"?utm_source="&amp;E371&amp;"&amp;utm_medium="&amp;F371&amp;"&amp;utm_campaign="&amp;H371&amp;"&amp;utm_content="&amp;I371</f>
        <v>https://3webobs.com/?utm_source=linkedin_dm&amp;utm_medium=dm&amp;utm_campaign=2610_ff_lansare&amp;utm_content=cald_general</v>
      </c>
    </row>
    <row r="372" customFormat="false" ht="15" hidden="false" customHeight="false" outlineLevel="0" collapsed="false">
      <c r="A372" s="10" t="s">
        <v>56</v>
      </c>
      <c r="B372" s="10" t="str">
        <f aca="false">INDEX('Site-uri'!$B$2:$B$20,MATCH(A372,'Site-uri'!$A$2:$A$20,0))</f>
        <v>3webobs.com</v>
      </c>
      <c r="C372" s="10" t="s">
        <v>122</v>
      </c>
      <c r="D372" s="10" t="s">
        <v>231</v>
      </c>
      <c r="E372" s="10" t="str">
        <f aca="false">INDEX(Canale!$C$2:$C$30,MATCH(C372,Canale!$A$2:$A$30,0))</f>
        <v>linkedin_dm</v>
      </c>
      <c r="F372" s="10" t="str">
        <f aca="false">INDEX(Canale!$D$2:$D$30,MATCH(C372,Canale!$A$2:$A$30,0))</f>
        <v>dm</v>
      </c>
      <c r="G372" s="10" t="str">
        <f aca="false">INDEX('Site-uri'!$C$2:$C$20,MATCH(A372,'Site-uri'!$A$2:$A$20,0))</f>
        <v>/</v>
      </c>
      <c r="H372" s="10" t="str">
        <f aca="false">Config!$B$3</f>
        <v>2610_ff_lansare</v>
      </c>
      <c r="I372" s="10" t="str">
        <f aca="false">D372&amp;"_"&amp;Config!$B$4</f>
        <v>fierbinte_general</v>
      </c>
      <c r="J372" s="10" t="str">
        <f aca="false">"https://"&amp;B372&amp;G372&amp;"?utm_source="&amp;E372&amp;"&amp;utm_medium="&amp;F372&amp;"&amp;utm_campaign="&amp;H372&amp;"&amp;utm_content="&amp;I372</f>
        <v>https://3webobs.com/?utm_source=linkedin_dm&amp;utm_medium=dm&amp;utm_campaign=2610_ff_lansare&amp;utm_content=fierbinte_general</v>
      </c>
    </row>
    <row r="373" customFormat="false" ht="15" hidden="false" customHeight="false" outlineLevel="0" collapsed="false">
      <c r="A373" s="10" t="s">
        <v>56</v>
      </c>
      <c r="B373" s="10" t="str">
        <f aca="false">INDEX('Site-uri'!$B$2:$B$20,MATCH(A373,'Site-uri'!$A$2:$A$20,0))</f>
        <v>3webobs.com</v>
      </c>
      <c r="C373" s="10" t="s">
        <v>122</v>
      </c>
      <c r="D373" s="10" t="s">
        <v>237</v>
      </c>
      <c r="E373" s="10" t="str">
        <f aca="false">INDEX(Canale!$C$2:$C$30,MATCH(C373,Canale!$A$2:$A$30,0))</f>
        <v>linkedin_dm</v>
      </c>
      <c r="F373" s="10" t="str">
        <f aca="false">INDEX(Canale!$D$2:$D$30,MATCH(C373,Canale!$A$2:$A$30,0))</f>
        <v>dm</v>
      </c>
      <c r="G373" s="10" t="str">
        <f aca="false">INDEX('Site-uri'!$C$2:$C$20,MATCH(A373,'Site-uri'!$A$2:$A$20,0))</f>
        <v>/</v>
      </c>
      <c r="H373" s="10" t="str">
        <f aca="false">Config!$B$3</f>
        <v>2610_ff_lansare</v>
      </c>
      <c r="I373" s="10" t="str">
        <f aca="false">D373&amp;"_"&amp;Config!$B$4</f>
        <v>client_general</v>
      </c>
      <c r="J373" s="10" t="str">
        <f aca="false">"https://"&amp;B373&amp;G373&amp;"?utm_source="&amp;E373&amp;"&amp;utm_medium="&amp;F373&amp;"&amp;utm_campaign="&amp;H373&amp;"&amp;utm_content="&amp;I373</f>
        <v>https://3webobs.com/?utm_source=linkedin_dm&amp;utm_medium=dm&amp;utm_campaign=2610_ff_lansare&amp;utm_content=client_general</v>
      </c>
    </row>
    <row r="374" customFormat="false" ht="15" hidden="false" customHeight="false" outlineLevel="0" collapsed="false">
      <c r="A374" s="10" t="s">
        <v>56</v>
      </c>
      <c r="B374" s="10" t="str">
        <f aca="false">INDEX('Site-uri'!$B$2:$B$20,MATCH(A374,'Site-uri'!$A$2:$A$20,0))</f>
        <v>3webobs.com</v>
      </c>
      <c r="C374" s="10" t="s">
        <v>126</v>
      </c>
      <c r="D374" s="10" t="s">
        <v>219</v>
      </c>
      <c r="E374" s="10" t="str">
        <f aca="false">INDEX(Canale!$C$2:$C$30,MATCH(C374,Canale!$A$2:$A$30,0))</f>
        <v>email_outreach</v>
      </c>
      <c r="F374" s="10" t="str">
        <f aca="false">INDEX(Canale!$D$2:$D$30,MATCH(C374,Canale!$A$2:$A$30,0))</f>
        <v>email</v>
      </c>
      <c r="G374" s="10" t="str">
        <f aca="false">INDEX('Site-uri'!$C$2:$C$20,MATCH(A374,'Site-uri'!$A$2:$A$20,0))</f>
        <v>/</v>
      </c>
      <c r="H374" s="10" t="str">
        <f aca="false">Config!$B$3</f>
        <v>2610_ff_lansare</v>
      </c>
      <c r="I374" s="10" t="str">
        <f aca="false">D374&amp;"_"&amp;Config!$B$4</f>
        <v>rece_general</v>
      </c>
      <c r="J374" s="10" t="str">
        <f aca="false">"https://"&amp;B374&amp;G374&amp;"?utm_source="&amp;E374&amp;"&amp;utm_medium="&amp;F374&amp;"&amp;utm_campaign="&amp;H374&amp;"&amp;utm_content="&amp;I374</f>
        <v>https://3webobs.com/?utm_source=email_outreach&amp;utm_medium=email&amp;utm_campaign=2610_ff_lansare&amp;utm_content=rece_general</v>
      </c>
    </row>
    <row r="375" customFormat="false" ht="15" hidden="false" customHeight="false" outlineLevel="0" collapsed="false">
      <c r="A375" s="10" t="s">
        <v>56</v>
      </c>
      <c r="B375" s="10" t="str">
        <f aca="false">INDEX('Site-uri'!$B$2:$B$20,MATCH(A375,'Site-uri'!$A$2:$A$20,0))</f>
        <v>3webobs.com</v>
      </c>
      <c r="C375" s="10" t="s">
        <v>126</v>
      </c>
      <c r="D375" s="10" t="s">
        <v>225</v>
      </c>
      <c r="E375" s="10" t="str">
        <f aca="false">INDEX(Canale!$C$2:$C$30,MATCH(C375,Canale!$A$2:$A$30,0))</f>
        <v>email_outreach</v>
      </c>
      <c r="F375" s="10" t="str">
        <f aca="false">INDEX(Canale!$D$2:$D$30,MATCH(C375,Canale!$A$2:$A$30,0))</f>
        <v>email</v>
      </c>
      <c r="G375" s="10" t="str">
        <f aca="false">INDEX('Site-uri'!$C$2:$C$20,MATCH(A375,'Site-uri'!$A$2:$A$20,0))</f>
        <v>/</v>
      </c>
      <c r="H375" s="10" t="str">
        <f aca="false">Config!$B$3</f>
        <v>2610_ff_lansare</v>
      </c>
      <c r="I375" s="10" t="str">
        <f aca="false">D375&amp;"_"&amp;Config!$B$4</f>
        <v>cald_general</v>
      </c>
      <c r="J375" s="10" t="str">
        <f aca="false">"https://"&amp;B375&amp;G375&amp;"?utm_source="&amp;E375&amp;"&amp;utm_medium="&amp;F375&amp;"&amp;utm_campaign="&amp;H375&amp;"&amp;utm_content="&amp;I375</f>
        <v>https://3webobs.com/?utm_source=email_outreach&amp;utm_medium=email&amp;utm_campaign=2610_ff_lansare&amp;utm_content=cald_general</v>
      </c>
    </row>
    <row r="376" customFormat="false" ht="15" hidden="false" customHeight="false" outlineLevel="0" collapsed="false">
      <c r="A376" s="10" t="s">
        <v>56</v>
      </c>
      <c r="B376" s="10" t="str">
        <f aca="false">INDEX('Site-uri'!$B$2:$B$20,MATCH(A376,'Site-uri'!$A$2:$A$20,0))</f>
        <v>3webobs.com</v>
      </c>
      <c r="C376" s="10" t="s">
        <v>126</v>
      </c>
      <c r="D376" s="10" t="s">
        <v>231</v>
      </c>
      <c r="E376" s="10" t="str">
        <f aca="false">INDEX(Canale!$C$2:$C$30,MATCH(C376,Canale!$A$2:$A$30,0))</f>
        <v>email_outreach</v>
      </c>
      <c r="F376" s="10" t="str">
        <f aca="false">INDEX(Canale!$D$2:$D$30,MATCH(C376,Canale!$A$2:$A$30,0))</f>
        <v>email</v>
      </c>
      <c r="G376" s="10" t="str">
        <f aca="false">INDEX('Site-uri'!$C$2:$C$20,MATCH(A376,'Site-uri'!$A$2:$A$20,0))</f>
        <v>/</v>
      </c>
      <c r="H376" s="10" t="str">
        <f aca="false">Config!$B$3</f>
        <v>2610_ff_lansare</v>
      </c>
      <c r="I376" s="10" t="str">
        <f aca="false">D376&amp;"_"&amp;Config!$B$4</f>
        <v>fierbinte_general</v>
      </c>
      <c r="J376" s="10" t="str">
        <f aca="false">"https://"&amp;B376&amp;G376&amp;"?utm_source="&amp;E376&amp;"&amp;utm_medium="&amp;F376&amp;"&amp;utm_campaign="&amp;H376&amp;"&amp;utm_content="&amp;I376</f>
        <v>https://3webobs.com/?utm_source=email_outreach&amp;utm_medium=email&amp;utm_campaign=2610_ff_lansare&amp;utm_content=fierbinte_general</v>
      </c>
    </row>
    <row r="377" customFormat="false" ht="15" hidden="false" customHeight="false" outlineLevel="0" collapsed="false">
      <c r="A377" s="10" t="s">
        <v>56</v>
      </c>
      <c r="B377" s="10" t="str">
        <f aca="false">INDEX('Site-uri'!$B$2:$B$20,MATCH(A377,'Site-uri'!$A$2:$A$20,0))</f>
        <v>3webobs.com</v>
      </c>
      <c r="C377" s="10" t="s">
        <v>126</v>
      </c>
      <c r="D377" s="10" t="s">
        <v>237</v>
      </c>
      <c r="E377" s="10" t="str">
        <f aca="false">INDEX(Canale!$C$2:$C$30,MATCH(C377,Canale!$A$2:$A$30,0))</f>
        <v>email_outreach</v>
      </c>
      <c r="F377" s="10" t="str">
        <f aca="false">INDEX(Canale!$D$2:$D$30,MATCH(C377,Canale!$A$2:$A$30,0))</f>
        <v>email</v>
      </c>
      <c r="G377" s="10" t="str">
        <f aca="false">INDEX('Site-uri'!$C$2:$C$20,MATCH(A377,'Site-uri'!$A$2:$A$20,0))</f>
        <v>/</v>
      </c>
      <c r="H377" s="10" t="str">
        <f aca="false">Config!$B$3</f>
        <v>2610_ff_lansare</v>
      </c>
      <c r="I377" s="10" t="str">
        <f aca="false">D377&amp;"_"&amp;Config!$B$4</f>
        <v>client_general</v>
      </c>
      <c r="J377" s="10" t="str">
        <f aca="false">"https://"&amp;B377&amp;G377&amp;"?utm_source="&amp;E377&amp;"&amp;utm_medium="&amp;F377&amp;"&amp;utm_campaign="&amp;H377&amp;"&amp;utm_content="&amp;I377</f>
        <v>https://3webobs.com/?utm_source=email_outreach&amp;utm_medium=email&amp;utm_campaign=2610_ff_lansare&amp;utm_content=client_general</v>
      </c>
    </row>
    <row r="378" customFormat="false" ht="15" hidden="false" customHeight="false" outlineLevel="0" collapsed="false">
      <c r="A378" s="10" t="s">
        <v>56</v>
      </c>
      <c r="B378" s="10" t="str">
        <f aca="false">INDEX('Site-uri'!$B$2:$B$20,MATCH(A378,'Site-uri'!$A$2:$A$20,0))</f>
        <v>3webobs.com</v>
      </c>
      <c r="C378" s="10" t="s">
        <v>131</v>
      </c>
      <c r="D378" s="10" t="s">
        <v>219</v>
      </c>
      <c r="E378" s="10" t="str">
        <f aca="false">INDEX(Canale!$C$2:$C$30,MATCH(C378,Canale!$A$2:$A$30,0))</f>
        <v>newsletter</v>
      </c>
      <c r="F378" s="10" t="str">
        <f aca="false">INDEX(Canale!$D$2:$D$30,MATCH(C378,Canale!$A$2:$A$30,0))</f>
        <v>email</v>
      </c>
      <c r="G378" s="10" t="str">
        <f aca="false">INDEX('Site-uri'!$C$2:$C$20,MATCH(A378,'Site-uri'!$A$2:$A$20,0))</f>
        <v>/</v>
      </c>
      <c r="H378" s="10" t="str">
        <f aca="false">Config!$B$3</f>
        <v>2610_ff_lansare</v>
      </c>
      <c r="I378" s="10" t="str">
        <f aca="false">D378&amp;"_"&amp;Config!$B$4</f>
        <v>rece_general</v>
      </c>
      <c r="J378" s="10" t="str">
        <f aca="false">"https://"&amp;B378&amp;G378&amp;"?utm_source="&amp;E378&amp;"&amp;utm_medium="&amp;F378&amp;"&amp;utm_campaign="&amp;H378&amp;"&amp;utm_content="&amp;I378</f>
        <v>https://3webobs.com/?utm_source=newsletter&amp;utm_medium=email&amp;utm_campaign=2610_ff_lansare&amp;utm_content=rece_general</v>
      </c>
    </row>
    <row r="379" customFormat="false" ht="15" hidden="false" customHeight="false" outlineLevel="0" collapsed="false">
      <c r="A379" s="10" t="s">
        <v>56</v>
      </c>
      <c r="B379" s="10" t="str">
        <f aca="false">INDEX('Site-uri'!$B$2:$B$20,MATCH(A379,'Site-uri'!$A$2:$A$20,0))</f>
        <v>3webobs.com</v>
      </c>
      <c r="C379" s="10" t="s">
        <v>131</v>
      </c>
      <c r="D379" s="10" t="s">
        <v>225</v>
      </c>
      <c r="E379" s="10" t="str">
        <f aca="false">INDEX(Canale!$C$2:$C$30,MATCH(C379,Canale!$A$2:$A$30,0))</f>
        <v>newsletter</v>
      </c>
      <c r="F379" s="10" t="str">
        <f aca="false">INDEX(Canale!$D$2:$D$30,MATCH(C379,Canale!$A$2:$A$30,0))</f>
        <v>email</v>
      </c>
      <c r="G379" s="10" t="str">
        <f aca="false">INDEX('Site-uri'!$C$2:$C$20,MATCH(A379,'Site-uri'!$A$2:$A$20,0))</f>
        <v>/</v>
      </c>
      <c r="H379" s="10" t="str">
        <f aca="false">Config!$B$3</f>
        <v>2610_ff_lansare</v>
      </c>
      <c r="I379" s="10" t="str">
        <f aca="false">D379&amp;"_"&amp;Config!$B$4</f>
        <v>cald_general</v>
      </c>
      <c r="J379" s="10" t="str">
        <f aca="false">"https://"&amp;B379&amp;G379&amp;"?utm_source="&amp;E379&amp;"&amp;utm_medium="&amp;F379&amp;"&amp;utm_campaign="&amp;H379&amp;"&amp;utm_content="&amp;I379</f>
        <v>https://3webobs.com/?utm_source=newsletter&amp;utm_medium=email&amp;utm_campaign=2610_ff_lansare&amp;utm_content=cald_general</v>
      </c>
    </row>
    <row r="380" customFormat="false" ht="15" hidden="false" customHeight="false" outlineLevel="0" collapsed="false">
      <c r="A380" s="10" t="s">
        <v>56</v>
      </c>
      <c r="B380" s="10" t="str">
        <f aca="false">INDEX('Site-uri'!$B$2:$B$20,MATCH(A380,'Site-uri'!$A$2:$A$20,0))</f>
        <v>3webobs.com</v>
      </c>
      <c r="C380" s="10" t="s">
        <v>131</v>
      </c>
      <c r="D380" s="10" t="s">
        <v>231</v>
      </c>
      <c r="E380" s="10" t="str">
        <f aca="false">INDEX(Canale!$C$2:$C$30,MATCH(C380,Canale!$A$2:$A$30,0))</f>
        <v>newsletter</v>
      </c>
      <c r="F380" s="10" t="str">
        <f aca="false">INDEX(Canale!$D$2:$D$30,MATCH(C380,Canale!$A$2:$A$30,0))</f>
        <v>email</v>
      </c>
      <c r="G380" s="10" t="str">
        <f aca="false">INDEX('Site-uri'!$C$2:$C$20,MATCH(A380,'Site-uri'!$A$2:$A$20,0))</f>
        <v>/</v>
      </c>
      <c r="H380" s="10" t="str">
        <f aca="false">Config!$B$3</f>
        <v>2610_ff_lansare</v>
      </c>
      <c r="I380" s="10" t="str">
        <f aca="false">D380&amp;"_"&amp;Config!$B$4</f>
        <v>fierbinte_general</v>
      </c>
      <c r="J380" s="10" t="str">
        <f aca="false">"https://"&amp;B380&amp;G380&amp;"?utm_source="&amp;E380&amp;"&amp;utm_medium="&amp;F380&amp;"&amp;utm_campaign="&amp;H380&amp;"&amp;utm_content="&amp;I380</f>
        <v>https://3webobs.com/?utm_source=newsletter&amp;utm_medium=email&amp;utm_campaign=2610_ff_lansare&amp;utm_content=fierbinte_general</v>
      </c>
    </row>
    <row r="381" customFormat="false" ht="15" hidden="false" customHeight="false" outlineLevel="0" collapsed="false">
      <c r="A381" s="10" t="s">
        <v>56</v>
      </c>
      <c r="B381" s="10" t="str">
        <f aca="false">INDEX('Site-uri'!$B$2:$B$20,MATCH(A381,'Site-uri'!$A$2:$A$20,0))</f>
        <v>3webobs.com</v>
      </c>
      <c r="C381" s="10" t="s">
        <v>131</v>
      </c>
      <c r="D381" s="10" t="s">
        <v>237</v>
      </c>
      <c r="E381" s="10" t="str">
        <f aca="false">INDEX(Canale!$C$2:$C$30,MATCH(C381,Canale!$A$2:$A$30,0))</f>
        <v>newsletter</v>
      </c>
      <c r="F381" s="10" t="str">
        <f aca="false">INDEX(Canale!$D$2:$D$30,MATCH(C381,Canale!$A$2:$A$30,0))</f>
        <v>email</v>
      </c>
      <c r="G381" s="10" t="str">
        <f aca="false">INDEX('Site-uri'!$C$2:$C$20,MATCH(A381,'Site-uri'!$A$2:$A$20,0))</f>
        <v>/</v>
      </c>
      <c r="H381" s="10" t="str">
        <f aca="false">Config!$B$3</f>
        <v>2610_ff_lansare</v>
      </c>
      <c r="I381" s="10" t="str">
        <f aca="false">D381&amp;"_"&amp;Config!$B$4</f>
        <v>client_general</v>
      </c>
      <c r="J381" s="10" t="str">
        <f aca="false">"https://"&amp;B381&amp;G381&amp;"?utm_source="&amp;E381&amp;"&amp;utm_medium="&amp;F381&amp;"&amp;utm_campaign="&amp;H381&amp;"&amp;utm_content="&amp;I381</f>
        <v>https://3webobs.com/?utm_source=newsletter&amp;utm_medium=email&amp;utm_campaign=2610_ff_lansare&amp;utm_content=client_general</v>
      </c>
    </row>
    <row r="382" customFormat="false" ht="15" hidden="false" customHeight="false" outlineLevel="0" collapsed="false">
      <c r="A382" s="10" t="s">
        <v>56</v>
      </c>
      <c r="B382" s="10" t="str">
        <f aca="false">INDEX('Site-uri'!$B$2:$B$20,MATCH(A382,'Site-uri'!$A$2:$A$20,0))</f>
        <v>3webobs.com</v>
      </c>
      <c r="C382" s="10" t="s">
        <v>134</v>
      </c>
      <c r="D382" s="10" t="s">
        <v>219</v>
      </c>
      <c r="E382" s="10" t="str">
        <f aca="false">INDEX(Canale!$C$2:$C$30,MATCH(C382,Canale!$A$2:$A$30,0))</f>
        <v>email_signature</v>
      </c>
      <c r="F382" s="10" t="str">
        <f aca="false">INDEX(Canale!$D$2:$D$30,MATCH(C382,Canale!$A$2:$A$30,0))</f>
        <v>email</v>
      </c>
      <c r="G382" s="10" t="str">
        <f aca="false">INDEX('Site-uri'!$C$2:$C$20,MATCH(A382,'Site-uri'!$A$2:$A$20,0))</f>
        <v>/</v>
      </c>
      <c r="H382" s="10" t="str">
        <f aca="false">Config!$B$3</f>
        <v>2610_ff_lansare</v>
      </c>
      <c r="I382" s="10" t="str">
        <f aca="false">D382&amp;"_"&amp;Config!$B$4</f>
        <v>rece_general</v>
      </c>
      <c r="J382" s="10" t="str">
        <f aca="false">"https://"&amp;B382&amp;G382&amp;"?utm_source="&amp;E382&amp;"&amp;utm_medium="&amp;F382&amp;"&amp;utm_campaign="&amp;H382&amp;"&amp;utm_content="&amp;I382</f>
        <v>https://3webobs.com/?utm_source=email_signature&amp;utm_medium=email&amp;utm_campaign=2610_ff_lansare&amp;utm_content=rece_general</v>
      </c>
    </row>
    <row r="383" customFormat="false" ht="15" hidden="false" customHeight="false" outlineLevel="0" collapsed="false">
      <c r="A383" s="10" t="s">
        <v>56</v>
      </c>
      <c r="B383" s="10" t="str">
        <f aca="false">INDEX('Site-uri'!$B$2:$B$20,MATCH(A383,'Site-uri'!$A$2:$A$20,0))</f>
        <v>3webobs.com</v>
      </c>
      <c r="C383" s="10" t="s">
        <v>134</v>
      </c>
      <c r="D383" s="10" t="s">
        <v>225</v>
      </c>
      <c r="E383" s="10" t="str">
        <f aca="false">INDEX(Canale!$C$2:$C$30,MATCH(C383,Canale!$A$2:$A$30,0))</f>
        <v>email_signature</v>
      </c>
      <c r="F383" s="10" t="str">
        <f aca="false">INDEX(Canale!$D$2:$D$30,MATCH(C383,Canale!$A$2:$A$30,0))</f>
        <v>email</v>
      </c>
      <c r="G383" s="10" t="str">
        <f aca="false">INDEX('Site-uri'!$C$2:$C$20,MATCH(A383,'Site-uri'!$A$2:$A$20,0))</f>
        <v>/</v>
      </c>
      <c r="H383" s="10" t="str">
        <f aca="false">Config!$B$3</f>
        <v>2610_ff_lansare</v>
      </c>
      <c r="I383" s="10" t="str">
        <f aca="false">D383&amp;"_"&amp;Config!$B$4</f>
        <v>cald_general</v>
      </c>
      <c r="J383" s="10" t="str">
        <f aca="false">"https://"&amp;B383&amp;G383&amp;"?utm_source="&amp;E383&amp;"&amp;utm_medium="&amp;F383&amp;"&amp;utm_campaign="&amp;H383&amp;"&amp;utm_content="&amp;I383</f>
        <v>https://3webobs.com/?utm_source=email_signature&amp;utm_medium=email&amp;utm_campaign=2610_ff_lansare&amp;utm_content=cald_general</v>
      </c>
    </row>
    <row r="384" customFormat="false" ht="15" hidden="false" customHeight="false" outlineLevel="0" collapsed="false">
      <c r="A384" s="10" t="s">
        <v>56</v>
      </c>
      <c r="B384" s="10" t="str">
        <f aca="false">INDEX('Site-uri'!$B$2:$B$20,MATCH(A384,'Site-uri'!$A$2:$A$20,0))</f>
        <v>3webobs.com</v>
      </c>
      <c r="C384" s="10" t="s">
        <v>134</v>
      </c>
      <c r="D384" s="10" t="s">
        <v>231</v>
      </c>
      <c r="E384" s="10" t="str">
        <f aca="false">INDEX(Canale!$C$2:$C$30,MATCH(C384,Canale!$A$2:$A$30,0))</f>
        <v>email_signature</v>
      </c>
      <c r="F384" s="10" t="str">
        <f aca="false">INDEX(Canale!$D$2:$D$30,MATCH(C384,Canale!$A$2:$A$30,0))</f>
        <v>email</v>
      </c>
      <c r="G384" s="10" t="str">
        <f aca="false">INDEX('Site-uri'!$C$2:$C$20,MATCH(A384,'Site-uri'!$A$2:$A$20,0))</f>
        <v>/</v>
      </c>
      <c r="H384" s="10" t="str">
        <f aca="false">Config!$B$3</f>
        <v>2610_ff_lansare</v>
      </c>
      <c r="I384" s="10" t="str">
        <f aca="false">D384&amp;"_"&amp;Config!$B$4</f>
        <v>fierbinte_general</v>
      </c>
      <c r="J384" s="10" t="str">
        <f aca="false">"https://"&amp;B384&amp;G384&amp;"?utm_source="&amp;E384&amp;"&amp;utm_medium="&amp;F384&amp;"&amp;utm_campaign="&amp;H384&amp;"&amp;utm_content="&amp;I384</f>
        <v>https://3webobs.com/?utm_source=email_signature&amp;utm_medium=email&amp;utm_campaign=2610_ff_lansare&amp;utm_content=fierbinte_general</v>
      </c>
    </row>
    <row r="385" customFormat="false" ht="15" hidden="false" customHeight="false" outlineLevel="0" collapsed="false">
      <c r="A385" s="10" t="s">
        <v>56</v>
      </c>
      <c r="B385" s="10" t="str">
        <f aca="false">INDEX('Site-uri'!$B$2:$B$20,MATCH(A385,'Site-uri'!$A$2:$A$20,0))</f>
        <v>3webobs.com</v>
      </c>
      <c r="C385" s="10" t="s">
        <v>134</v>
      </c>
      <c r="D385" s="10" t="s">
        <v>237</v>
      </c>
      <c r="E385" s="10" t="str">
        <f aca="false">INDEX(Canale!$C$2:$C$30,MATCH(C385,Canale!$A$2:$A$30,0))</f>
        <v>email_signature</v>
      </c>
      <c r="F385" s="10" t="str">
        <f aca="false">INDEX(Canale!$D$2:$D$30,MATCH(C385,Canale!$A$2:$A$30,0))</f>
        <v>email</v>
      </c>
      <c r="G385" s="10" t="str">
        <f aca="false">INDEX('Site-uri'!$C$2:$C$20,MATCH(A385,'Site-uri'!$A$2:$A$20,0))</f>
        <v>/</v>
      </c>
      <c r="H385" s="10" t="str">
        <f aca="false">Config!$B$3</f>
        <v>2610_ff_lansare</v>
      </c>
      <c r="I385" s="10" t="str">
        <f aca="false">D385&amp;"_"&amp;Config!$B$4</f>
        <v>client_general</v>
      </c>
      <c r="J385" s="10" t="str">
        <f aca="false">"https://"&amp;B385&amp;G385&amp;"?utm_source="&amp;E385&amp;"&amp;utm_medium="&amp;F385&amp;"&amp;utm_campaign="&amp;H385&amp;"&amp;utm_content="&amp;I385</f>
        <v>https://3webobs.com/?utm_source=email_signature&amp;utm_medium=email&amp;utm_campaign=2610_ff_lansare&amp;utm_content=client_general</v>
      </c>
    </row>
    <row r="386" customFormat="false" ht="15" hidden="false" customHeight="false" outlineLevel="0" collapsed="false">
      <c r="A386" s="10" t="s">
        <v>56</v>
      </c>
      <c r="B386" s="10" t="str">
        <f aca="false">INDEX('Site-uri'!$B$2:$B$20,MATCH(A386,'Site-uri'!$A$2:$A$20,0))</f>
        <v>3webobs.com</v>
      </c>
      <c r="C386" s="10" t="s">
        <v>137</v>
      </c>
      <c r="D386" s="10" t="s">
        <v>219</v>
      </c>
      <c r="E386" s="10" t="str">
        <f aca="false">INDEX(Canale!$C$2:$C$30,MATCH(C386,Canale!$A$2:$A$30,0))</f>
        <v>whatsapp</v>
      </c>
      <c r="F386" s="10" t="str">
        <f aca="false">INDEX(Canale!$D$2:$D$30,MATCH(C386,Canale!$A$2:$A$30,0))</f>
        <v>dm</v>
      </c>
      <c r="G386" s="10" t="str">
        <f aca="false">INDEX('Site-uri'!$C$2:$C$20,MATCH(A386,'Site-uri'!$A$2:$A$20,0))</f>
        <v>/</v>
      </c>
      <c r="H386" s="10" t="str">
        <f aca="false">Config!$B$3</f>
        <v>2610_ff_lansare</v>
      </c>
      <c r="I386" s="10" t="str">
        <f aca="false">D386&amp;"_"&amp;Config!$B$4</f>
        <v>rece_general</v>
      </c>
      <c r="J386" s="10" t="str">
        <f aca="false">"https://"&amp;B386&amp;G386&amp;"?utm_source="&amp;E386&amp;"&amp;utm_medium="&amp;F386&amp;"&amp;utm_campaign="&amp;H386&amp;"&amp;utm_content="&amp;I386</f>
        <v>https://3webobs.com/?utm_source=whatsapp&amp;utm_medium=dm&amp;utm_campaign=2610_ff_lansare&amp;utm_content=rece_general</v>
      </c>
    </row>
    <row r="387" customFormat="false" ht="15" hidden="false" customHeight="false" outlineLevel="0" collapsed="false">
      <c r="A387" s="10" t="s">
        <v>56</v>
      </c>
      <c r="B387" s="10" t="str">
        <f aca="false">INDEX('Site-uri'!$B$2:$B$20,MATCH(A387,'Site-uri'!$A$2:$A$20,0))</f>
        <v>3webobs.com</v>
      </c>
      <c r="C387" s="10" t="s">
        <v>137</v>
      </c>
      <c r="D387" s="10" t="s">
        <v>225</v>
      </c>
      <c r="E387" s="10" t="str">
        <f aca="false">INDEX(Canale!$C$2:$C$30,MATCH(C387,Canale!$A$2:$A$30,0))</f>
        <v>whatsapp</v>
      </c>
      <c r="F387" s="10" t="str">
        <f aca="false">INDEX(Canale!$D$2:$D$30,MATCH(C387,Canale!$A$2:$A$30,0))</f>
        <v>dm</v>
      </c>
      <c r="G387" s="10" t="str">
        <f aca="false">INDEX('Site-uri'!$C$2:$C$20,MATCH(A387,'Site-uri'!$A$2:$A$20,0))</f>
        <v>/</v>
      </c>
      <c r="H387" s="10" t="str">
        <f aca="false">Config!$B$3</f>
        <v>2610_ff_lansare</v>
      </c>
      <c r="I387" s="10" t="str">
        <f aca="false">D387&amp;"_"&amp;Config!$B$4</f>
        <v>cald_general</v>
      </c>
      <c r="J387" s="10" t="str">
        <f aca="false">"https://"&amp;B387&amp;G387&amp;"?utm_source="&amp;E387&amp;"&amp;utm_medium="&amp;F387&amp;"&amp;utm_campaign="&amp;H387&amp;"&amp;utm_content="&amp;I387</f>
        <v>https://3webobs.com/?utm_source=whatsapp&amp;utm_medium=dm&amp;utm_campaign=2610_ff_lansare&amp;utm_content=cald_general</v>
      </c>
    </row>
    <row r="388" customFormat="false" ht="15" hidden="false" customHeight="false" outlineLevel="0" collapsed="false">
      <c r="A388" s="10" t="s">
        <v>56</v>
      </c>
      <c r="B388" s="10" t="str">
        <f aca="false">INDEX('Site-uri'!$B$2:$B$20,MATCH(A388,'Site-uri'!$A$2:$A$20,0))</f>
        <v>3webobs.com</v>
      </c>
      <c r="C388" s="10" t="s">
        <v>137</v>
      </c>
      <c r="D388" s="10" t="s">
        <v>231</v>
      </c>
      <c r="E388" s="10" t="str">
        <f aca="false">INDEX(Canale!$C$2:$C$30,MATCH(C388,Canale!$A$2:$A$30,0))</f>
        <v>whatsapp</v>
      </c>
      <c r="F388" s="10" t="str">
        <f aca="false">INDEX(Canale!$D$2:$D$30,MATCH(C388,Canale!$A$2:$A$30,0))</f>
        <v>dm</v>
      </c>
      <c r="G388" s="10" t="str">
        <f aca="false">INDEX('Site-uri'!$C$2:$C$20,MATCH(A388,'Site-uri'!$A$2:$A$20,0))</f>
        <v>/</v>
      </c>
      <c r="H388" s="10" t="str">
        <f aca="false">Config!$B$3</f>
        <v>2610_ff_lansare</v>
      </c>
      <c r="I388" s="10" t="str">
        <f aca="false">D388&amp;"_"&amp;Config!$B$4</f>
        <v>fierbinte_general</v>
      </c>
      <c r="J388" s="10" t="str">
        <f aca="false">"https://"&amp;B388&amp;G388&amp;"?utm_source="&amp;E388&amp;"&amp;utm_medium="&amp;F388&amp;"&amp;utm_campaign="&amp;H388&amp;"&amp;utm_content="&amp;I388</f>
        <v>https://3webobs.com/?utm_source=whatsapp&amp;utm_medium=dm&amp;utm_campaign=2610_ff_lansare&amp;utm_content=fierbinte_general</v>
      </c>
    </row>
    <row r="389" customFormat="false" ht="15" hidden="false" customHeight="false" outlineLevel="0" collapsed="false">
      <c r="A389" s="10" t="s">
        <v>56</v>
      </c>
      <c r="B389" s="10" t="str">
        <f aca="false">INDEX('Site-uri'!$B$2:$B$20,MATCH(A389,'Site-uri'!$A$2:$A$20,0))</f>
        <v>3webobs.com</v>
      </c>
      <c r="C389" s="10" t="s">
        <v>137</v>
      </c>
      <c r="D389" s="10" t="s">
        <v>237</v>
      </c>
      <c r="E389" s="10" t="str">
        <f aca="false">INDEX(Canale!$C$2:$C$30,MATCH(C389,Canale!$A$2:$A$30,0))</f>
        <v>whatsapp</v>
      </c>
      <c r="F389" s="10" t="str">
        <f aca="false">INDEX(Canale!$D$2:$D$30,MATCH(C389,Canale!$A$2:$A$30,0))</f>
        <v>dm</v>
      </c>
      <c r="G389" s="10" t="str">
        <f aca="false">INDEX('Site-uri'!$C$2:$C$20,MATCH(A389,'Site-uri'!$A$2:$A$20,0))</f>
        <v>/</v>
      </c>
      <c r="H389" s="10" t="str">
        <f aca="false">Config!$B$3</f>
        <v>2610_ff_lansare</v>
      </c>
      <c r="I389" s="10" t="str">
        <f aca="false">D389&amp;"_"&amp;Config!$B$4</f>
        <v>client_general</v>
      </c>
      <c r="J389" s="10" t="str">
        <f aca="false">"https://"&amp;B389&amp;G389&amp;"?utm_source="&amp;E389&amp;"&amp;utm_medium="&amp;F389&amp;"&amp;utm_campaign="&amp;H389&amp;"&amp;utm_content="&amp;I389</f>
        <v>https://3webobs.com/?utm_source=whatsapp&amp;utm_medium=dm&amp;utm_campaign=2610_ff_lansare&amp;utm_content=client_general</v>
      </c>
    </row>
    <row r="390" customFormat="false" ht="15" hidden="false" customHeight="false" outlineLevel="0" collapsed="false">
      <c r="A390" s="10" t="s">
        <v>56</v>
      </c>
      <c r="B390" s="10" t="str">
        <f aca="false">INDEX('Site-uri'!$B$2:$B$20,MATCH(A390,'Site-uri'!$A$2:$A$20,0))</f>
        <v>3webobs.com</v>
      </c>
      <c r="C390" s="10" t="s">
        <v>141</v>
      </c>
      <c r="D390" s="10" t="s">
        <v>219</v>
      </c>
      <c r="E390" s="10" t="str">
        <f aca="false">INDEX(Canale!$C$2:$C$30,MATCH(C390,Canale!$A$2:$A$30,0))</f>
        <v>google</v>
      </c>
      <c r="F390" s="10" t="str">
        <f aca="false">INDEX(Canale!$D$2:$D$30,MATCH(C390,Canale!$A$2:$A$30,0))</f>
        <v>cpc</v>
      </c>
      <c r="G390" s="10" t="str">
        <f aca="false">INDEX('Site-uri'!$C$2:$C$20,MATCH(A390,'Site-uri'!$A$2:$A$20,0))</f>
        <v>/</v>
      </c>
      <c r="H390" s="10" t="str">
        <f aca="false">Config!$B$3</f>
        <v>2610_ff_lansare</v>
      </c>
      <c r="I390" s="10" t="str">
        <f aca="false">D390&amp;"_"&amp;Config!$B$4</f>
        <v>rece_general</v>
      </c>
      <c r="J390" s="10" t="str">
        <f aca="false">"https://"&amp;B390&amp;G390&amp;"?utm_source="&amp;E390&amp;"&amp;utm_medium="&amp;F390&amp;"&amp;utm_campaign="&amp;H390&amp;"&amp;utm_content="&amp;I390</f>
        <v>https://3webobs.com/?utm_source=google&amp;utm_medium=cpc&amp;utm_campaign=2610_ff_lansare&amp;utm_content=rece_general</v>
      </c>
    </row>
    <row r="391" customFormat="false" ht="15" hidden="false" customHeight="false" outlineLevel="0" collapsed="false">
      <c r="A391" s="10" t="s">
        <v>56</v>
      </c>
      <c r="B391" s="10" t="str">
        <f aca="false">INDEX('Site-uri'!$B$2:$B$20,MATCH(A391,'Site-uri'!$A$2:$A$20,0))</f>
        <v>3webobs.com</v>
      </c>
      <c r="C391" s="10" t="s">
        <v>141</v>
      </c>
      <c r="D391" s="10" t="s">
        <v>225</v>
      </c>
      <c r="E391" s="10" t="str">
        <f aca="false">INDEX(Canale!$C$2:$C$30,MATCH(C391,Canale!$A$2:$A$30,0))</f>
        <v>google</v>
      </c>
      <c r="F391" s="10" t="str">
        <f aca="false">INDEX(Canale!$D$2:$D$30,MATCH(C391,Canale!$A$2:$A$30,0))</f>
        <v>cpc</v>
      </c>
      <c r="G391" s="10" t="str">
        <f aca="false">INDEX('Site-uri'!$C$2:$C$20,MATCH(A391,'Site-uri'!$A$2:$A$20,0))</f>
        <v>/</v>
      </c>
      <c r="H391" s="10" t="str">
        <f aca="false">Config!$B$3</f>
        <v>2610_ff_lansare</v>
      </c>
      <c r="I391" s="10" t="str">
        <f aca="false">D391&amp;"_"&amp;Config!$B$4</f>
        <v>cald_general</v>
      </c>
      <c r="J391" s="10" t="str">
        <f aca="false">"https://"&amp;B391&amp;G391&amp;"?utm_source="&amp;E391&amp;"&amp;utm_medium="&amp;F391&amp;"&amp;utm_campaign="&amp;H391&amp;"&amp;utm_content="&amp;I391</f>
        <v>https://3webobs.com/?utm_source=google&amp;utm_medium=cpc&amp;utm_campaign=2610_ff_lansare&amp;utm_content=cald_general</v>
      </c>
    </row>
    <row r="392" customFormat="false" ht="15" hidden="false" customHeight="false" outlineLevel="0" collapsed="false">
      <c r="A392" s="10" t="s">
        <v>56</v>
      </c>
      <c r="B392" s="10" t="str">
        <f aca="false">INDEX('Site-uri'!$B$2:$B$20,MATCH(A392,'Site-uri'!$A$2:$A$20,0))</f>
        <v>3webobs.com</v>
      </c>
      <c r="C392" s="10" t="s">
        <v>141</v>
      </c>
      <c r="D392" s="10" t="s">
        <v>231</v>
      </c>
      <c r="E392" s="10" t="str">
        <f aca="false">INDEX(Canale!$C$2:$C$30,MATCH(C392,Canale!$A$2:$A$30,0))</f>
        <v>google</v>
      </c>
      <c r="F392" s="10" t="str">
        <f aca="false">INDEX(Canale!$D$2:$D$30,MATCH(C392,Canale!$A$2:$A$30,0))</f>
        <v>cpc</v>
      </c>
      <c r="G392" s="10" t="str">
        <f aca="false">INDEX('Site-uri'!$C$2:$C$20,MATCH(A392,'Site-uri'!$A$2:$A$20,0))</f>
        <v>/</v>
      </c>
      <c r="H392" s="10" t="str">
        <f aca="false">Config!$B$3</f>
        <v>2610_ff_lansare</v>
      </c>
      <c r="I392" s="10" t="str">
        <f aca="false">D392&amp;"_"&amp;Config!$B$4</f>
        <v>fierbinte_general</v>
      </c>
      <c r="J392" s="10" t="str">
        <f aca="false">"https://"&amp;B392&amp;G392&amp;"?utm_source="&amp;E392&amp;"&amp;utm_medium="&amp;F392&amp;"&amp;utm_campaign="&amp;H392&amp;"&amp;utm_content="&amp;I392</f>
        <v>https://3webobs.com/?utm_source=google&amp;utm_medium=cpc&amp;utm_campaign=2610_ff_lansare&amp;utm_content=fierbinte_general</v>
      </c>
    </row>
    <row r="393" customFormat="false" ht="15" hidden="false" customHeight="false" outlineLevel="0" collapsed="false">
      <c r="A393" s="10" t="s">
        <v>56</v>
      </c>
      <c r="B393" s="10" t="str">
        <f aca="false">INDEX('Site-uri'!$B$2:$B$20,MATCH(A393,'Site-uri'!$A$2:$A$20,0))</f>
        <v>3webobs.com</v>
      </c>
      <c r="C393" s="10" t="s">
        <v>141</v>
      </c>
      <c r="D393" s="10" t="s">
        <v>237</v>
      </c>
      <c r="E393" s="10" t="str">
        <f aca="false">INDEX(Canale!$C$2:$C$30,MATCH(C393,Canale!$A$2:$A$30,0))</f>
        <v>google</v>
      </c>
      <c r="F393" s="10" t="str">
        <f aca="false">INDEX(Canale!$D$2:$D$30,MATCH(C393,Canale!$A$2:$A$30,0))</f>
        <v>cpc</v>
      </c>
      <c r="G393" s="10" t="str">
        <f aca="false">INDEX('Site-uri'!$C$2:$C$20,MATCH(A393,'Site-uri'!$A$2:$A$20,0))</f>
        <v>/</v>
      </c>
      <c r="H393" s="10" t="str">
        <f aca="false">Config!$B$3</f>
        <v>2610_ff_lansare</v>
      </c>
      <c r="I393" s="10" t="str">
        <f aca="false">D393&amp;"_"&amp;Config!$B$4</f>
        <v>client_general</v>
      </c>
      <c r="J393" s="10" t="str">
        <f aca="false">"https://"&amp;B393&amp;G393&amp;"?utm_source="&amp;E393&amp;"&amp;utm_medium="&amp;F393&amp;"&amp;utm_campaign="&amp;H393&amp;"&amp;utm_content="&amp;I393</f>
        <v>https://3webobs.com/?utm_source=google&amp;utm_medium=cpc&amp;utm_campaign=2610_ff_lansare&amp;utm_content=client_general</v>
      </c>
    </row>
    <row r="394" customFormat="false" ht="15" hidden="false" customHeight="false" outlineLevel="0" collapsed="false">
      <c r="A394" s="10" t="s">
        <v>56</v>
      </c>
      <c r="B394" s="10" t="str">
        <f aca="false">INDEX('Site-uri'!$B$2:$B$20,MATCH(A394,'Site-uri'!$A$2:$A$20,0))</f>
        <v>3webobs.com</v>
      </c>
      <c r="C394" s="10" t="s">
        <v>146</v>
      </c>
      <c r="D394" s="10" t="s">
        <v>219</v>
      </c>
      <c r="E394" s="10" t="str">
        <f aca="false">INDEX(Canale!$C$2:$C$30,MATCH(C394,Canale!$A$2:$A$30,0))</f>
        <v>bing</v>
      </c>
      <c r="F394" s="10" t="str">
        <f aca="false">INDEX(Canale!$D$2:$D$30,MATCH(C394,Canale!$A$2:$A$30,0))</f>
        <v>cpc</v>
      </c>
      <c r="G394" s="10" t="str">
        <f aca="false">INDEX('Site-uri'!$C$2:$C$20,MATCH(A394,'Site-uri'!$A$2:$A$20,0))</f>
        <v>/</v>
      </c>
      <c r="H394" s="10" t="str">
        <f aca="false">Config!$B$3</f>
        <v>2610_ff_lansare</v>
      </c>
      <c r="I394" s="10" t="str">
        <f aca="false">D394&amp;"_"&amp;Config!$B$4</f>
        <v>rece_general</v>
      </c>
      <c r="J394" s="10" t="str">
        <f aca="false">"https://"&amp;B394&amp;G394&amp;"?utm_source="&amp;E394&amp;"&amp;utm_medium="&amp;F394&amp;"&amp;utm_campaign="&amp;H394&amp;"&amp;utm_content="&amp;I394</f>
        <v>https://3webobs.com/?utm_source=bing&amp;utm_medium=cpc&amp;utm_campaign=2610_ff_lansare&amp;utm_content=rece_general</v>
      </c>
    </row>
    <row r="395" customFormat="false" ht="15" hidden="false" customHeight="false" outlineLevel="0" collapsed="false">
      <c r="A395" s="10" t="s">
        <v>56</v>
      </c>
      <c r="B395" s="10" t="str">
        <f aca="false">INDEX('Site-uri'!$B$2:$B$20,MATCH(A395,'Site-uri'!$A$2:$A$20,0))</f>
        <v>3webobs.com</v>
      </c>
      <c r="C395" s="10" t="s">
        <v>146</v>
      </c>
      <c r="D395" s="10" t="s">
        <v>225</v>
      </c>
      <c r="E395" s="10" t="str">
        <f aca="false">INDEX(Canale!$C$2:$C$30,MATCH(C395,Canale!$A$2:$A$30,0))</f>
        <v>bing</v>
      </c>
      <c r="F395" s="10" t="str">
        <f aca="false">INDEX(Canale!$D$2:$D$30,MATCH(C395,Canale!$A$2:$A$30,0))</f>
        <v>cpc</v>
      </c>
      <c r="G395" s="10" t="str">
        <f aca="false">INDEX('Site-uri'!$C$2:$C$20,MATCH(A395,'Site-uri'!$A$2:$A$20,0))</f>
        <v>/</v>
      </c>
      <c r="H395" s="10" t="str">
        <f aca="false">Config!$B$3</f>
        <v>2610_ff_lansare</v>
      </c>
      <c r="I395" s="10" t="str">
        <f aca="false">D395&amp;"_"&amp;Config!$B$4</f>
        <v>cald_general</v>
      </c>
      <c r="J395" s="10" t="str">
        <f aca="false">"https://"&amp;B395&amp;G395&amp;"?utm_source="&amp;E395&amp;"&amp;utm_medium="&amp;F395&amp;"&amp;utm_campaign="&amp;H395&amp;"&amp;utm_content="&amp;I395</f>
        <v>https://3webobs.com/?utm_source=bing&amp;utm_medium=cpc&amp;utm_campaign=2610_ff_lansare&amp;utm_content=cald_general</v>
      </c>
    </row>
    <row r="396" customFormat="false" ht="15" hidden="false" customHeight="false" outlineLevel="0" collapsed="false">
      <c r="A396" s="10" t="s">
        <v>56</v>
      </c>
      <c r="B396" s="10" t="str">
        <f aca="false">INDEX('Site-uri'!$B$2:$B$20,MATCH(A396,'Site-uri'!$A$2:$A$20,0))</f>
        <v>3webobs.com</v>
      </c>
      <c r="C396" s="10" t="s">
        <v>146</v>
      </c>
      <c r="D396" s="10" t="s">
        <v>231</v>
      </c>
      <c r="E396" s="10" t="str">
        <f aca="false">INDEX(Canale!$C$2:$C$30,MATCH(C396,Canale!$A$2:$A$30,0))</f>
        <v>bing</v>
      </c>
      <c r="F396" s="10" t="str">
        <f aca="false">INDEX(Canale!$D$2:$D$30,MATCH(C396,Canale!$A$2:$A$30,0))</f>
        <v>cpc</v>
      </c>
      <c r="G396" s="10" t="str">
        <f aca="false">INDEX('Site-uri'!$C$2:$C$20,MATCH(A396,'Site-uri'!$A$2:$A$20,0))</f>
        <v>/</v>
      </c>
      <c r="H396" s="10" t="str">
        <f aca="false">Config!$B$3</f>
        <v>2610_ff_lansare</v>
      </c>
      <c r="I396" s="10" t="str">
        <f aca="false">D396&amp;"_"&amp;Config!$B$4</f>
        <v>fierbinte_general</v>
      </c>
      <c r="J396" s="10" t="str">
        <f aca="false">"https://"&amp;B396&amp;G396&amp;"?utm_source="&amp;E396&amp;"&amp;utm_medium="&amp;F396&amp;"&amp;utm_campaign="&amp;H396&amp;"&amp;utm_content="&amp;I396</f>
        <v>https://3webobs.com/?utm_source=bing&amp;utm_medium=cpc&amp;utm_campaign=2610_ff_lansare&amp;utm_content=fierbinte_general</v>
      </c>
    </row>
    <row r="397" customFormat="false" ht="15" hidden="false" customHeight="false" outlineLevel="0" collapsed="false">
      <c r="A397" s="10" t="s">
        <v>56</v>
      </c>
      <c r="B397" s="10" t="str">
        <f aca="false">INDEX('Site-uri'!$B$2:$B$20,MATCH(A397,'Site-uri'!$A$2:$A$20,0))</f>
        <v>3webobs.com</v>
      </c>
      <c r="C397" s="10" t="s">
        <v>146</v>
      </c>
      <c r="D397" s="10" t="s">
        <v>237</v>
      </c>
      <c r="E397" s="10" t="str">
        <f aca="false">INDEX(Canale!$C$2:$C$30,MATCH(C397,Canale!$A$2:$A$30,0))</f>
        <v>bing</v>
      </c>
      <c r="F397" s="10" t="str">
        <f aca="false">INDEX(Canale!$D$2:$D$30,MATCH(C397,Canale!$A$2:$A$30,0))</f>
        <v>cpc</v>
      </c>
      <c r="G397" s="10" t="str">
        <f aca="false">INDEX('Site-uri'!$C$2:$C$20,MATCH(A397,'Site-uri'!$A$2:$A$20,0))</f>
        <v>/</v>
      </c>
      <c r="H397" s="10" t="str">
        <f aca="false">Config!$B$3</f>
        <v>2610_ff_lansare</v>
      </c>
      <c r="I397" s="10" t="str">
        <f aca="false">D397&amp;"_"&amp;Config!$B$4</f>
        <v>client_general</v>
      </c>
      <c r="J397" s="10" t="str">
        <f aca="false">"https://"&amp;B397&amp;G397&amp;"?utm_source="&amp;E397&amp;"&amp;utm_medium="&amp;F397&amp;"&amp;utm_campaign="&amp;H397&amp;"&amp;utm_content="&amp;I397</f>
        <v>https://3webobs.com/?utm_source=bing&amp;utm_medium=cpc&amp;utm_campaign=2610_ff_lansare&amp;utm_content=client_general</v>
      </c>
    </row>
    <row r="398" customFormat="false" ht="15" hidden="false" customHeight="false" outlineLevel="0" collapsed="false">
      <c r="A398" s="10" t="s">
        <v>56</v>
      </c>
      <c r="B398" s="10" t="str">
        <f aca="false">INDEX('Site-uri'!$B$2:$B$20,MATCH(A398,'Site-uri'!$A$2:$A$20,0))</f>
        <v>3webobs.com</v>
      </c>
      <c r="C398" s="10" t="s">
        <v>149</v>
      </c>
      <c r="D398" s="10" t="s">
        <v>219</v>
      </c>
      <c r="E398" s="10" t="str">
        <f aca="false">INDEX(Canale!$C$2:$C$30,MATCH(C398,Canale!$A$2:$A$30,0))</f>
        <v>facebook</v>
      </c>
      <c r="F398" s="10" t="str">
        <f aca="false">INDEX(Canale!$D$2:$D$30,MATCH(C398,Canale!$A$2:$A$30,0))</f>
        <v>social</v>
      </c>
      <c r="G398" s="10" t="str">
        <f aca="false">INDEX('Site-uri'!$C$2:$C$20,MATCH(A398,'Site-uri'!$A$2:$A$20,0))</f>
        <v>/</v>
      </c>
      <c r="H398" s="10" t="str">
        <f aca="false">Config!$B$3</f>
        <v>2610_ff_lansare</v>
      </c>
      <c r="I398" s="10" t="str">
        <f aca="false">D398&amp;"_"&amp;Config!$B$4</f>
        <v>rece_general</v>
      </c>
      <c r="J398" s="10" t="str">
        <f aca="false">"https://"&amp;B398&amp;G398&amp;"?utm_source="&amp;E398&amp;"&amp;utm_medium="&amp;F398&amp;"&amp;utm_campaign="&amp;H398&amp;"&amp;utm_content="&amp;I398</f>
        <v>https://3webobs.com/?utm_source=facebook&amp;utm_medium=social&amp;utm_campaign=2610_ff_lansare&amp;utm_content=rece_general</v>
      </c>
    </row>
    <row r="399" customFormat="false" ht="15" hidden="false" customHeight="false" outlineLevel="0" collapsed="false">
      <c r="A399" s="10" t="s">
        <v>56</v>
      </c>
      <c r="B399" s="10" t="str">
        <f aca="false">INDEX('Site-uri'!$B$2:$B$20,MATCH(A399,'Site-uri'!$A$2:$A$20,0))</f>
        <v>3webobs.com</v>
      </c>
      <c r="C399" s="10" t="s">
        <v>149</v>
      </c>
      <c r="D399" s="10" t="s">
        <v>225</v>
      </c>
      <c r="E399" s="10" t="str">
        <f aca="false">INDEX(Canale!$C$2:$C$30,MATCH(C399,Canale!$A$2:$A$30,0))</f>
        <v>facebook</v>
      </c>
      <c r="F399" s="10" t="str">
        <f aca="false">INDEX(Canale!$D$2:$D$30,MATCH(C399,Canale!$A$2:$A$30,0))</f>
        <v>social</v>
      </c>
      <c r="G399" s="10" t="str">
        <f aca="false">INDEX('Site-uri'!$C$2:$C$20,MATCH(A399,'Site-uri'!$A$2:$A$20,0))</f>
        <v>/</v>
      </c>
      <c r="H399" s="10" t="str">
        <f aca="false">Config!$B$3</f>
        <v>2610_ff_lansare</v>
      </c>
      <c r="I399" s="10" t="str">
        <f aca="false">D399&amp;"_"&amp;Config!$B$4</f>
        <v>cald_general</v>
      </c>
      <c r="J399" s="10" t="str">
        <f aca="false">"https://"&amp;B399&amp;G399&amp;"?utm_source="&amp;E399&amp;"&amp;utm_medium="&amp;F399&amp;"&amp;utm_campaign="&amp;H399&amp;"&amp;utm_content="&amp;I399</f>
        <v>https://3webobs.com/?utm_source=facebook&amp;utm_medium=social&amp;utm_campaign=2610_ff_lansare&amp;utm_content=cald_general</v>
      </c>
    </row>
    <row r="400" customFormat="false" ht="15" hidden="false" customHeight="false" outlineLevel="0" collapsed="false">
      <c r="A400" s="10" t="s">
        <v>56</v>
      </c>
      <c r="B400" s="10" t="str">
        <f aca="false">INDEX('Site-uri'!$B$2:$B$20,MATCH(A400,'Site-uri'!$A$2:$A$20,0))</f>
        <v>3webobs.com</v>
      </c>
      <c r="C400" s="10" t="s">
        <v>149</v>
      </c>
      <c r="D400" s="10" t="s">
        <v>231</v>
      </c>
      <c r="E400" s="10" t="str">
        <f aca="false">INDEX(Canale!$C$2:$C$30,MATCH(C400,Canale!$A$2:$A$30,0))</f>
        <v>facebook</v>
      </c>
      <c r="F400" s="10" t="str">
        <f aca="false">INDEX(Canale!$D$2:$D$30,MATCH(C400,Canale!$A$2:$A$30,0))</f>
        <v>social</v>
      </c>
      <c r="G400" s="10" t="str">
        <f aca="false">INDEX('Site-uri'!$C$2:$C$20,MATCH(A400,'Site-uri'!$A$2:$A$20,0))</f>
        <v>/</v>
      </c>
      <c r="H400" s="10" t="str">
        <f aca="false">Config!$B$3</f>
        <v>2610_ff_lansare</v>
      </c>
      <c r="I400" s="10" t="str">
        <f aca="false">D400&amp;"_"&amp;Config!$B$4</f>
        <v>fierbinte_general</v>
      </c>
      <c r="J400" s="10" t="str">
        <f aca="false">"https://"&amp;B400&amp;G400&amp;"?utm_source="&amp;E400&amp;"&amp;utm_medium="&amp;F400&amp;"&amp;utm_campaign="&amp;H400&amp;"&amp;utm_content="&amp;I400</f>
        <v>https://3webobs.com/?utm_source=facebook&amp;utm_medium=social&amp;utm_campaign=2610_ff_lansare&amp;utm_content=fierbinte_general</v>
      </c>
    </row>
    <row r="401" customFormat="false" ht="15" hidden="false" customHeight="false" outlineLevel="0" collapsed="false">
      <c r="A401" s="10" t="s">
        <v>56</v>
      </c>
      <c r="B401" s="10" t="str">
        <f aca="false">INDEX('Site-uri'!$B$2:$B$20,MATCH(A401,'Site-uri'!$A$2:$A$20,0))</f>
        <v>3webobs.com</v>
      </c>
      <c r="C401" s="10" t="s">
        <v>149</v>
      </c>
      <c r="D401" s="10" t="s">
        <v>237</v>
      </c>
      <c r="E401" s="10" t="str">
        <f aca="false">INDEX(Canale!$C$2:$C$30,MATCH(C401,Canale!$A$2:$A$30,0))</f>
        <v>facebook</v>
      </c>
      <c r="F401" s="10" t="str">
        <f aca="false">INDEX(Canale!$D$2:$D$30,MATCH(C401,Canale!$A$2:$A$30,0))</f>
        <v>social</v>
      </c>
      <c r="G401" s="10" t="str">
        <f aca="false">INDEX('Site-uri'!$C$2:$C$20,MATCH(A401,'Site-uri'!$A$2:$A$20,0))</f>
        <v>/</v>
      </c>
      <c r="H401" s="10" t="str">
        <f aca="false">Config!$B$3</f>
        <v>2610_ff_lansare</v>
      </c>
      <c r="I401" s="10" t="str">
        <f aca="false">D401&amp;"_"&amp;Config!$B$4</f>
        <v>client_general</v>
      </c>
      <c r="J401" s="10" t="str">
        <f aca="false">"https://"&amp;B401&amp;G401&amp;"?utm_source="&amp;E401&amp;"&amp;utm_medium="&amp;F401&amp;"&amp;utm_campaign="&amp;H401&amp;"&amp;utm_content="&amp;I401</f>
        <v>https://3webobs.com/?utm_source=facebook&amp;utm_medium=social&amp;utm_campaign=2610_ff_lansare&amp;utm_content=client_general</v>
      </c>
    </row>
    <row r="402" customFormat="false" ht="15" hidden="false" customHeight="false" outlineLevel="0" collapsed="false">
      <c r="A402" s="10" t="s">
        <v>56</v>
      </c>
      <c r="B402" s="10" t="str">
        <f aca="false">INDEX('Site-uri'!$B$2:$B$20,MATCH(A402,'Site-uri'!$A$2:$A$20,0))</f>
        <v>3webobs.com</v>
      </c>
      <c r="C402" s="10" t="s">
        <v>153</v>
      </c>
      <c r="D402" s="10" t="s">
        <v>219</v>
      </c>
      <c r="E402" s="10" t="str">
        <f aca="false">INDEX(Canale!$C$2:$C$30,MATCH(C402,Canale!$A$2:$A$30,0))</f>
        <v>x</v>
      </c>
      <c r="F402" s="10" t="str">
        <f aca="false">INDEX(Canale!$D$2:$D$30,MATCH(C402,Canale!$A$2:$A$30,0))</f>
        <v>social</v>
      </c>
      <c r="G402" s="10" t="str">
        <f aca="false">INDEX('Site-uri'!$C$2:$C$20,MATCH(A402,'Site-uri'!$A$2:$A$20,0))</f>
        <v>/</v>
      </c>
      <c r="H402" s="10" t="str">
        <f aca="false">Config!$B$3</f>
        <v>2610_ff_lansare</v>
      </c>
      <c r="I402" s="10" t="str">
        <f aca="false">D402&amp;"_"&amp;Config!$B$4</f>
        <v>rece_general</v>
      </c>
      <c r="J402" s="10" t="str">
        <f aca="false">"https://"&amp;B402&amp;G402&amp;"?utm_source="&amp;E402&amp;"&amp;utm_medium="&amp;F402&amp;"&amp;utm_campaign="&amp;H402&amp;"&amp;utm_content="&amp;I402</f>
        <v>https://3webobs.com/?utm_source=x&amp;utm_medium=social&amp;utm_campaign=2610_ff_lansare&amp;utm_content=rece_general</v>
      </c>
    </row>
    <row r="403" customFormat="false" ht="15" hidden="false" customHeight="false" outlineLevel="0" collapsed="false">
      <c r="A403" s="10" t="s">
        <v>56</v>
      </c>
      <c r="B403" s="10" t="str">
        <f aca="false">INDEX('Site-uri'!$B$2:$B$20,MATCH(A403,'Site-uri'!$A$2:$A$20,0))</f>
        <v>3webobs.com</v>
      </c>
      <c r="C403" s="10" t="s">
        <v>153</v>
      </c>
      <c r="D403" s="10" t="s">
        <v>225</v>
      </c>
      <c r="E403" s="10" t="str">
        <f aca="false">INDEX(Canale!$C$2:$C$30,MATCH(C403,Canale!$A$2:$A$30,0))</f>
        <v>x</v>
      </c>
      <c r="F403" s="10" t="str">
        <f aca="false">INDEX(Canale!$D$2:$D$30,MATCH(C403,Canale!$A$2:$A$30,0))</f>
        <v>social</v>
      </c>
      <c r="G403" s="10" t="str">
        <f aca="false">INDEX('Site-uri'!$C$2:$C$20,MATCH(A403,'Site-uri'!$A$2:$A$20,0))</f>
        <v>/</v>
      </c>
      <c r="H403" s="10" t="str">
        <f aca="false">Config!$B$3</f>
        <v>2610_ff_lansare</v>
      </c>
      <c r="I403" s="10" t="str">
        <f aca="false">D403&amp;"_"&amp;Config!$B$4</f>
        <v>cald_general</v>
      </c>
      <c r="J403" s="10" t="str">
        <f aca="false">"https://"&amp;B403&amp;G403&amp;"?utm_source="&amp;E403&amp;"&amp;utm_medium="&amp;F403&amp;"&amp;utm_campaign="&amp;H403&amp;"&amp;utm_content="&amp;I403</f>
        <v>https://3webobs.com/?utm_source=x&amp;utm_medium=social&amp;utm_campaign=2610_ff_lansare&amp;utm_content=cald_general</v>
      </c>
    </row>
    <row r="404" customFormat="false" ht="15" hidden="false" customHeight="false" outlineLevel="0" collapsed="false">
      <c r="A404" s="10" t="s">
        <v>56</v>
      </c>
      <c r="B404" s="10" t="str">
        <f aca="false">INDEX('Site-uri'!$B$2:$B$20,MATCH(A404,'Site-uri'!$A$2:$A$20,0))</f>
        <v>3webobs.com</v>
      </c>
      <c r="C404" s="10" t="s">
        <v>153</v>
      </c>
      <c r="D404" s="10" t="s">
        <v>231</v>
      </c>
      <c r="E404" s="10" t="str">
        <f aca="false">INDEX(Canale!$C$2:$C$30,MATCH(C404,Canale!$A$2:$A$30,0))</f>
        <v>x</v>
      </c>
      <c r="F404" s="10" t="str">
        <f aca="false">INDEX(Canale!$D$2:$D$30,MATCH(C404,Canale!$A$2:$A$30,0))</f>
        <v>social</v>
      </c>
      <c r="G404" s="10" t="str">
        <f aca="false">INDEX('Site-uri'!$C$2:$C$20,MATCH(A404,'Site-uri'!$A$2:$A$20,0))</f>
        <v>/</v>
      </c>
      <c r="H404" s="10" t="str">
        <f aca="false">Config!$B$3</f>
        <v>2610_ff_lansare</v>
      </c>
      <c r="I404" s="10" t="str">
        <f aca="false">D404&amp;"_"&amp;Config!$B$4</f>
        <v>fierbinte_general</v>
      </c>
      <c r="J404" s="10" t="str">
        <f aca="false">"https://"&amp;B404&amp;G404&amp;"?utm_source="&amp;E404&amp;"&amp;utm_medium="&amp;F404&amp;"&amp;utm_campaign="&amp;H404&amp;"&amp;utm_content="&amp;I404</f>
        <v>https://3webobs.com/?utm_source=x&amp;utm_medium=social&amp;utm_campaign=2610_ff_lansare&amp;utm_content=fierbinte_general</v>
      </c>
    </row>
    <row r="405" customFormat="false" ht="15" hidden="false" customHeight="false" outlineLevel="0" collapsed="false">
      <c r="A405" s="10" t="s">
        <v>56</v>
      </c>
      <c r="B405" s="10" t="str">
        <f aca="false">INDEX('Site-uri'!$B$2:$B$20,MATCH(A405,'Site-uri'!$A$2:$A$20,0))</f>
        <v>3webobs.com</v>
      </c>
      <c r="C405" s="10" t="s">
        <v>153</v>
      </c>
      <c r="D405" s="10" t="s">
        <v>237</v>
      </c>
      <c r="E405" s="10" t="str">
        <f aca="false">INDEX(Canale!$C$2:$C$30,MATCH(C405,Canale!$A$2:$A$30,0))</f>
        <v>x</v>
      </c>
      <c r="F405" s="10" t="str">
        <f aca="false">INDEX(Canale!$D$2:$D$30,MATCH(C405,Canale!$A$2:$A$30,0))</f>
        <v>social</v>
      </c>
      <c r="G405" s="10" t="str">
        <f aca="false">INDEX('Site-uri'!$C$2:$C$20,MATCH(A405,'Site-uri'!$A$2:$A$20,0))</f>
        <v>/</v>
      </c>
      <c r="H405" s="10" t="str">
        <f aca="false">Config!$B$3</f>
        <v>2610_ff_lansare</v>
      </c>
      <c r="I405" s="10" t="str">
        <f aca="false">D405&amp;"_"&amp;Config!$B$4</f>
        <v>client_general</v>
      </c>
      <c r="J405" s="10" t="str">
        <f aca="false">"https://"&amp;B405&amp;G405&amp;"?utm_source="&amp;E405&amp;"&amp;utm_medium="&amp;F405&amp;"&amp;utm_campaign="&amp;H405&amp;"&amp;utm_content="&amp;I405</f>
        <v>https://3webobs.com/?utm_source=x&amp;utm_medium=social&amp;utm_campaign=2610_ff_lansare&amp;utm_content=client_general</v>
      </c>
    </row>
    <row r="406" customFormat="false" ht="15" hidden="false" customHeight="false" outlineLevel="0" collapsed="false">
      <c r="A406" s="10" t="s">
        <v>56</v>
      </c>
      <c r="B406" s="10" t="str">
        <f aca="false">INDEX('Site-uri'!$B$2:$B$20,MATCH(A406,'Site-uri'!$A$2:$A$20,0))</f>
        <v>3webobs.com</v>
      </c>
      <c r="C406" s="10" t="s">
        <v>155</v>
      </c>
      <c r="D406" s="10" t="s">
        <v>219</v>
      </c>
      <c r="E406" s="10" t="str">
        <f aca="false">INDEX(Canale!$C$2:$C$30,MATCH(C406,Canale!$A$2:$A$30,0))</f>
        <v>youtube</v>
      </c>
      <c r="F406" s="10" t="str">
        <f aca="false">INDEX(Canale!$D$2:$D$30,MATCH(C406,Canale!$A$2:$A$30,0))</f>
        <v>video</v>
      </c>
      <c r="G406" s="10" t="str">
        <f aca="false">INDEX('Site-uri'!$C$2:$C$20,MATCH(A406,'Site-uri'!$A$2:$A$20,0))</f>
        <v>/</v>
      </c>
      <c r="H406" s="10" t="str">
        <f aca="false">Config!$B$3</f>
        <v>2610_ff_lansare</v>
      </c>
      <c r="I406" s="10" t="str">
        <f aca="false">D406&amp;"_"&amp;Config!$B$4</f>
        <v>rece_general</v>
      </c>
      <c r="J406" s="10" t="str">
        <f aca="false">"https://"&amp;B406&amp;G406&amp;"?utm_source="&amp;E406&amp;"&amp;utm_medium="&amp;F406&amp;"&amp;utm_campaign="&amp;H406&amp;"&amp;utm_content="&amp;I406</f>
        <v>https://3webobs.com/?utm_source=youtube&amp;utm_medium=video&amp;utm_campaign=2610_ff_lansare&amp;utm_content=rece_general</v>
      </c>
    </row>
    <row r="407" customFormat="false" ht="15" hidden="false" customHeight="false" outlineLevel="0" collapsed="false">
      <c r="A407" s="10" t="s">
        <v>56</v>
      </c>
      <c r="B407" s="10" t="str">
        <f aca="false">INDEX('Site-uri'!$B$2:$B$20,MATCH(A407,'Site-uri'!$A$2:$A$20,0))</f>
        <v>3webobs.com</v>
      </c>
      <c r="C407" s="10" t="s">
        <v>155</v>
      </c>
      <c r="D407" s="10" t="s">
        <v>225</v>
      </c>
      <c r="E407" s="10" t="str">
        <f aca="false">INDEX(Canale!$C$2:$C$30,MATCH(C407,Canale!$A$2:$A$30,0))</f>
        <v>youtube</v>
      </c>
      <c r="F407" s="10" t="str">
        <f aca="false">INDEX(Canale!$D$2:$D$30,MATCH(C407,Canale!$A$2:$A$30,0))</f>
        <v>video</v>
      </c>
      <c r="G407" s="10" t="str">
        <f aca="false">INDEX('Site-uri'!$C$2:$C$20,MATCH(A407,'Site-uri'!$A$2:$A$20,0))</f>
        <v>/</v>
      </c>
      <c r="H407" s="10" t="str">
        <f aca="false">Config!$B$3</f>
        <v>2610_ff_lansare</v>
      </c>
      <c r="I407" s="10" t="str">
        <f aca="false">D407&amp;"_"&amp;Config!$B$4</f>
        <v>cald_general</v>
      </c>
      <c r="J407" s="10" t="str">
        <f aca="false">"https://"&amp;B407&amp;G407&amp;"?utm_source="&amp;E407&amp;"&amp;utm_medium="&amp;F407&amp;"&amp;utm_campaign="&amp;H407&amp;"&amp;utm_content="&amp;I407</f>
        <v>https://3webobs.com/?utm_source=youtube&amp;utm_medium=video&amp;utm_campaign=2610_ff_lansare&amp;utm_content=cald_general</v>
      </c>
    </row>
    <row r="408" customFormat="false" ht="15" hidden="false" customHeight="false" outlineLevel="0" collapsed="false">
      <c r="A408" s="10" t="s">
        <v>56</v>
      </c>
      <c r="B408" s="10" t="str">
        <f aca="false">INDEX('Site-uri'!$B$2:$B$20,MATCH(A408,'Site-uri'!$A$2:$A$20,0))</f>
        <v>3webobs.com</v>
      </c>
      <c r="C408" s="10" t="s">
        <v>155</v>
      </c>
      <c r="D408" s="10" t="s">
        <v>231</v>
      </c>
      <c r="E408" s="10" t="str">
        <f aca="false">INDEX(Canale!$C$2:$C$30,MATCH(C408,Canale!$A$2:$A$30,0))</f>
        <v>youtube</v>
      </c>
      <c r="F408" s="10" t="str">
        <f aca="false">INDEX(Canale!$D$2:$D$30,MATCH(C408,Canale!$A$2:$A$30,0))</f>
        <v>video</v>
      </c>
      <c r="G408" s="10" t="str">
        <f aca="false">INDEX('Site-uri'!$C$2:$C$20,MATCH(A408,'Site-uri'!$A$2:$A$20,0))</f>
        <v>/</v>
      </c>
      <c r="H408" s="10" t="str">
        <f aca="false">Config!$B$3</f>
        <v>2610_ff_lansare</v>
      </c>
      <c r="I408" s="10" t="str">
        <f aca="false">D408&amp;"_"&amp;Config!$B$4</f>
        <v>fierbinte_general</v>
      </c>
      <c r="J408" s="10" t="str">
        <f aca="false">"https://"&amp;B408&amp;G408&amp;"?utm_source="&amp;E408&amp;"&amp;utm_medium="&amp;F408&amp;"&amp;utm_campaign="&amp;H408&amp;"&amp;utm_content="&amp;I408</f>
        <v>https://3webobs.com/?utm_source=youtube&amp;utm_medium=video&amp;utm_campaign=2610_ff_lansare&amp;utm_content=fierbinte_general</v>
      </c>
    </row>
    <row r="409" customFormat="false" ht="15" hidden="false" customHeight="false" outlineLevel="0" collapsed="false">
      <c r="A409" s="10" t="s">
        <v>56</v>
      </c>
      <c r="B409" s="10" t="str">
        <f aca="false">INDEX('Site-uri'!$B$2:$B$20,MATCH(A409,'Site-uri'!$A$2:$A$20,0))</f>
        <v>3webobs.com</v>
      </c>
      <c r="C409" s="10" t="s">
        <v>155</v>
      </c>
      <c r="D409" s="10" t="s">
        <v>237</v>
      </c>
      <c r="E409" s="10" t="str">
        <f aca="false">INDEX(Canale!$C$2:$C$30,MATCH(C409,Canale!$A$2:$A$30,0))</f>
        <v>youtube</v>
      </c>
      <c r="F409" s="10" t="str">
        <f aca="false">INDEX(Canale!$D$2:$D$30,MATCH(C409,Canale!$A$2:$A$30,0))</f>
        <v>video</v>
      </c>
      <c r="G409" s="10" t="str">
        <f aca="false">INDEX('Site-uri'!$C$2:$C$20,MATCH(A409,'Site-uri'!$A$2:$A$20,0))</f>
        <v>/</v>
      </c>
      <c r="H409" s="10" t="str">
        <f aca="false">Config!$B$3</f>
        <v>2610_ff_lansare</v>
      </c>
      <c r="I409" s="10" t="str">
        <f aca="false">D409&amp;"_"&amp;Config!$B$4</f>
        <v>client_general</v>
      </c>
      <c r="J409" s="10" t="str">
        <f aca="false">"https://"&amp;B409&amp;G409&amp;"?utm_source="&amp;E409&amp;"&amp;utm_medium="&amp;F409&amp;"&amp;utm_campaign="&amp;H409&amp;"&amp;utm_content="&amp;I409</f>
        <v>https://3webobs.com/?utm_source=youtube&amp;utm_medium=video&amp;utm_campaign=2610_ff_lansare&amp;utm_content=client_general</v>
      </c>
    </row>
    <row r="410" customFormat="false" ht="15" hidden="false" customHeight="false" outlineLevel="0" collapsed="false">
      <c r="A410" s="10" t="s">
        <v>56</v>
      </c>
      <c r="B410" s="10" t="str">
        <f aca="false">INDEX('Site-uri'!$B$2:$B$20,MATCH(A410,'Site-uri'!$A$2:$A$20,0))</f>
        <v>3webobs.com</v>
      </c>
      <c r="C410" s="10" t="s">
        <v>160</v>
      </c>
      <c r="D410" s="10" t="s">
        <v>219</v>
      </c>
      <c r="E410" s="10" t="str">
        <f aca="false">INDEX(Canale!$C$2:$C$30,MATCH(C410,Canale!$A$2:$A$30,0))</f>
        <v>medium</v>
      </c>
      <c r="F410" s="10" t="str">
        <f aca="false">INDEX(Canale!$D$2:$D$30,MATCH(C410,Canale!$A$2:$A$30,0))</f>
        <v>content</v>
      </c>
      <c r="G410" s="10" t="str">
        <f aca="false">INDEX('Site-uri'!$C$2:$C$20,MATCH(A410,'Site-uri'!$A$2:$A$20,0))</f>
        <v>/</v>
      </c>
      <c r="H410" s="10" t="str">
        <f aca="false">Config!$B$3</f>
        <v>2610_ff_lansare</v>
      </c>
      <c r="I410" s="10" t="str">
        <f aca="false">D410&amp;"_"&amp;Config!$B$4</f>
        <v>rece_general</v>
      </c>
      <c r="J410" s="10" t="str">
        <f aca="false">"https://"&amp;B410&amp;G410&amp;"?utm_source="&amp;E410&amp;"&amp;utm_medium="&amp;F410&amp;"&amp;utm_campaign="&amp;H410&amp;"&amp;utm_content="&amp;I410</f>
        <v>https://3webobs.com/?utm_source=medium&amp;utm_medium=content&amp;utm_campaign=2610_ff_lansare&amp;utm_content=rece_general</v>
      </c>
    </row>
    <row r="411" customFormat="false" ht="15" hidden="false" customHeight="false" outlineLevel="0" collapsed="false">
      <c r="A411" s="10" t="s">
        <v>56</v>
      </c>
      <c r="B411" s="10" t="str">
        <f aca="false">INDEX('Site-uri'!$B$2:$B$20,MATCH(A411,'Site-uri'!$A$2:$A$20,0))</f>
        <v>3webobs.com</v>
      </c>
      <c r="C411" s="10" t="s">
        <v>160</v>
      </c>
      <c r="D411" s="10" t="s">
        <v>225</v>
      </c>
      <c r="E411" s="10" t="str">
        <f aca="false">INDEX(Canale!$C$2:$C$30,MATCH(C411,Canale!$A$2:$A$30,0))</f>
        <v>medium</v>
      </c>
      <c r="F411" s="10" t="str">
        <f aca="false">INDEX(Canale!$D$2:$D$30,MATCH(C411,Canale!$A$2:$A$30,0))</f>
        <v>content</v>
      </c>
      <c r="G411" s="10" t="str">
        <f aca="false">INDEX('Site-uri'!$C$2:$C$20,MATCH(A411,'Site-uri'!$A$2:$A$20,0))</f>
        <v>/</v>
      </c>
      <c r="H411" s="10" t="str">
        <f aca="false">Config!$B$3</f>
        <v>2610_ff_lansare</v>
      </c>
      <c r="I411" s="10" t="str">
        <f aca="false">D411&amp;"_"&amp;Config!$B$4</f>
        <v>cald_general</v>
      </c>
      <c r="J411" s="10" t="str">
        <f aca="false">"https://"&amp;B411&amp;G411&amp;"?utm_source="&amp;E411&amp;"&amp;utm_medium="&amp;F411&amp;"&amp;utm_campaign="&amp;H411&amp;"&amp;utm_content="&amp;I411</f>
        <v>https://3webobs.com/?utm_source=medium&amp;utm_medium=content&amp;utm_campaign=2610_ff_lansare&amp;utm_content=cald_general</v>
      </c>
    </row>
    <row r="412" customFormat="false" ht="15" hidden="false" customHeight="false" outlineLevel="0" collapsed="false">
      <c r="A412" s="10" t="s">
        <v>56</v>
      </c>
      <c r="B412" s="10" t="str">
        <f aca="false">INDEX('Site-uri'!$B$2:$B$20,MATCH(A412,'Site-uri'!$A$2:$A$20,0))</f>
        <v>3webobs.com</v>
      </c>
      <c r="C412" s="10" t="s">
        <v>160</v>
      </c>
      <c r="D412" s="10" t="s">
        <v>231</v>
      </c>
      <c r="E412" s="10" t="str">
        <f aca="false">INDEX(Canale!$C$2:$C$30,MATCH(C412,Canale!$A$2:$A$30,0))</f>
        <v>medium</v>
      </c>
      <c r="F412" s="10" t="str">
        <f aca="false">INDEX(Canale!$D$2:$D$30,MATCH(C412,Canale!$A$2:$A$30,0))</f>
        <v>content</v>
      </c>
      <c r="G412" s="10" t="str">
        <f aca="false">INDEX('Site-uri'!$C$2:$C$20,MATCH(A412,'Site-uri'!$A$2:$A$20,0))</f>
        <v>/</v>
      </c>
      <c r="H412" s="10" t="str">
        <f aca="false">Config!$B$3</f>
        <v>2610_ff_lansare</v>
      </c>
      <c r="I412" s="10" t="str">
        <f aca="false">D412&amp;"_"&amp;Config!$B$4</f>
        <v>fierbinte_general</v>
      </c>
      <c r="J412" s="10" t="str">
        <f aca="false">"https://"&amp;B412&amp;G412&amp;"?utm_source="&amp;E412&amp;"&amp;utm_medium="&amp;F412&amp;"&amp;utm_campaign="&amp;H412&amp;"&amp;utm_content="&amp;I412</f>
        <v>https://3webobs.com/?utm_source=medium&amp;utm_medium=content&amp;utm_campaign=2610_ff_lansare&amp;utm_content=fierbinte_general</v>
      </c>
    </row>
    <row r="413" customFormat="false" ht="15" hidden="false" customHeight="false" outlineLevel="0" collapsed="false">
      <c r="A413" s="10" t="s">
        <v>56</v>
      </c>
      <c r="B413" s="10" t="str">
        <f aca="false">INDEX('Site-uri'!$B$2:$B$20,MATCH(A413,'Site-uri'!$A$2:$A$20,0))</f>
        <v>3webobs.com</v>
      </c>
      <c r="C413" s="10" t="s">
        <v>160</v>
      </c>
      <c r="D413" s="10" t="s">
        <v>237</v>
      </c>
      <c r="E413" s="10" t="str">
        <f aca="false">INDEX(Canale!$C$2:$C$30,MATCH(C413,Canale!$A$2:$A$30,0))</f>
        <v>medium</v>
      </c>
      <c r="F413" s="10" t="str">
        <f aca="false">INDEX(Canale!$D$2:$D$30,MATCH(C413,Canale!$A$2:$A$30,0))</f>
        <v>content</v>
      </c>
      <c r="G413" s="10" t="str">
        <f aca="false">INDEX('Site-uri'!$C$2:$C$20,MATCH(A413,'Site-uri'!$A$2:$A$20,0))</f>
        <v>/</v>
      </c>
      <c r="H413" s="10" t="str">
        <f aca="false">Config!$B$3</f>
        <v>2610_ff_lansare</v>
      </c>
      <c r="I413" s="10" t="str">
        <f aca="false">D413&amp;"_"&amp;Config!$B$4</f>
        <v>client_general</v>
      </c>
      <c r="J413" s="10" t="str">
        <f aca="false">"https://"&amp;B413&amp;G413&amp;"?utm_source="&amp;E413&amp;"&amp;utm_medium="&amp;F413&amp;"&amp;utm_campaign="&amp;H413&amp;"&amp;utm_content="&amp;I413</f>
        <v>https://3webobs.com/?utm_source=medium&amp;utm_medium=content&amp;utm_campaign=2610_ff_lansare&amp;utm_content=client_general</v>
      </c>
    </row>
    <row r="414" customFormat="false" ht="15" hidden="false" customHeight="false" outlineLevel="0" collapsed="false">
      <c r="A414" s="10" t="s">
        <v>56</v>
      </c>
      <c r="B414" s="10" t="str">
        <f aca="false">INDEX('Site-uri'!$B$2:$B$20,MATCH(A414,'Site-uri'!$A$2:$A$20,0))</f>
        <v>3webobs.com</v>
      </c>
      <c r="C414" s="10" t="s">
        <v>165</v>
      </c>
      <c r="D414" s="10" t="s">
        <v>219</v>
      </c>
      <c r="E414" s="10" t="str">
        <f aca="false">INDEX(Canale!$C$2:$C$30,MATCH(C414,Canale!$A$2:$A$30,0))</f>
        <v>crunchbase</v>
      </c>
      <c r="F414" s="10" t="str">
        <f aca="false">INDEX(Canale!$D$2:$D$30,MATCH(C414,Canale!$A$2:$A$30,0))</f>
        <v>referral</v>
      </c>
      <c r="G414" s="10" t="str">
        <f aca="false">INDEX('Site-uri'!$C$2:$C$20,MATCH(A414,'Site-uri'!$A$2:$A$20,0))</f>
        <v>/</v>
      </c>
      <c r="H414" s="10" t="str">
        <f aca="false">Config!$B$3</f>
        <v>2610_ff_lansare</v>
      </c>
      <c r="I414" s="10" t="str">
        <f aca="false">D414&amp;"_"&amp;Config!$B$4</f>
        <v>rece_general</v>
      </c>
      <c r="J414" s="10" t="str">
        <f aca="false">"https://"&amp;B414&amp;G414&amp;"?utm_source="&amp;E414&amp;"&amp;utm_medium="&amp;F414&amp;"&amp;utm_campaign="&amp;H414&amp;"&amp;utm_content="&amp;I414</f>
        <v>https://3webobs.com/?utm_source=crunchbase&amp;utm_medium=referral&amp;utm_campaign=2610_ff_lansare&amp;utm_content=rece_general</v>
      </c>
    </row>
    <row r="415" customFormat="false" ht="15" hidden="false" customHeight="false" outlineLevel="0" collapsed="false">
      <c r="A415" s="10" t="s">
        <v>56</v>
      </c>
      <c r="B415" s="10" t="str">
        <f aca="false">INDEX('Site-uri'!$B$2:$B$20,MATCH(A415,'Site-uri'!$A$2:$A$20,0))</f>
        <v>3webobs.com</v>
      </c>
      <c r="C415" s="10" t="s">
        <v>165</v>
      </c>
      <c r="D415" s="10" t="s">
        <v>225</v>
      </c>
      <c r="E415" s="10" t="str">
        <f aca="false">INDEX(Canale!$C$2:$C$30,MATCH(C415,Canale!$A$2:$A$30,0))</f>
        <v>crunchbase</v>
      </c>
      <c r="F415" s="10" t="str">
        <f aca="false">INDEX(Canale!$D$2:$D$30,MATCH(C415,Canale!$A$2:$A$30,0))</f>
        <v>referral</v>
      </c>
      <c r="G415" s="10" t="str">
        <f aca="false">INDEX('Site-uri'!$C$2:$C$20,MATCH(A415,'Site-uri'!$A$2:$A$20,0))</f>
        <v>/</v>
      </c>
      <c r="H415" s="10" t="str">
        <f aca="false">Config!$B$3</f>
        <v>2610_ff_lansare</v>
      </c>
      <c r="I415" s="10" t="str">
        <f aca="false">D415&amp;"_"&amp;Config!$B$4</f>
        <v>cald_general</v>
      </c>
      <c r="J415" s="10" t="str">
        <f aca="false">"https://"&amp;B415&amp;G415&amp;"?utm_source="&amp;E415&amp;"&amp;utm_medium="&amp;F415&amp;"&amp;utm_campaign="&amp;H415&amp;"&amp;utm_content="&amp;I415</f>
        <v>https://3webobs.com/?utm_source=crunchbase&amp;utm_medium=referral&amp;utm_campaign=2610_ff_lansare&amp;utm_content=cald_general</v>
      </c>
    </row>
    <row r="416" customFormat="false" ht="15" hidden="false" customHeight="false" outlineLevel="0" collapsed="false">
      <c r="A416" s="10" t="s">
        <v>56</v>
      </c>
      <c r="B416" s="10" t="str">
        <f aca="false">INDEX('Site-uri'!$B$2:$B$20,MATCH(A416,'Site-uri'!$A$2:$A$20,0))</f>
        <v>3webobs.com</v>
      </c>
      <c r="C416" s="10" t="s">
        <v>165</v>
      </c>
      <c r="D416" s="10" t="s">
        <v>231</v>
      </c>
      <c r="E416" s="10" t="str">
        <f aca="false">INDEX(Canale!$C$2:$C$30,MATCH(C416,Canale!$A$2:$A$30,0))</f>
        <v>crunchbase</v>
      </c>
      <c r="F416" s="10" t="str">
        <f aca="false">INDEX(Canale!$D$2:$D$30,MATCH(C416,Canale!$A$2:$A$30,0))</f>
        <v>referral</v>
      </c>
      <c r="G416" s="10" t="str">
        <f aca="false">INDEX('Site-uri'!$C$2:$C$20,MATCH(A416,'Site-uri'!$A$2:$A$20,0))</f>
        <v>/</v>
      </c>
      <c r="H416" s="10" t="str">
        <f aca="false">Config!$B$3</f>
        <v>2610_ff_lansare</v>
      </c>
      <c r="I416" s="10" t="str">
        <f aca="false">D416&amp;"_"&amp;Config!$B$4</f>
        <v>fierbinte_general</v>
      </c>
      <c r="J416" s="10" t="str">
        <f aca="false">"https://"&amp;B416&amp;G416&amp;"?utm_source="&amp;E416&amp;"&amp;utm_medium="&amp;F416&amp;"&amp;utm_campaign="&amp;H416&amp;"&amp;utm_content="&amp;I416</f>
        <v>https://3webobs.com/?utm_source=crunchbase&amp;utm_medium=referral&amp;utm_campaign=2610_ff_lansare&amp;utm_content=fierbinte_general</v>
      </c>
    </row>
    <row r="417" customFormat="false" ht="15" hidden="false" customHeight="false" outlineLevel="0" collapsed="false">
      <c r="A417" s="10" t="s">
        <v>56</v>
      </c>
      <c r="B417" s="10" t="str">
        <f aca="false">INDEX('Site-uri'!$B$2:$B$20,MATCH(A417,'Site-uri'!$A$2:$A$20,0))</f>
        <v>3webobs.com</v>
      </c>
      <c r="C417" s="10" t="s">
        <v>165</v>
      </c>
      <c r="D417" s="10" t="s">
        <v>237</v>
      </c>
      <c r="E417" s="10" t="str">
        <f aca="false">INDEX(Canale!$C$2:$C$30,MATCH(C417,Canale!$A$2:$A$30,0))</f>
        <v>crunchbase</v>
      </c>
      <c r="F417" s="10" t="str">
        <f aca="false">INDEX(Canale!$D$2:$D$30,MATCH(C417,Canale!$A$2:$A$30,0))</f>
        <v>referral</v>
      </c>
      <c r="G417" s="10" t="str">
        <f aca="false">INDEX('Site-uri'!$C$2:$C$20,MATCH(A417,'Site-uri'!$A$2:$A$20,0))</f>
        <v>/</v>
      </c>
      <c r="H417" s="10" t="str">
        <f aca="false">Config!$B$3</f>
        <v>2610_ff_lansare</v>
      </c>
      <c r="I417" s="10" t="str">
        <f aca="false">D417&amp;"_"&amp;Config!$B$4</f>
        <v>client_general</v>
      </c>
      <c r="J417" s="10" t="str">
        <f aca="false">"https://"&amp;B417&amp;G417&amp;"?utm_source="&amp;E417&amp;"&amp;utm_medium="&amp;F417&amp;"&amp;utm_campaign="&amp;H417&amp;"&amp;utm_content="&amp;I417</f>
        <v>https://3webobs.com/?utm_source=crunchbase&amp;utm_medium=referral&amp;utm_campaign=2610_ff_lansare&amp;utm_content=client_general</v>
      </c>
    </row>
    <row r="418" customFormat="false" ht="15" hidden="false" customHeight="false" outlineLevel="0" collapsed="false">
      <c r="A418" s="10" t="s">
        <v>56</v>
      </c>
      <c r="B418" s="10" t="str">
        <f aca="false">INDEX('Site-uri'!$B$2:$B$20,MATCH(A418,'Site-uri'!$A$2:$A$20,0))</f>
        <v>3webobs.com</v>
      </c>
      <c r="C418" s="10" t="s">
        <v>170</v>
      </c>
      <c r="D418" s="10" t="s">
        <v>219</v>
      </c>
      <c r="E418" s="10" t="str">
        <f aca="false">INDEX(Canale!$C$2:$C$30,MATCH(C418,Canale!$A$2:$A$30,0))</f>
        <v>zenodo</v>
      </c>
      <c r="F418" s="10" t="str">
        <f aca="false">INDEX(Canale!$D$2:$D$30,MATCH(C418,Canale!$A$2:$A$30,0))</f>
        <v>referral</v>
      </c>
      <c r="G418" s="10" t="str">
        <f aca="false">INDEX('Site-uri'!$C$2:$C$20,MATCH(A418,'Site-uri'!$A$2:$A$20,0))</f>
        <v>/</v>
      </c>
      <c r="H418" s="10" t="str">
        <f aca="false">Config!$B$3</f>
        <v>2610_ff_lansare</v>
      </c>
      <c r="I418" s="10" t="str">
        <f aca="false">D418&amp;"_"&amp;Config!$B$4</f>
        <v>rece_general</v>
      </c>
      <c r="J418" s="10" t="str">
        <f aca="false">"https://"&amp;B418&amp;G418&amp;"?utm_source="&amp;E418&amp;"&amp;utm_medium="&amp;F418&amp;"&amp;utm_campaign="&amp;H418&amp;"&amp;utm_content="&amp;I418</f>
        <v>https://3webobs.com/?utm_source=zenodo&amp;utm_medium=referral&amp;utm_campaign=2610_ff_lansare&amp;utm_content=rece_general</v>
      </c>
    </row>
    <row r="419" customFormat="false" ht="15" hidden="false" customHeight="false" outlineLevel="0" collapsed="false">
      <c r="A419" s="10" t="s">
        <v>56</v>
      </c>
      <c r="B419" s="10" t="str">
        <f aca="false">INDEX('Site-uri'!$B$2:$B$20,MATCH(A419,'Site-uri'!$A$2:$A$20,0))</f>
        <v>3webobs.com</v>
      </c>
      <c r="C419" s="10" t="s">
        <v>170</v>
      </c>
      <c r="D419" s="10" t="s">
        <v>225</v>
      </c>
      <c r="E419" s="10" t="str">
        <f aca="false">INDEX(Canale!$C$2:$C$30,MATCH(C419,Canale!$A$2:$A$30,0))</f>
        <v>zenodo</v>
      </c>
      <c r="F419" s="10" t="str">
        <f aca="false">INDEX(Canale!$D$2:$D$30,MATCH(C419,Canale!$A$2:$A$30,0))</f>
        <v>referral</v>
      </c>
      <c r="G419" s="10" t="str">
        <f aca="false">INDEX('Site-uri'!$C$2:$C$20,MATCH(A419,'Site-uri'!$A$2:$A$20,0))</f>
        <v>/</v>
      </c>
      <c r="H419" s="10" t="str">
        <f aca="false">Config!$B$3</f>
        <v>2610_ff_lansare</v>
      </c>
      <c r="I419" s="10" t="str">
        <f aca="false">D419&amp;"_"&amp;Config!$B$4</f>
        <v>cald_general</v>
      </c>
      <c r="J419" s="10" t="str">
        <f aca="false">"https://"&amp;B419&amp;G419&amp;"?utm_source="&amp;E419&amp;"&amp;utm_medium="&amp;F419&amp;"&amp;utm_campaign="&amp;H419&amp;"&amp;utm_content="&amp;I419</f>
        <v>https://3webobs.com/?utm_source=zenodo&amp;utm_medium=referral&amp;utm_campaign=2610_ff_lansare&amp;utm_content=cald_general</v>
      </c>
    </row>
    <row r="420" customFormat="false" ht="15" hidden="false" customHeight="false" outlineLevel="0" collapsed="false">
      <c r="A420" s="10" t="s">
        <v>56</v>
      </c>
      <c r="B420" s="10" t="str">
        <f aca="false">INDEX('Site-uri'!$B$2:$B$20,MATCH(A420,'Site-uri'!$A$2:$A$20,0))</f>
        <v>3webobs.com</v>
      </c>
      <c r="C420" s="10" t="s">
        <v>170</v>
      </c>
      <c r="D420" s="10" t="s">
        <v>231</v>
      </c>
      <c r="E420" s="10" t="str">
        <f aca="false">INDEX(Canale!$C$2:$C$30,MATCH(C420,Canale!$A$2:$A$30,0))</f>
        <v>zenodo</v>
      </c>
      <c r="F420" s="10" t="str">
        <f aca="false">INDEX(Canale!$D$2:$D$30,MATCH(C420,Canale!$A$2:$A$30,0))</f>
        <v>referral</v>
      </c>
      <c r="G420" s="10" t="str">
        <f aca="false">INDEX('Site-uri'!$C$2:$C$20,MATCH(A420,'Site-uri'!$A$2:$A$20,0))</f>
        <v>/</v>
      </c>
      <c r="H420" s="10" t="str">
        <f aca="false">Config!$B$3</f>
        <v>2610_ff_lansare</v>
      </c>
      <c r="I420" s="10" t="str">
        <f aca="false">D420&amp;"_"&amp;Config!$B$4</f>
        <v>fierbinte_general</v>
      </c>
      <c r="J420" s="10" t="str">
        <f aca="false">"https://"&amp;B420&amp;G420&amp;"?utm_source="&amp;E420&amp;"&amp;utm_medium="&amp;F420&amp;"&amp;utm_campaign="&amp;H420&amp;"&amp;utm_content="&amp;I420</f>
        <v>https://3webobs.com/?utm_source=zenodo&amp;utm_medium=referral&amp;utm_campaign=2610_ff_lansare&amp;utm_content=fierbinte_general</v>
      </c>
    </row>
    <row r="421" customFormat="false" ht="15" hidden="false" customHeight="false" outlineLevel="0" collapsed="false">
      <c r="A421" s="10" t="s">
        <v>56</v>
      </c>
      <c r="B421" s="10" t="str">
        <f aca="false">INDEX('Site-uri'!$B$2:$B$20,MATCH(A421,'Site-uri'!$A$2:$A$20,0))</f>
        <v>3webobs.com</v>
      </c>
      <c r="C421" s="10" t="s">
        <v>170</v>
      </c>
      <c r="D421" s="10" t="s">
        <v>237</v>
      </c>
      <c r="E421" s="10" t="str">
        <f aca="false">INDEX(Canale!$C$2:$C$30,MATCH(C421,Canale!$A$2:$A$30,0))</f>
        <v>zenodo</v>
      </c>
      <c r="F421" s="10" t="str">
        <f aca="false">INDEX(Canale!$D$2:$D$30,MATCH(C421,Canale!$A$2:$A$30,0))</f>
        <v>referral</v>
      </c>
      <c r="G421" s="10" t="str">
        <f aca="false">INDEX('Site-uri'!$C$2:$C$20,MATCH(A421,'Site-uri'!$A$2:$A$20,0))</f>
        <v>/</v>
      </c>
      <c r="H421" s="10" t="str">
        <f aca="false">Config!$B$3</f>
        <v>2610_ff_lansare</v>
      </c>
      <c r="I421" s="10" t="str">
        <f aca="false">D421&amp;"_"&amp;Config!$B$4</f>
        <v>client_general</v>
      </c>
      <c r="J421" s="10" t="str">
        <f aca="false">"https://"&amp;B421&amp;G421&amp;"?utm_source="&amp;E421&amp;"&amp;utm_medium="&amp;F421&amp;"&amp;utm_campaign="&amp;H421&amp;"&amp;utm_content="&amp;I421</f>
        <v>https://3webobs.com/?utm_source=zenodo&amp;utm_medium=referral&amp;utm_campaign=2610_ff_lansare&amp;utm_content=client_general</v>
      </c>
    </row>
    <row r="422" customFormat="false" ht="15" hidden="false" customHeight="false" outlineLevel="0" collapsed="false">
      <c r="A422" s="10" t="s">
        <v>56</v>
      </c>
      <c r="B422" s="10" t="str">
        <f aca="false">INDEX('Site-uri'!$B$2:$B$20,MATCH(A422,'Site-uri'!$A$2:$A$20,0))</f>
        <v>3webobs.com</v>
      </c>
      <c r="C422" s="10" t="s">
        <v>173</v>
      </c>
      <c r="D422" s="10" t="s">
        <v>219</v>
      </c>
      <c r="E422" s="10" t="str">
        <f aca="false">INDEX(Canale!$C$2:$C$30,MATCH(C422,Canale!$A$2:$A$30,0))</f>
        <v>orcid</v>
      </c>
      <c r="F422" s="10" t="str">
        <f aca="false">INDEX(Canale!$D$2:$D$30,MATCH(C422,Canale!$A$2:$A$30,0))</f>
        <v>referral</v>
      </c>
      <c r="G422" s="10" t="str">
        <f aca="false">INDEX('Site-uri'!$C$2:$C$20,MATCH(A422,'Site-uri'!$A$2:$A$20,0))</f>
        <v>/</v>
      </c>
      <c r="H422" s="10" t="str">
        <f aca="false">Config!$B$3</f>
        <v>2610_ff_lansare</v>
      </c>
      <c r="I422" s="10" t="str">
        <f aca="false">D422&amp;"_"&amp;Config!$B$4</f>
        <v>rece_general</v>
      </c>
      <c r="J422" s="10" t="str">
        <f aca="false">"https://"&amp;B422&amp;G422&amp;"?utm_source="&amp;E422&amp;"&amp;utm_medium="&amp;F422&amp;"&amp;utm_campaign="&amp;H422&amp;"&amp;utm_content="&amp;I422</f>
        <v>https://3webobs.com/?utm_source=orcid&amp;utm_medium=referral&amp;utm_campaign=2610_ff_lansare&amp;utm_content=rece_general</v>
      </c>
    </row>
    <row r="423" customFormat="false" ht="15" hidden="false" customHeight="false" outlineLevel="0" collapsed="false">
      <c r="A423" s="10" t="s">
        <v>56</v>
      </c>
      <c r="B423" s="10" t="str">
        <f aca="false">INDEX('Site-uri'!$B$2:$B$20,MATCH(A423,'Site-uri'!$A$2:$A$20,0))</f>
        <v>3webobs.com</v>
      </c>
      <c r="C423" s="10" t="s">
        <v>173</v>
      </c>
      <c r="D423" s="10" t="s">
        <v>225</v>
      </c>
      <c r="E423" s="10" t="str">
        <f aca="false">INDEX(Canale!$C$2:$C$30,MATCH(C423,Canale!$A$2:$A$30,0))</f>
        <v>orcid</v>
      </c>
      <c r="F423" s="10" t="str">
        <f aca="false">INDEX(Canale!$D$2:$D$30,MATCH(C423,Canale!$A$2:$A$30,0))</f>
        <v>referral</v>
      </c>
      <c r="G423" s="10" t="str">
        <f aca="false">INDEX('Site-uri'!$C$2:$C$20,MATCH(A423,'Site-uri'!$A$2:$A$20,0))</f>
        <v>/</v>
      </c>
      <c r="H423" s="10" t="str">
        <f aca="false">Config!$B$3</f>
        <v>2610_ff_lansare</v>
      </c>
      <c r="I423" s="10" t="str">
        <f aca="false">D423&amp;"_"&amp;Config!$B$4</f>
        <v>cald_general</v>
      </c>
      <c r="J423" s="10" t="str">
        <f aca="false">"https://"&amp;B423&amp;G423&amp;"?utm_source="&amp;E423&amp;"&amp;utm_medium="&amp;F423&amp;"&amp;utm_campaign="&amp;H423&amp;"&amp;utm_content="&amp;I423</f>
        <v>https://3webobs.com/?utm_source=orcid&amp;utm_medium=referral&amp;utm_campaign=2610_ff_lansare&amp;utm_content=cald_general</v>
      </c>
    </row>
    <row r="424" customFormat="false" ht="15" hidden="false" customHeight="false" outlineLevel="0" collapsed="false">
      <c r="A424" s="10" t="s">
        <v>56</v>
      </c>
      <c r="B424" s="10" t="str">
        <f aca="false">INDEX('Site-uri'!$B$2:$B$20,MATCH(A424,'Site-uri'!$A$2:$A$20,0))</f>
        <v>3webobs.com</v>
      </c>
      <c r="C424" s="10" t="s">
        <v>173</v>
      </c>
      <c r="D424" s="10" t="s">
        <v>231</v>
      </c>
      <c r="E424" s="10" t="str">
        <f aca="false">INDEX(Canale!$C$2:$C$30,MATCH(C424,Canale!$A$2:$A$30,0))</f>
        <v>orcid</v>
      </c>
      <c r="F424" s="10" t="str">
        <f aca="false">INDEX(Canale!$D$2:$D$30,MATCH(C424,Canale!$A$2:$A$30,0))</f>
        <v>referral</v>
      </c>
      <c r="G424" s="10" t="str">
        <f aca="false">INDEX('Site-uri'!$C$2:$C$20,MATCH(A424,'Site-uri'!$A$2:$A$20,0))</f>
        <v>/</v>
      </c>
      <c r="H424" s="10" t="str">
        <f aca="false">Config!$B$3</f>
        <v>2610_ff_lansare</v>
      </c>
      <c r="I424" s="10" t="str">
        <f aca="false">D424&amp;"_"&amp;Config!$B$4</f>
        <v>fierbinte_general</v>
      </c>
      <c r="J424" s="10" t="str">
        <f aca="false">"https://"&amp;B424&amp;G424&amp;"?utm_source="&amp;E424&amp;"&amp;utm_medium="&amp;F424&amp;"&amp;utm_campaign="&amp;H424&amp;"&amp;utm_content="&amp;I424</f>
        <v>https://3webobs.com/?utm_source=orcid&amp;utm_medium=referral&amp;utm_campaign=2610_ff_lansare&amp;utm_content=fierbinte_general</v>
      </c>
    </row>
    <row r="425" customFormat="false" ht="15" hidden="false" customHeight="false" outlineLevel="0" collapsed="false">
      <c r="A425" s="10" t="s">
        <v>56</v>
      </c>
      <c r="B425" s="10" t="str">
        <f aca="false">INDEX('Site-uri'!$B$2:$B$20,MATCH(A425,'Site-uri'!$A$2:$A$20,0))</f>
        <v>3webobs.com</v>
      </c>
      <c r="C425" s="10" t="s">
        <v>173</v>
      </c>
      <c r="D425" s="10" t="s">
        <v>237</v>
      </c>
      <c r="E425" s="10" t="str">
        <f aca="false">INDEX(Canale!$C$2:$C$30,MATCH(C425,Canale!$A$2:$A$30,0))</f>
        <v>orcid</v>
      </c>
      <c r="F425" s="10" t="str">
        <f aca="false">INDEX(Canale!$D$2:$D$30,MATCH(C425,Canale!$A$2:$A$30,0))</f>
        <v>referral</v>
      </c>
      <c r="G425" s="10" t="str">
        <f aca="false">INDEX('Site-uri'!$C$2:$C$20,MATCH(A425,'Site-uri'!$A$2:$A$20,0))</f>
        <v>/</v>
      </c>
      <c r="H425" s="10" t="str">
        <f aca="false">Config!$B$3</f>
        <v>2610_ff_lansare</v>
      </c>
      <c r="I425" s="10" t="str">
        <f aca="false">D425&amp;"_"&amp;Config!$B$4</f>
        <v>client_general</v>
      </c>
      <c r="J425" s="10" t="str">
        <f aca="false">"https://"&amp;B425&amp;G425&amp;"?utm_source="&amp;E425&amp;"&amp;utm_medium="&amp;F425&amp;"&amp;utm_campaign="&amp;H425&amp;"&amp;utm_content="&amp;I425</f>
        <v>https://3webobs.com/?utm_source=orcid&amp;utm_medium=referral&amp;utm_campaign=2610_ff_lansare&amp;utm_content=client_general</v>
      </c>
    </row>
    <row r="426" customFormat="false" ht="15" hidden="false" customHeight="false" outlineLevel="0" collapsed="false">
      <c r="A426" s="10" t="s">
        <v>56</v>
      </c>
      <c r="B426" s="10" t="str">
        <f aca="false">INDEX('Site-uri'!$B$2:$B$20,MATCH(A426,'Site-uri'!$A$2:$A$20,0))</f>
        <v>3webobs.com</v>
      </c>
      <c r="C426" s="10" t="s">
        <v>176</v>
      </c>
      <c r="D426" s="10" t="s">
        <v>219</v>
      </c>
      <c r="E426" s="10" t="str">
        <f aca="false">INDEX(Canale!$C$2:$C$30,MATCH(C426,Canale!$A$2:$A$30,0))</f>
        <v>github</v>
      </c>
      <c r="F426" s="10" t="str">
        <f aca="false">INDEX(Canale!$D$2:$D$30,MATCH(C426,Canale!$A$2:$A$30,0))</f>
        <v>referral</v>
      </c>
      <c r="G426" s="10" t="str">
        <f aca="false">INDEX('Site-uri'!$C$2:$C$20,MATCH(A426,'Site-uri'!$A$2:$A$20,0))</f>
        <v>/</v>
      </c>
      <c r="H426" s="10" t="str">
        <f aca="false">Config!$B$3</f>
        <v>2610_ff_lansare</v>
      </c>
      <c r="I426" s="10" t="str">
        <f aca="false">D426&amp;"_"&amp;Config!$B$4</f>
        <v>rece_general</v>
      </c>
      <c r="J426" s="10" t="str">
        <f aca="false">"https://"&amp;B426&amp;G426&amp;"?utm_source="&amp;E426&amp;"&amp;utm_medium="&amp;F426&amp;"&amp;utm_campaign="&amp;H426&amp;"&amp;utm_content="&amp;I426</f>
        <v>https://3webobs.com/?utm_source=github&amp;utm_medium=referral&amp;utm_campaign=2610_ff_lansare&amp;utm_content=rece_general</v>
      </c>
    </row>
    <row r="427" customFormat="false" ht="15" hidden="false" customHeight="false" outlineLevel="0" collapsed="false">
      <c r="A427" s="10" t="s">
        <v>56</v>
      </c>
      <c r="B427" s="10" t="str">
        <f aca="false">INDEX('Site-uri'!$B$2:$B$20,MATCH(A427,'Site-uri'!$A$2:$A$20,0))</f>
        <v>3webobs.com</v>
      </c>
      <c r="C427" s="10" t="s">
        <v>176</v>
      </c>
      <c r="D427" s="10" t="s">
        <v>225</v>
      </c>
      <c r="E427" s="10" t="str">
        <f aca="false">INDEX(Canale!$C$2:$C$30,MATCH(C427,Canale!$A$2:$A$30,0))</f>
        <v>github</v>
      </c>
      <c r="F427" s="10" t="str">
        <f aca="false">INDEX(Canale!$D$2:$D$30,MATCH(C427,Canale!$A$2:$A$30,0))</f>
        <v>referral</v>
      </c>
      <c r="G427" s="10" t="str">
        <f aca="false">INDEX('Site-uri'!$C$2:$C$20,MATCH(A427,'Site-uri'!$A$2:$A$20,0))</f>
        <v>/</v>
      </c>
      <c r="H427" s="10" t="str">
        <f aca="false">Config!$B$3</f>
        <v>2610_ff_lansare</v>
      </c>
      <c r="I427" s="10" t="str">
        <f aca="false">D427&amp;"_"&amp;Config!$B$4</f>
        <v>cald_general</v>
      </c>
      <c r="J427" s="10" t="str">
        <f aca="false">"https://"&amp;B427&amp;G427&amp;"?utm_source="&amp;E427&amp;"&amp;utm_medium="&amp;F427&amp;"&amp;utm_campaign="&amp;H427&amp;"&amp;utm_content="&amp;I427</f>
        <v>https://3webobs.com/?utm_source=github&amp;utm_medium=referral&amp;utm_campaign=2610_ff_lansare&amp;utm_content=cald_general</v>
      </c>
    </row>
    <row r="428" customFormat="false" ht="15" hidden="false" customHeight="false" outlineLevel="0" collapsed="false">
      <c r="A428" s="10" t="s">
        <v>56</v>
      </c>
      <c r="B428" s="10" t="str">
        <f aca="false">INDEX('Site-uri'!$B$2:$B$20,MATCH(A428,'Site-uri'!$A$2:$A$20,0))</f>
        <v>3webobs.com</v>
      </c>
      <c r="C428" s="10" t="s">
        <v>176</v>
      </c>
      <c r="D428" s="10" t="s">
        <v>231</v>
      </c>
      <c r="E428" s="10" t="str">
        <f aca="false">INDEX(Canale!$C$2:$C$30,MATCH(C428,Canale!$A$2:$A$30,0))</f>
        <v>github</v>
      </c>
      <c r="F428" s="10" t="str">
        <f aca="false">INDEX(Canale!$D$2:$D$30,MATCH(C428,Canale!$A$2:$A$30,0))</f>
        <v>referral</v>
      </c>
      <c r="G428" s="10" t="str">
        <f aca="false">INDEX('Site-uri'!$C$2:$C$20,MATCH(A428,'Site-uri'!$A$2:$A$20,0))</f>
        <v>/</v>
      </c>
      <c r="H428" s="10" t="str">
        <f aca="false">Config!$B$3</f>
        <v>2610_ff_lansare</v>
      </c>
      <c r="I428" s="10" t="str">
        <f aca="false">D428&amp;"_"&amp;Config!$B$4</f>
        <v>fierbinte_general</v>
      </c>
      <c r="J428" s="10" t="str">
        <f aca="false">"https://"&amp;B428&amp;G428&amp;"?utm_source="&amp;E428&amp;"&amp;utm_medium="&amp;F428&amp;"&amp;utm_campaign="&amp;H428&amp;"&amp;utm_content="&amp;I428</f>
        <v>https://3webobs.com/?utm_source=github&amp;utm_medium=referral&amp;utm_campaign=2610_ff_lansare&amp;utm_content=fierbinte_general</v>
      </c>
    </row>
    <row r="429" customFormat="false" ht="15" hidden="false" customHeight="false" outlineLevel="0" collapsed="false">
      <c r="A429" s="10" t="s">
        <v>56</v>
      </c>
      <c r="B429" s="10" t="str">
        <f aca="false">INDEX('Site-uri'!$B$2:$B$20,MATCH(A429,'Site-uri'!$A$2:$A$20,0))</f>
        <v>3webobs.com</v>
      </c>
      <c r="C429" s="10" t="s">
        <v>176</v>
      </c>
      <c r="D429" s="10" t="s">
        <v>237</v>
      </c>
      <c r="E429" s="10" t="str">
        <f aca="false">INDEX(Canale!$C$2:$C$30,MATCH(C429,Canale!$A$2:$A$30,0))</f>
        <v>github</v>
      </c>
      <c r="F429" s="10" t="str">
        <f aca="false">INDEX(Canale!$D$2:$D$30,MATCH(C429,Canale!$A$2:$A$30,0))</f>
        <v>referral</v>
      </c>
      <c r="G429" s="10" t="str">
        <f aca="false">INDEX('Site-uri'!$C$2:$C$20,MATCH(A429,'Site-uri'!$A$2:$A$20,0))</f>
        <v>/</v>
      </c>
      <c r="H429" s="10" t="str">
        <f aca="false">Config!$B$3</f>
        <v>2610_ff_lansare</v>
      </c>
      <c r="I429" s="10" t="str">
        <f aca="false">D429&amp;"_"&amp;Config!$B$4</f>
        <v>client_general</v>
      </c>
      <c r="J429" s="10" t="str">
        <f aca="false">"https://"&amp;B429&amp;G429&amp;"?utm_source="&amp;E429&amp;"&amp;utm_medium="&amp;F429&amp;"&amp;utm_campaign="&amp;H429&amp;"&amp;utm_content="&amp;I429</f>
        <v>https://3webobs.com/?utm_source=github&amp;utm_medium=referral&amp;utm_campaign=2610_ff_lansare&amp;utm_content=client_general</v>
      </c>
    </row>
    <row r="430" customFormat="false" ht="15" hidden="false" customHeight="false" outlineLevel="0" collapsed="false">
      <c r="A430" s="10" t="s">
        <v>56</v>
      </c>
      <c r="B430" s="10" t="str">
        <f aca="false">INDEX('Site-uri'!$B$2:$B$20,MATCH(A430,'Site-uri'!$A$2:$A$20,0))</f>
        <v>3webobs.com</v>
      </c>
      <c r="C430" s="10" t="s">
        <v>179</v>
      </c>
      <c r="D430" s="10" t="s">
        <v>219</v>
      </c>
      <c r="E430" s="10" t="str">
        <f aca="false">INDEX(Canale!$C$2:$C$30,MATCH(C430,Canale!$A$2:$A$30,0))</f>
        <v>kdp_book</v>
      </c>
      <c r="F430" s="10" t="str">
        <f aca="false">INDEX(Canale!$D$2:$D$30,MATCH(C430,Canale!$A$2:$A$30,0))</f>
        <v>book</v>
      </c>
      <c r="G430" s="10" t="str">
        <f aca="false">INDEX('Site-uri'!$C$2:$C$20,MATCH(A430,'Site-uri'!$A$2:$A$20,0))</f>
        <v>/</v>
      </c>
      <c r="H430" s="10" t="str">
        <f aca="false">Config!$B$3</f>
        <v>2610_ff_lansare</v>
      </c>
      <c r="I430" s="10" t="str">
        <f aca="false">D430&amp;"_"&amp;Config!$B$4</f>
        <v>rece_general</v>
      </c>
      <c r="J430" s="10" t="str">
        <f aca="false">"https://"&amp;B430&amp;G430&amp;"?utm_source="&amp;E430&amp;"&amp;utm_medium="&amp;F430&amp;"&amp;utm_campaign="&amp;H430&amp;"&amp;utm_content="&amp;I430</f>
        <v>https://3webobs.com/?utm_source=kdp_book&amp;utm_medium=book&amp;utm_campaign=2610_ff_lansare&amp;utm_content=rece_general</v>
      </c>
    </row>
    <row r="431" customFormat="false" ht="15" hidden="false" customHeight="false" outlineLevel="0" collapsed="false">
      <c r="A431" s="10" t="s">
        <v>56</v>
      </c>
      <c r="B431" s="10" t="str">
        <f aca="false">INDEX('Site-uri'!$B$2:$B$20,MATCH(A431,'Site-uri'!$A$2:$A$20,0))</f>
        <v>3webobs.com</v>
      </c>
      <c r="C431" s="10" t="s">
        <v>179</v>
      </c>
      <c r="D431" s="10" t="s">
        <v>225</v>
      </c>
      <c r="E431" s="10" t="str">
        <f aca="false">INDEX(Canale!$C$2:$C$30,MATCH(C431,Canale!$A$2:$A$30,0))</f>
        <v>kdp_book</v>
      </c>
      <c r="F431" s="10" t="str">
        <f aca="false">INDEX(Canale!$D$2:$D$30,MATCH(C431,Canale!$A$2:$A$30,0))</f>
        <v>book</v>
      </c>
      <c r="G431" s="10" t="str">
        <f aca="false">INDEX('Site-uri'!$C$2:$C$20,MATCH(A431,'Site-uri'!$A$2:$A$20,0))</f>
        <v>/</v>
      </c>
      <c r="H431" s="10" t="str">
        <f aca="false">Config!$B$3</f>
        <v>2610_ff_lansare</v>
      </c>
      <c r="I431" s="10" t="str">
        <f aca="false">D431&amp;"_"&amp;Config!$B$4</f>
        <v>cald_general</v>
      </c>
      <c r="J431" s="10" t="str">
        <f aca="false">"https://"&amp;B431&amp;G431&amp;"?utm_source="&amp;E431&amp;"&amp;utm_medium="&amp;F431&amp;"&amp;utm_campaign="&amp;H431&amp;"&amp;utm_content="&amp;I431</f>
        <v>https://3webobs.com/?utm_source=kdp_book&amp;utm_medium=book&amp;utm_campaign=2610_ff_lansare&amp;utm_content=cald_general</v>
      </c>
    </row>
    <row r="432" customFormat="false" ht="15" hidden="false" customHeight="false" outlineLevel="0" collapsed="false">
      <c r="A432" s="10" t="s">
        <v>56</v>
      </c>
      <c r="B432" s="10" t="str">
        <f aca="false">INDEX('Site-uri'!$B$2:$B$20,MATCH(A432,'Site-uri'!$A$2:$A$20,0))</f>
        <v>3webobs.com</v>
      </c>
      <c r="C432" s="10" t="s">
        <v>179</v>
      </c>
      <c r="D432" s="10" t="s">
        <v>231</v>
      </c>
      <c r="E432" s="10" t="str">
        <f aca="false">INDEX(Canale!$C$2:$C$30,MATCH(C432,Canale!$A$2:$A$30,0))</f>
        <v>kdp_book</v>
      </c>
      <c r="F432" s="10" t="str">
        <f aca="false">INDEX(Canale!$D$2:$D$30,MATCH(C432,Canale!$A$2:$A$30,0))</f>
        <v>book</v>
      </c>
      <c r="G432" s="10" t="str">
        <f aca="false">INDEX('Site-uri'!$C$2:$C$20,MATCH(A432,'Site-uri'!$A$2:$A$20,0))</f>
        <v>/</v>
      </c>
      <c r="H432" s="10" t="str">
        <f aca="false">Config!$B$3</f>
        <v>2610_ff_lansare</v>
      </c>
      <c r="I432" s="10" t="str">
        <f aca="false">D432&amp;"_"&amp;Config!$B$4</f>
        <v>fierbinte_general</v>
      </c>
      <c r="J432" s="10" t="str">
        <f aca="false">"https://"&amp;B432&amp;G432&amp;"?utm_source="&amp;E432&amp;"&amp;utm_medium="&amp;F432&amp;"&amp;utm_campaign="&amp;H432&amp;"&amp;utm_content="&amp;I432</f>
        <v>https://3webobs.com/?utm_source=kdp_book&amp;utm_medium=book&amp;utm_campaign=2610_ff_lansare&amp;utm_content=fierbinte_general</v>
      </c>
    </row>
    <row r="433" customFormat="false" ht="15" hidden="false" customHeight="false" outlineLevel="0" collapsed="false">
      <c r="A433" s="10" t="s">
        <v>56</v>
      </c>
      <c r="B433" s="10" t="str">
        <f aca="false">INDEX('Site-uri'!$B$2:$B$20,MATCH(A433,'Site-uri'!$A$2:$A$20,0))</f>
        <v>3webobs.com</v>
      </c>
      <c r="C433" s="10" t="s">
        <v>179</v>
      </c>
      <c r="D433" s="10" t="s">
        <v>237</v>
      </c>
      <c r="E433" s="10" t="str">
        <f aca="false">INDEX(Canale!$C$2:$C$30,MATCH(C433,Canale!$A$2:$A$30,0))</f>
        <v>kdp_book</v>
      </c>
      <c r="F433" s="10" t="str">
        <f aca="false">INDEX(Canale!$D$2:$D$30,MATCH(C433,Canale!$A$2:$A$30,0))</f>
        <v>book</v>
      </c>
      <c r="G433" s="10" t="str">
        <f aca="false">INDEX('Site-uri'!$C$2:$C$20,MATCH(A433,'Site-uri'!$A$2:$A$20,0))</f>
        <v>/</v>
      </c>
      <c r="H433" s="10" t="str">
        <f aca="false">Config!$B$3</f>
        <v>2610_ff_lansare</v>
      </c>
      <c r="I433" s="10" t="str">
        <f aca="false">D433&amp;"_"&amp;Config!$B$4</f>
        <v>client_general</v>
      </c>
      <c r="J433" s="10" t="str">
        <f aca="false">"https://"&amp;B433&amp;G433&amp;"?utm_source="&amp;E433&amp;"&amp;utm_medium="&amp;F433&amp;"&amp;utm_campaign="&amp;H433&amp;"&amp;utm_content="&amp;I433</f>
        <v>https://3webobs.com/?utm_source=kdp_book&amp;utm_medium=book&amp;utm_campaign=2610_ff_lansare&amp;utm_content=client_general</v>
      </c>
    </row>
    <row r="434" customFormat="false" ht="15" hidden="false" customHeight="false" outlineLevel="0" collapsed="false">
      <c r="A434" s="10" t="s">
        <v>56</v>
      </c>
      <c r="B434" s="10" t="str">
        <f aca="false">INDEX('Site-uri'!$B$2:$B$20,MATCH(A434,'Site-uri'!$A$2:$A$20,0))</f>
        <v>3webobs.com</v>
      </c>
      <c r="C434" s="10" t="s">
        <v>184</v>
      </c>
      <c r="D434" s="10" t="s">
        <v>219</v>
      </c>
      <c r="E434" s="10" t="str">
        <f aca="false">INDEX(Canale!$C$2:$C$30,MATCH(C434,Canale!$A$2:$A$30,0))</f>
        <v>udemy</v>
      </c>
      <c r="F434" s="10" t="str">
        <f aca="false">INDEX(Canale!$D$2:$D$30,MATCH(C434,Canale!$A$2:$A$30,0))</f>
        <v>course</v>
      </c>
      <c r="G434" s="10" t="str">
        <f aca="false">INDEX('Site-uri'!$C$2:$C$20,MATCH(A434,'Site-uri'!$A$2:$A$20,0))</f>
        <v>/</v>
      </c>
      <c r="H434" s="10" t="str">
        <f aca="false">Config!$B$3</f>
        <v>2610_ff_lansare</v>
      </c>
      <c r="I434" s="10" t="str">
        <f aca="false">D434&amp;"_"&amp;Config!$B$4</f>
        <v>rece_general</v>
      </c>
      <c r="J434" s="10" t="str">
        <f aca="false">"https://"&amp;B434&amp;G434&amp;"?utm_source="&amp;E434&amp;"&amp;utm_medium="&amp;F434&amp;"&amp;utm_campaign="&amp;H434&amp;"&amp;utm_content="&amp;I434</f>
        <v>https://3webobs.com/?utm_source=udemy&amp;utm_medium=course&amp;utm_campaign=2610_ff_lansare&amp;utm_content=rece_general</v>
      </c>
    </row>
    <row r="435" customFormat="false" ht="15" hidden="false" customHeight="false" outlineLevel="0" collapsed="false">
      <c r="A435" s="10" t="s">
        <v>56</v>
      </c>
      <c r="B435" s="10" t="str">
        <f aca="false">INDEX('Site-uri'!$B$2:$B$20,MATCH(A435,'Site-uri'!$A$2:$A$20,0))</f>
        <v>3webobs.com</v>
      </c>
      <c r="C435" s="10" t="s">
        <v>184</v>
      </c>
      <c r="D435" s="10" t="s">
        <v>225</v>
      </c>
      <c r="E435" s="10" t="str">
        <f aca="false">INDEX(Canale!$C$2:$C$30,MATCH(C435,Canale!$A$2:$A$30,0))</f>
        <v>udemy</v>
      </c>
      <c r="F435" s="10" t="str">
        <f aca="false">INDEX(Canale!$D$2:$D$30,MATCH(C435,Canale!$A$2:$A$30,0))</f>
        <v>course</v>
      </c>
      <c r="G435" s="10" t="str">
        <f aca="false">INDEX('Site-uri'!$C$2:$C$20,MATCH(A435,'Site-uri'!$A$2:$A$20,0))</f>
        <v>/</v>
      </c>
      <c r="H435" s="10" t="str">
        <f aca="false">Config!$B$3</f>
        <v>2610_ff_lansare</v>
      </c>
      <c r="I435" s="10" t="str">
        <f aca="false">D435&amp;"_"&amp;Config!$B$4</f>
        <v>cald_general</v>
      </c>
      <c r="J435" s="10" t="str">
        <f aca="false">"https://"&amp;B435&amp;G435&amp;"?utm_source="&amp;E435&amp;"&amp;utm_medium="&amp;F435&amp;"&amp;utm_campaign="&amp;H435&amp;"&amp;utm_content="&amp;I435</f>
        <v>https://3webobs.com/?utm_source=udemy&amp;utm_medium=course&amp;utm_campaign=2610_ff_lansare&amp;utm_content=cald_general</v>
      </c>
    </row>
    <row r="436" customFormat="false" ht="15" hidden="false" customHeight="false" outlineLevel="0" collapsed="false">
      <c r="A436" s="10" t="s">
        <v>56</v>
      </c>
      <c r="B436" s="10" t="str">
        <f aca="false">INDEX('Site-uri'!$B$2:$B$20,MATCH(A436,'Site-uri'!$A$2:$A$20,0))</f>
        <v>3webobs.com</v>
      </c>
      <c r="C436" s="10" t="s">
        <v>184</v>
      </c>
      <c r="D436" s="10" t="s">
        <v>231</v>
      </c>
      <c r="E436" s="10" t="str">
        <f aca="false">INDEX(Canale!$C$2:$C$30,MATCH(C436,Canale!$A$2:$A$30,0))</f>
        <v>udemy</v>
      </c>
      <c r="F436" s="10" t="str">
        <f aca="false">INDEX(Canale!$D$2:$D$30,MATCH(C436,Canale!$A$2:$A$30,0))</f>
        <v>course</v>
      </c>
      <c r="G436" s="10" t="str">
        <f aca="false">INDEX('Site-uri'!$C$2:$C$20,MATCH(A436,'Site-uri'!$A$2:$A$20,0))</f>
        <v>/</v>
      </c>
      <c r="H436" s="10" t="str">
        <f aca="false">Config!$B$3</f>
        <v>2610_ff_lansare</v>
      </c>
      <c r="I436" s="10" t="str">
        <f aca="false">D436&amp;"_"&amp;Config!$B$4</f>
        <v>fierbinte_general</v>
      </c>
      <c r="J436" s="10" t="str">
        <f aca="false">"https://"&amp;B436&amp;G436&amp;"?utm_source="&amp;E436&amp;"&amp;utm_medium="&amp;F436&amp;"&amp;utm_campaign="&amp;H436&amp;"&amp;utm_content="&amp;I436</f>
        <v>https://3webobs.com/?utm_source=udemy&amp;utm_medium=course&amp;utm_campaign=2610_ff_lansare&amp;utm_content=fierbinte_general</v>
      </c>
    </row>
    <row r="437" customFormat="false" ht="15" hidden="false" customHeight="false" outlineLevel="0" collapsed="false">
      <c r="A437" s="10" t="s">
        <v>56</v>
      </c>
      <c r="B437" s="10" t="str">
        <f aca="false">INDEX('Site-uri'!$B$2:$B$20,MATCH(A437,'Site-uri'!$A$2:$A$20,0))</f>
        <v>3webobs.com</v>
      </c>
      <c r="C437" s="10" t="s">
        <v>184</v>
      </c>
      <c r="D437" s="10" t="s">
        <v>237</v>
      </c>
      <c r="E437" s="10" t="str">
        <f aca="false">INDEX(Canale!$C$2:$C$30,MATCH(C437,Canale!$A$2:$A$30,0))</f>
        <v>udemy</v>
      </c>
      <c r="F437" s="10" t="str">
        <f aca="false">INDEX(Canale!$D$2:$D$30,MATCH(C437,Canale!$A$2:$A$30,0))</f>
        <v>course</v>
      </c>
      <c r="G437" s="10" t="str">
        <f aca="false">INDEX('Site-uri'!$C$2:$C$20,MATCH(A437,'Site-uri'!$A$2:$A$20,0))</f>
        <v>/</v>
      </c>
      <c r="H437" s="10" t="str">
        <f aca="false">Config!$B$3</f>
        <v>2610_ff_lansare</v>
      </c>
      <c r="I437" s="10" t="str">
        <f aca="false">D437&amp;"_"&amp;Config!$B$4</f>
        <v>client_general</v>
      </c>
      <c r="J437" s="10" t="str">
        <f aca="false">"https://"&amp;B437&amp;G437&amp;"?utm_source="&amp;E437&amp;"&amp;utm_medium="&amp;F437&amp;"&amp;utm_campaign="&amp;H437&amp;"&amp;utm_content="&amp;I437</f>
        <v>https://3webobs.com/?utm_source=udemy&amp;utm_medium=course&amp;utm_campaign=2610_ff_lansare&amp;utm_content=client_general</v>
      </c>
    </row>
    <row r="438" customFormat="false" ht="15" hidden="false" customHeight="false" outlineLevel="0" collapsed="false">
      <c r="A438" s="10" t="s">
        <v>56</v>
      </c>
      <c r="B438" s="10" t="str">
        <f aca="false">INDEX('Site-uri'!$B$2:$B$20,MATCH(A438,'Site-uri'!$A$2:$A$20,0))</f>
        <v>3webobs.com</v>
      </c>
      <c r="C438" s="10" t="s">
        <v>187</v>
      </c>
      <c r="D438" s="10" t="s">
        <v>219</v>
      </c>
      <c r="E438" s="10" t="str">
        <f aca="false">INDEX(Canale!$C$2:$C$30,MATCH(C438,Canale!$A$2:$A$30,0))</f>
        <v>directory</v>
      </c>
      <c r="F438" s="10" t="str">
        <f aca="false">INDEX(Canale!$D$2:$D$30,MATCH(C438,Canale!$A$2:$A$30,0))</f>
        <v>referral</v>
      </c>
      <c r="G438" s="10" t="str">
        <f aca="false">INDEX('Site-uri'!$C$2:$C$20,MATCH(A438,'Site-uri'!$A$2:$A$20,0))</f>
        <v>/</v>
      </c>
      <c r="H438" s="10" t="str">
        <f aca="false">Config!$B$3</f>
        <v>2610_ff_lansare</v>
      </c>
      <c r="I438" s="10" t="str">
        <f aca="false">D438&amp;"_"&amp;Config!$B$4</f>
        <v>rece_general</v>
      </c>
      <c r="J438" s="10" t="str">
        <f aca="false">"https://"&amp;B438&amp;G438&amp;"?utm_source="&amp;E438&amp;"&amp;utm_medium="&amp;F438&amp;"&amp;utm_campaign="&amp;H438&amp;"&amp;utm_content="&amp;I438</f>
        <v>https://3webobs.com/?utm_source=directory&amp;utm_medium=referral&amp;utm_campaign=2610_ff_lansare&amp;utm_content=rece_general</v>
      </c>
    </row>
    <row r="439" customFormat="false" ht="15" hidden="false" customHeight="false" outlineLevel="0" collapsed="false">
      <c r="A439" s="10" t="s">
        <v>56</v>
      </c>
      <c r="B439" s="10" t="str">
        <f aca="false">INDEX('Site-uri'!$B$2:$B$20,MATCH(A439,'Site-uri'!$A$2:$A$20,0))</f>
        <v>3webobs.com</v>
      </c>
      <c r="C439" s="10" t="s">
        <v>187</v>
      </c>
      <c r="D439" s="10" t="s">
        <v>225</v>
      </c>
      <c r="E439" s="10" t="str">
        <f aca="false">INDEX(Canale!$C$2:$C$30,MATCH(C439,Canale!$A$2:$A$30,0))</f>
        <v>directory</v>
      </c>
      <c r="F439" s="10" t="str">
        <f aca="false">INDEX(Canale!$D$2:$D$30,MATCH(C439,Canale!$A$2:$A$30,0))</f>
        <v>referral</v>
      </c>
      <c r="G439" s="10" t="str">
        <f aca="false">INDEX('Site-uri'!$C$2:$C$20,MATCH(A439,'Site-uri'!$A$2:$A$20,0))</f>
        <v>/</v>
      </c>
      <c r="H439" s="10" t="str">
        <f aca="false">Config!$B$3</f>
        <v>2610_ff_lansare</v>
      </c>
      <c r="I439" s="10" t="str">
        <f aca="false">D439&amp;"_"&amp;Config!$B$4</f>
        <v>cald_general</v>
      </c>
      <c r="J439" s="10" t="str">
        <f aca="false">"https://"&amp;B439&amp;G439&amp;"?utm_source="&amp;E439&amp;"&amp;utm_medium="&amp;F439&amp;"&amp;utm_campaign="&amp;H439&amp;"&amp;utm_content="&amp;I439</f>
        <v>https://3webobs.com/?utm_source=directory&amp;utm_medium=referral&amp;utm_campaign=2610_ff_lansare&amp;utm_content=cald_general</v>
      </c>
    </row>
    <row r="440" customFormat="false" ht="15" hidden="false" customHeight="false" outlineLevel="0" collapsed="false">
      <c r="A440" s="10" t="s">
        <v>56</v>
      </c>
      <c r="B440" s="10" t="str">
        <f aca="false">INDEX('Site-uri'!$B$2:$B$20,MATCH(A440,'Site-uri'!$A$2:$A$20,0))</f>
        <v>3webobs.com</v>
      </c>
      <c r="C440" s="10" t="s">
        <v>187</v>
      </c>
      <c r="D440" s="10" t="s">
        <v>231</v>
      </c>
      <c r="E440" s="10" t="str">
        <f aca="false">INDEX(Canale!$C$2:$C$30,MATCH(C440,Canale!$A$2:$A$30,0))</f>
        <v>directory</v>
      </c>
      <c r="F440" s="10" t="str">
        <f aca="false">INDEX(Canale!$D$2:$D$30,MATCH(C440,Canale!$A$2:$A$30,0))</f>
        <v>referral</v>
      </c>
      <c r="G440" s="10" t="str">
        <f aca="false">INDEX('Site-uri'!$C$2:$C$20,MATCH(A440,'Site-uri'!$A$2:$A$20,0))</f>
        <v>/</v>
      </c>
      <c r="H440" s="10" t="str">
        <f aca="false">Config!$B$3</f>
        <v>2610_ff_lansare</v>
      </c>
      <c r="I440" s="10" t="str">
        <f aca="false">D440&amp;"_"&amp;Config!$B$4</f>
        <v>fierbinte_general</v>
      </c>
      <c r="J440" s="10" t="str">
        <f aca="false">"https://"&amp;B440&amp;G440&amp;"?utm_source="&amp;E440&amp;"&amp;utm_medium="&amp;F440&amp;"&amp;utm_campaign="&amp;H440&amp;"&amp;utm_content="&amp;I440</f>
        <v>https://3webobs.com/?utm_source=directory&amp;utm_medium=referral&amp;utm_campaign=2610_ff_lansare&amp;utm_content=fierbinte_general</v>
      </c>
    </row>
    <row r="441" customFormat="false" ht="15" hidden="false" customHeight="false" outlineLevel="0" collapsed="false">
      <c r="A441" s="10" t="s">
        <v>56</v>
      </c>
      <c r="B441" s="10" t="str">
        <f aca="false">INDEX('Site-uri'!$B$2:$B$20,MATCH(A441,'Site-uri'!$A$2:$A$20,0))</f>
        <v>3webobs.com</v>
      </c>
      <c r="C441" s="10" t="s">
        <v>187</v>
      </c>
      <c r="D441" s="10" t="s">
        <v>237</v>
      </c>
      <c r="E441" s="10" t="str">
        <f aca="false">INDEX(Canale!$C$2:$C$30,MATCH(C441,Canale!$A$2:$A$30,0))</f>
        <v>directory</v>
      </c>
      <c r="F441" s="10" t="str">
        <f aca="false">INDEX(Canale!$D$2:$D$30,MATCH(C441,Canale!$A$2:$A$30,0))</f>
        <v>referral</v>
      </c>
      <c r="G441" s="10" t="str">
        <f aca="false">INDEX('Site-uri'!$C$2:$C$20,MATCH(A441,'Site-uri'!$A$2:$A$20,0))</f>
        <v>/</v>
      </c>
      <c r="H441" s="10" t="str">
        <f aca="false">Config!$B$3</f>
        <v>2610_ff_lansare</v>
      </c>
      <c r="I441" s="10" t="str">
        <f aca="false">D441&amp;"_"&amp;Config!$B$4</f>
        <v>client_general</v>
      </c>
      <c r="J441" s="10" t="str">
        <f aca="false">"https://"&amp;B441&amp;G441&amp;"?utm_source="&amp;E441&amp;"&amp;utm_medium="&amp;F441&amp;"&amp;utm_campaign="&amp;H441&amp;"&amp;utm_content="&amp;I441</f>
        <v>https://3webobs.com/?utm_source=directory&amp;utm_medium=referral&amp;utm_campaign=2610_ff_lansare&amp;utm_content=client_general</v>
      </c>
    </row>
    <row r="442" customFormat="false" ht="15" hidden="false" customHeight="false" outlineLevel="0" collapsed="false">
      <c r="A442" s="10" t="s">
        <v>56</v>
      </c>
      <c r="B442" s="10" t="str">
        <f aca="false">INDEX('Site-uri'!$B$2:$B$20,MATCH(A442,'Site-uri'!$A$2:$A$20,0))</f>
        <v>3webobs.com</v>
      </c>
      <c r="C442" s="10" t="s">
        <v>191</v>
      </c>
      <c r="D442" s="10" t="s">
        <v>219</v>
      </c>
      <c r="E442" s="10" t="str">
        <f aca="false">INDEX(Canale!$C$2:$C$30,MATCH(C442,Canale!$A$2:$A$30,0))</f>
        <v>partner</v>
      </c>
      <c r="F442" s="10" t="str">
        <f aca="false">INDEX(Canale!$D$2:$D$30,MATCH(C442,Canale!$A$2:$A$30,0))</f>
        <v>partner</v>
      </c>
      <c r="G442" s="10" t="str">
        <f aca="false">INDEX('Site-uri'!$C$2:$C$20,MATCH(A442,'Site-uri'!$A$2:$A$20,0))</f>
        <v>/</v>
      </c>
      <c r="H442" s="10" t="str">
        <f aca="false">Config!$B$3</f>
        <v>2610_ff_lansare</v>
      </c>
      <c r="I442" s="10" t="str">
        <f aca="false">D442&amp;"_"&amp;Config!$B$4</f>
        <v>rece_general</v>
      </c>
      <c r="J442" s="10" t="str">
        <f aca="false">"https://"&amp;B442&amp;G442&amp;"?utm_source="&amp;E442&amp;"&amp;utm_medium="&amp;F442&amp;"&amp;utm_campaign="&amp;H442&amp;"&amp;utm_content="&amp;I442</f>
        <v>https://3webobs.com/?utm_source=partner&amp;utm_medium=partner&amp;utm_campaign=2610_ff_lansare&amp;utm_content=rece_general</v>
      </c>
    </row>
    <row r="443" customFormat="false" ht="15" hidden="false" customHeight="false" outlineLevel="0" collapsed="false">
      <c r="A443" s="10" t="s">
        <v>56</v>
      </c>
      <c r="B443" s="10" t="str">
        <f aca="false">INDEX('Site-uri'!$B$2:$B$20,MATCH(A443,'Site-uri'!$A$2:$A$20,0))</f>
        <v>3webobs.com</v>
      </c>
      <c r="C443" s="10" t="s">
        <v>191</v>
      </c>
      <c r="D443" s="10" t="s">
        <v>225</v>
      </c>
      <c r="E443" s="10" t="str">
        <f aca="false">INDEX(Canale!$C$2:$C$30,MATCH(C443,Canale!$A$2:$A$30,0))</f>
        <v>partner</v>
      </c>
      <c r="F443" s="10" t="str">
        <f aca="false">INDEX(Canale!$D$2:$D$30,MATCH(C443,Canale!$A$2:$A$30,0))</f>
        <v>partner</v>
      </c>
      <c r="G443" s="10" t="str">
        <f aca="false">INDEX('Site-uri'!$C$2:$C$20,MATCH(A443,'Site-uri'!$A$2:$A$20,0))</f>
        <v>/</v>
      </c>
      <c r="H443" s="10" t="str">
        <f aca="false">Config!$B$3</f>
        <v>2610_ff_lansare</v>
      </c>
      <c r="I443" s="10" t="str">
        <f aca="false">D443&amp;"_"&amp;Config!$B$4</f>
        <v>cald_general</v>
      </c>
      <c r="J443" s="10" t="str">
        <f aca="false">"https://"&amp;B443&amp;G443&amp;"?utm_source="&amp;E443&amp;"&amp;utm_medium="&amp;F443&amp;"&amp;utm_campaign="&amp;H443&amp;"&amp;utm_content="&amp;I443</f>
        <v>https://3webobs.com/?utm_source=partner&amp;utm_medium=partner&amp;utm_campaign=2610_ff_lansare&amp;utm_content=cald_general</v>
      </c>
    </row>
    <row r="444" customFormat="false" ht="15" hidden="false" customHeight="false" outlineLevel="0" collapsed="false">
      <c r="A444" s="10" t="s">
        <v>56</v>
      </c>
      <c r="B444" s="10" t="str">
        <f aca="false">INDEX('Site-uri'!$B$2:$B$20,MATCH(A444,'Site-uri'!$A$2:$A$20,0))</f>
        <v>3webobs.com</v>
      </c>
      <c r="C444" s="10" t="s">
        <v>191</v>
      </c>
      <c r="D444" s="10" t="s">
        <v>231</v>
      </c>
      <c r="E444" s="10" t="str">
        <f aca="false">INDEX(Canale!$C$2:$C$30,MATCH(C444,Canale!$A$2:$A$30,0))</f>
        <v>partner</v>
      </c>
      <c r="F444" s="10" t="str">
        <f aca="false">INDEX(Canale!$D$2:$D$30,MATCH(C444,Canale!$A$2:$A$30,0))</f>
        <v>partner</v>
      </c>
      <c r="G444" s="10" t="str">
        <f aca="false">INDEX('Site-uri'!$C$2:$C$20,MATCH(A444,'Site-uri'!$A$2:$A$20,0))</f>
        <v>/</v>
      </c>
      <c r="H444" s="10" t="str">
        <f aca="false">Config!$B$3</f>
        <v>2610_ff_lansare</v>
      </c>
      <c r="I444" s="10" t="str">
        <f aca="false">D444&amp;"_"&amp;Config!$B$4</f>
        <v>fierbinte_general</v>
      </c>
      <c r="J444" s="10" t="str">
        <f aca="false">"https://"&amp;B444&amp;G444&amp;"?utm_source="&amp;E444&amp;"&amp;utm_medium="&amp;F444&amp;"&amp;utm_campaign="&amp;H444&amp;"&amp;utm_content="&amp;I444</f>
        <v>https://3webobs.com/?utm_source=partner&amp;utm_medium=partner&amp;utm_campaign=2610_ff_lansare&amp;utm_content=fierbinte_general</v>
      </c>
    </row>
    <row r="445" customFormat="false" ht="15" hidden="false" customHeight="false" outlineLevel="0" collapsed="false">
      <c r="A445" s="10" t="s">
        <v>56</v>
      </c>
      <c r="B445" s="10" t="str">
        <f aca="false">INDEX('Site-uri'!$B$2:$B$20,MATCH(A445,'Site-uri'!$A$2:$A$20,0))</f>
        <v>3webobs.com</v>
      </c>
      <c r="C445" s="10" t="s">
        <v>191</v>
      </c>
      <c r="D445" s="10" t="s">
        <v>237</v>
      </c>
      <c r="E445" s="10" t="str">
        <f aca="false">INDEX(Canale!$C$2:$C$30,MATCH(C445,Canale!$A$2:$A$30,0))</f>
        <v>partner</v>
      </c>
      <c r="F445" s="10" t="str">
        <f aca="false">INDEX(Canale!$D$2:$D$30,MATCH(C445,Canale!$A$2:$A$30,0))</f>
        <v>partner</v>
      </c>
      <c r="G445" s="10" t="str">
        <f aca="false">INDEX('Site-uri'!$C$2:$C$20,MATCH(A445,'Site-uri'!$A$2:$A$20,0))</f>
        <v>/</v>
      </c>
      <c r="H445" s="10" t="str">
        <f aca="false">Config!$B$3</f>
        <v>2610_ff_lansare</v>
      </c>
      <c r="I445" s="10" t="str">
        <f aca="false">D445&amp;"_"&amp;Config!$B$4</f>
        <v>client_general</v>
      </c>
      <c r="J445" s="10" t="str">
        <f aca="false">"https://"&amp;B445&amp;G445&amp;"?utm_source="&amp;E445&amp;"&amp;utm_medium="&amp;F445&amp;"&amp;utm_campaign="&amp;H445&amp;"&amp;utm_content="&amp;I445</f>
        <v>https://3webobs.com/?utm_source=partner&amp;utm_medium=partner&amp;utm_campaign=2610_ff_lansare&amp;utm_content=client_general</v>
      </c>
    </row>
    <row r="446" customFormat="false" ht="15" hidden="false" customHeight="false" outlineLevel="0" collapsed="false">
      <c r="A446" s="10" t="s">
        <v>56</v>
      </c>
      <c r="B446" s="10" t="str">
        <f aca="false">INDEX('Site-uri'!$B$2:$B$20,MATCH(A446,'Site-uri'!$A$2:$A$20,0))</f>
        <v>3webobs.com</v>
      </c>
      <c r="C446" s="10" t="s">
        <v>193</v>
      </c>
      <c r="D446" s="10" t="s">
        <v>219</v>
      </c>
      <c r="E446" s="10" t="str">
        <f aca="false">INDEX(Canale!$C$2:$C$30,MATCH(C446,Canale!$A$2:$A$30,0))</f>
        <v>pdf_proposal</v>
      </c>
      <c r="F446" s="10" t="str">
        <f aca="false">INDEX(Canale!$D$2:$D$30,MATCH(C446,Canale!$A$2:$A$30,0))</f>
        <v>document</v>
      </c>
      <c r="G446" s="10" t="str">
        <f aca="false">INDEX('Site-uri'!$C$2:$C$20,MATCH(A446,'Site-uri'!$A$2:$A$20,0))</f>
        <v>/</v>
      </c>
      <c r="H446" s="10" t="str">
        <f aca="false">Config!$B$3</f>
        <v>2610_ff_lansare</v>
      </c>
      <c r="I446" s="10" t="str">
        <f aca="false">D446&amp;"_"&amp;Config!$B$4</f>
        <v>rece_general</v>
      </c>
      <c r="J446" s="10" t="str">
        <f aca="false">"https://"&amp;B446&amp;G446&amp;"?utm_source="&amp;E446&amp;"&amp;utm_medium="&amp;F446&amp;"&amp;utm_campaign="&amp;H446&amp;"&amp;utm_content="&amp;I446</f>
        <v>https://3webobs.com/?utm_source=pdf_proposal&amp;utm_medium=document&amp;utm_campaign=2610_ff_lansare&amp;utm_content=rece_general</v>
      </c>
    </row>
    <row r="447" customFormat="false" ht="15" hidden="false" customHeight="false" outlineLevel="0" collapsed="false">
      <c r="A447" s="10" t="s">
        <v>56</v>
      </c>
      <c r="B447" s="10" t="str">
        <f aca="false">INDEX('Site-uri'!$B$2:$B$20,MATCH(A447,'Site-uri'!$A$2:$A$20,0))</f>
        <v>3webobs.com</v>
      </c>
      <c r="C447" s="10" t="s">
        <v>193</v>
      </c>
      <c r="D447" s="10" t="s">
        <v>225</v>
      </c>
      <c r="E447" s="10" t="str">
        <f aca="false">INDEX(Canale!$C$2:$C$30,MATCH(C447,Canale!$A$2:$A$30,0))</f>
        <v>pdf_proposal</v>
      </c>
      <c r="F447" s="10" t="str">
        <f aca="false">INDEX(Canale!$D$2:$D$30,MATCH(C447,Canale!$A$2:$A$30,0))</f>
        <v>document</v>
      </c>
      <c r="G447" s="10" t="str">
        <f aca="false">INDEX('Site-uri'!$C$2:$C$20,MATCH(A447,'Site-uri'!$A$2:$A$20,0))</f>
        <v>/</v>
      </c>
      <c r="H447" s="10" t="str">
        <f aca="false">Config!$B$3</f>
        <v>2610_ff_lansare</v>
      </c>
      <c r="I447" s="10" t="str">
        <f aca="false">D447&amp;"_"&amp;Config!$B$4</f>
        <v>cald_general</v>
      </c>
      <c r="J447" s="10" t="str">
        <f aca="false">"https://"&amp;B447&amp;G447&amp;"?utm_source="&amp;E447&amp;"&amp;utm_medium="&amp;F447&amp;"&amp;utm_campaign="&amp;H447&amp;"&amp;utm_content="&amp;I447</f>
        <v>https://3webobs.com/?utm_source=pdf_proposal&amp;utm_medium=document&amp;utm_campaign=2610_ff_lansare&amp;utm_content=cald_general</v>
      </c>
    </row>
    <row r="448" customFormat="false" ht="15" hidden="false" customHeight="false" outlineLevel="0" collapsed="false">
      <c r="A448" s="10" t="s">
        <v>56</v>
      </c>
      <c r="B448" s="10" t="str">
        <f aca="false">INDEX('Site-uri'!$B$2:$B$20,MATCH(A448,'Site-uri'!$A$2:$A$20,0))</f>
        <v>3webobs.com</v>
      </c>
      <c r="C448" s="10" t="s">
        <v>193</v>
      </c>
      <c r="D448" s="10" t="s">
        <v>231</v>
      </c>
      <c r="E448" s="10" t="str">
        <f aca="false">INDEX(Canale!$C$2:$C$30,MATCH(C448,Canale!$A$2:$A$30,0))</f>
        <v>pdf_proposal</v>
      </c>
      <c r="F448" s="10" t="str">
        <f aca="false">INDEX(Canale!$D$2:$D$30,MATCH(C448,Canale!$A$2:$A$30,0))</f>
        <v>document</v>
      </c>
      <c r="G448" s="10" t="str">
        <f aca="false">INDEX('Site-uri'!$C$2:$C$20,MATCH(A448,'Site-uri'!$A$2:$A$20,0))</f>
        <v>/</v>
      </c>
      <c r="H448" s="10" t="str">
        <f aca="false">Config!$B$3</f>
        <v>2610_ff_lansare</v>
      </c>
      <c r="I448" s="10" t="str">
        <f aca="false">D448&amp;"_"&amp;Config!$B$4</f>
        <v>fierbinte_general</v>
      </c>
      <c r="J448" s="10" t="str">
        <f aca="false">"https://"&amp;B448&amp;G448&amp;"?utm_source="&amp;E448&amp;"&amp;utm_medium="&amp;F448&amp;"&amp;utm_campaign="&amp;H448&amp;"&amp;utm_content="&amp;I448</f>
        <v>https://3webobs.com/?utm_source=pdf_proposal&amp;utm_medium=document&amp;utm_campaign=2610_ff_lansare&amp;utm_content=fierbinte_general</v>
      </c>
    </row>
    <row r="449" customFormat="false" ht="15" hidden="false" customHeight="false" outlineLevel="0" collapsed="false">
      <c r="A449" s="10" t="s">
        <v>56</v>
      </c>
      <c r="B449" s="10" t="str">
        <f aca="false">INDEX('Site-uri'!$B$2:$B$20,MATCH(A449,'Site-uri'!$A$2:$A$20,0))</f>
        <v>3webobs.com</v>
      </c>
      <c r="C449" s="10" t="s">
        <v>193</v>
      </c>
      <c r="D449" s="10" t="s">
        <v>237</v>
      </c>
      <c r="E449" s="10" t="str">
        <f aca="false">INDEX(Canale!$C$2:$C$30,MATCH(C449,Canale!$A$2:$A$30,0))</f>
        <v>pdf_proposal</v>
      </c>
      <c r="F449" s="10" t="str">
        <f aca="false">INDEX(Canale!$D$2:$D$30,MATCH(C449,Canale!$A$2:$A$30,0))</f>
        <v>document</v>
      </c>
      <c r="G449" s="10" t="str">
        <f aca="false">INDEX('Site-uri'!$C$2:$C$20,MATCH(A449,'Site-uri'!$A$2:$A$20,0))</f>
        <v>/</v>
      </c>
      <c r="H449" s="10" t="str">
        <f aca="false">Config!$B$3</f>
        <v>2610_ff_lansare</v>
      </c>
      <c r="I449" s="10" t="str">
        <f aca="false">D449&amp;"_"&amp;Config!$B$4</f>
        <v>client_general</v>
      </c>
      <c r="J449" s="10" t="str">
        <f aca="false">"https://"&amp;B449&amp;G449&amp;"?utm_source="&amp;E449&amp;"&amp;utm_medium="&amp;F449&amp;"&amp;utm_campaign="&amp;H449&amp;"&amp;utm_content="&amp;I449</f>
        <v>https://3webobs.com/?utm_source=pdf_proposal&amp;utm_medium=document&amp;utm_campaign=2610_ff_lansare&amp;utm_content=client_general</v>
      </c>
    </row>
    <row r="450" customFormat="false" ht="15" hidden="false" customHeight="false" outlineLevel="0" collapsed="false">
      <c r="A450" s="10" t="s">
        <v>56</v>
      </c>
      <c r="B450" s="10" t="str">
        <f aca="false">INDEX('Site-uri'!$B$2:$B$20,MATCH(A450,'Site-uri'!$A$2:$A$20,0))</f>
        <v>3webobs.com</v>
      </c>
      <c r="C450" s="10" t="s">
        <v>198</v>
      </c>
      <c r="D450" s="10" t="s">
        <v>219</v>
      </c>
      <c r="E450" s="10" t="str">
        <f aca="false">INDEX(Canale!$C$2:$C$30,MATCH(C450,Canale!$A$2:$A$30,0))</f>
        <v>qr_print</v>
      </c>
      <c r="F450" s="10" t="str">
        <f aca="false">INDEX(Canale!$D$2:$D$30,MATCH(C450,Canale!$A$2:$A$30,0))</f>
        <v>qr</v>
      </c>
      <c r="G450" s="10" t="str">
        <f aca="false">INDEX('Site-uri'!$C$2:$C$20,MATCH(A450,'Site-uri'!$A$2:$A$20,0))</f>
        <v>/</v>
      </c>
      <c r="H450" s="10" t="str">
        <f aca="false">Config!$B$3</f>
        <v>2610_ff_lansare</v>
      </c>
      <c r="I450" s="10" t="str">
        <f aca="false">D450&amp;"_"&amp;Config!$B$4</f>
        <v>rece_general</v>
      </c>
      <c r="J450" s="10" t="str">
        <f aca="false">"https://"&amp;B450&amp;G450&amp;"?utm_source="&amp;E450&amp;"&amp;utm_medium="&amp;F450&amp;"&amp;utm_campaign="&amp;H450&amp;"&amp;utm_content="&amp;I450</f>
        <v>https://3webobs.com/?utm_source=qr_print&amp;utm_medium=qr&amp;utm_campaign=2610_ff_lansare&amp;utm_content=rece_general</v>
      </c>
    </row>
    <row r="451" customFormat="false" ht="15" hidden="false" customHeight="false" outlineLevel="0" collapsed="false">
      <c r="A451" s="10" t="s">
        <v>56</v>
      </c>
      <c r="B451" s="10" t="str">
        <f aca="false">INDEX('Site-uri'!$B$2:$B$20,MATCH(A451,'Site-uri'!$A$2:$A$20,0))</f>
        <v>3webobs.com</v>
      </c>
      <c r="C451" s="10" t="s">
        <v>198</v>
      </c>
      <c r="D451" s="10" t="s">
        <v>225</v>
      </c>
      <c r="E451" s="10" t="str">
        <f aca="false">INDEX(Canale!$C$2:$C$30,MATCH(C451,Canale!$A$2:$A$30,0))</f>
        <v>qr_print</v>
      </c>
      <c r="F451" s="10" t="str">
        <f aca="false">INDEX(Canale!$D$2:$D$30,MATCH(C451,Canale!$A$2:$A$30,0))</f>
        <v>qr</v>
      </c>
      <c r="G451" s="10" t="str">
        <f aca="false">INDEX('Site-uri'!$C$2:$C$20,MATCH(A451,'Site-uri'!$A$2:$A$20,0))</f>
        <v>/</v>
      </c>
      <c r="H451" s="10" t="str">
        <f aca="false">Config!$B$3</f>
        <v>2610_ff_lansare</v>
      </c>
      <c r="I451" s="10" t="str">
        <f aca="false">D451&amp;"_"&amp;Config!$B$4</f>
        <v>cald_general</v>
      </c>
      <c r="J451" s="10" t="str">
        <f aca="false">"https://"&amp;B451&amp;G451&amp;"?utm_source="&amp;E451&amp;"&amp;utm_medium="&amp;F451&amp;"&amp;utm_campaign="&amp;H451&amp;"&amp;utm_content="&amp;I451</f>
        <v>https://3webobs.com/?utm_source=qr_print&amp;utm_medium=qr&amp;utm_campaign=2610_ff_lansare&amp;utm_content=cald_general</v>
      </c>
    </row>
    <row r="452" customFormat="false" ht="15" hidden="false" customHeight="false" outlineLevel="0" collapsed="false">
      <c r="A452" s="10" t="s">
        <v>56</v>
      </c>
      <c r="B452" s="10" t="str">
        <f aca="false">INDEX('Site-uri'!$B$2:$B$20,MATCH(A452,'Site-uri'!$A$2:$A$20,0))</f>
        <v>3webobs.com</v>
      </c>
      <c r="C452" s="10" t="s">
        <v>198</v>
      </c>
      <c r="D452" s="10" t="s">
        <v>231</v>
      </c>
      <c r="E452" s="10" t="str">
        <f aca="false">INDEX(Canale!$C$2:$C$30,MATCH(C452,Canale!$A$2:$A$30,0))</f>
        <v>qr_print</v>
      </c>
      <c r="F452" s="10" t="str">
        <f aca="false">INDEX(Canale!$D$2:$D$30,MATCH(C452,Canale!$A$2:$A$30,0))</f>
        <v>qr</v>
      </c>
      <c r="G452" s="10" t="str">
        <f aca="false">INDEX('Site-uri'!$C$2:$C$20,MATCH(A452,'Site-uri'!$A$2:$A$20,0))</f>
        <v>/</v>
      </c>
      <c r="H452" s="10" t="str">
        <f aca="false">Config!$B$3</f>
        <v>2610_ff_lansare</v>
      </c>
      <c r="I452" s="10" t="str">
        <f aca="false">D452&amp;"_"&amp;Config!$B$4</f>
        <v>fierbinte_general</v>
      </c>
      <c r="J452" s="10" t="str">
        <f aca="false">"https://"&amp;B452&amp;G452&amp;"?utm_source="&amp;E452&amp;"&amp;utm_medium="&amp;F452&amp;"&amp;utm_campaign="&amp;H452&amp;"&amp;utm_content="&amp;I452</f>
        <v>https://3webobs.com/?utm_source=qr_print&amp;utm_medium=qr&amp;utm_campaign=2610_ff_lansare&amp;utm_content=fierbinte_general</v>
      </c>
    </row>
    <row r="453" customFormat="false" ht="15" hidden="false" customHeight="false" outlineLevel="0" collapsed="false">
      <c r="A453" s="10" t="s">
        <v>56</v>
      </c>
      <c r="B453" s="10" t="str">
        <f aca="false">INDEX('Site-uri'!$B$2:$B$20,MATCH(A453,'Site-uri'!$A$2:$A$20,0))</f>
        <v>3webobs.com</v>
      </c>
      <c r="C453" s="10" t="s">
        <v>198</v>
      </c>
      <c r="D453" s="10" t="s">
        <v>237</v>
      </c>
      <c r="E453" s="10" t="str">
        <f aca="false">INDEX(Canale!$C$2:$C$30,MATCH(C453,Canale!$A$2:$A$30,0))</f>
        <v>qr_print</v>
      </c>
      <c r="F453" s="10" t="str">
        <f aca="false">INDEX(Canale!$D$2:$D$30,MATCH(C453,Canale!$A$2:$A$30,0))</f>
        <v>qr</v>
      </c>
      <c r="G453" s="10" t="str">
        <f aca="false">INDEX('Site-uri'!$C$2:$C$20,MATCH(A453,'Site-uri'!$A$2:$A$20,0))</f>
        <v>/</v>
      </c>
      <c r="H453" s="10" t="str">
        <f aca="false">Config!$B$3</f>
        <v>2610_ff_lansare</v>
      </c>
      <c r="I453" s="10" t="str">
        <f aca="false">D453&amp;"_"&amp;Config!$B$4</f>
        <v>client_general</v>
      </c>
      <c r="J453" s="10" t="str">
        <f aca="false">"https://"&amp;B453&amp;G453&amp;"?utm_source="&amp;E453&amp;"&amp;utm_medium="&amp;F453&amp;"&amp;utm_campaign="&amp;H453&amp;"&amp;utm_content="&amp;I453</f>
        <v>https://3webobs.com/?utm_source=qr_print&amp;utm_medium=qr&amp;utm_campaign=2610_ff_lansare&amp;utm_content=client_general</v>
      </c>
    </row>
    <row r="454" customFormat="false" ht="15" hidden="false" customHeight="false" outlineLevel="0" collapsed="false">
      <c r="A454" s="10" t="s">
        <v>56</v>
      </c>
      <c r="B454" s="10" t="str">
        <f aca="false">INDEX('Site-uri'!$B$2:$B$20,MATCH(A454,'Site-uri'!$A$2:$A$20,0))</f>
        <v>3webobs.com</v>
      </c>
      <c r="C454" s="10" t="s">
        <v>202</v>
      </c>
      <c r="D454" s="10" t="s">
        <v>219</v>
      </c>
      <c r="E454" s="10" t="str">
        <f aca="false">INDEX(Canale!$C$2:$C$30,MATCH(C454,Canale!$A$2:$A$30,0))</f>
        <v>event</v>
      </c>
      <c r="F454" s="10" t="str">
        <f aca="false">INDEX(Canale!$D$2:$D$30,MATCH(C454,Canale!$A$2:$A$30,0))</f>
        <v>event</v>
      </c>
      <c r="G454" s="10" t="str">
        <f aca="false">INDEX('Site-uri'!$C$2:$C$20,MATCH(A454,'Site-uri'!$A$2:$A$20,0))</f>
        <v>/</v>
      </c>
      <c r="H454" s="10" t="str">
        <f aca="false">Config!$B$3</f>
        <v>2610_ff_lansare</v>
      </c>
      <c r="I454" s="10" t="str">
        <f aca="false">D454&amp;"_"&amp;Config!$B$4</f>
        <v>rece_general</v>
      </c>
      <c r="J454" s="10" t="str">
        <f aca="false">"https://"&amp;B454&amp;G454&amp;"?utm_source="&amp;E454&amp;"&amp;utm_medium="&amp;F454&amp;"&amp;utm_campaign="&amp;H454&amp;"&amp;utm_content="&amp;I454</f>
        <v>https://3webobs.com/?utm_source=event&amp;utm_medium=event&amp;utm_campaign=2610_ff_lansare&amp;utm_content=rece_general</v>
      </c>
    </row>
    <row r="455" customFormat="false" ht="15" hidden="false" customHeight="false" outlineLevel="0" collapsed="false">
      <c r="A455" s="10" t="s">
        <v>56</v>
      </c>
      <c r="B455" s="10" t="str">
        <f aca="false">INDEX('Site-uri'!$B$2:$B$20,MATCH(A455,'Site-uri'!$A$2:$A$20,0))</f>
        <v>3webobs.com</v>
      </c>
      <c r="C455" s="10" t="s">
        <v>202</v>
      </c>
      <c r="D455" s="10" t="s">
        <v>225</v>
      </c>
      <c r="E455" s="10" t="str">
        <f aca="false">INDEX(Canale!$C$2:$C$30,MATCH(C455,Canale!$A$2:$A$30,0))</f>
        <v>event</v>
      </c>
      <c r="F455" s="10" t="str">
        <f aca="false">INDEX(Canale!$D$2:$D$30,MATCH(C455,Canale!$A$2:$A$30,0))</f>
        <v>event</v>
      </c>
      <c r="G455" s="10" t="str">
        <f aca="false">INDEX('Site-uri'!$C$2:$C$20,MATCH(A455,'Site-uri'!$A$2:$A$20,0))</f>
        <v>/</v>
      </c>
      <c r="H455" s="10" t="str">
        <f aca="false">Config!$B$3</f>
        <v>2610_ff_lansare</v>
      </c>
      <c r="I455" s="10" t="str">
        <f aca="false">D455&amp;"_"&amp;Config!$B$4</f>
        <v>cald_general</v>
      </c>
      <c r="J455" s="10" t="str">
        <f aca="false">"https://"&amp;B455&amp;G455&amp;"?utm_source="&amp;E455&amp;"&amp;utm_medium="&amp;F455&amp;"&amp;utm_campaign="&amp;H455&amp;"&amp;utm_content="&amp;I455</f>
        <v>https://3webobs.com/?utm_source=event&amp;utm_medium=event&amp;utm_campaign=2610_ff_lansare&amp;utm_content=cald_general</v>
      </c>
    </row>
    <row r="456" customFormat="false" ht="15" hidden="false" customHeight="false" outlineLevel="0" collapsed="false">
      <c r="A456" s="10" t="s">
        <v>56</v>
      </c>
      <c r="B456" s="10" t="str">
        <f aca="false">INDEX('Site-uri'!$B$2:$B$20,MATCH(A456,'Site-uri'!$A$2:$A$20,0))</f>
        <v>3webobs.com</v>
      </c>
      <c r="C456" s="10" t="s">
        <v>202</v>
      </c>
      <c r="D456" s="10" t="s">
        <v>231</v>
      </c>
      <c r="E456" s="10" t="str">
        <f aca="false">INDEX(Canale!$C$2:$C$30,MATCH(C456,Canale!$A$2:$A$30,0))</f>
        <v>event</v>
      </c>
      <c r="F456" s="10" t="str">
        <f aca="false">INDEX(Canale!$D$2:$D$30,MATCH(C456,Canale!$A$2:$A$30,0))</f>
        <v>event</v>
      </c>
      <c r="G456" s="10" t="str">
        <f aca="false">INDEX('Site-uri'!$C$2:$C$20,MATCH(A456,'Site-uri'!$A$2:$A$20,0))</f>
        <v>/</v>
      </c>
      <c r="H456" s="10" t="str">
        <f aca="false">Config!$B$3</f>
        <v>2610_ff_lansare</v>
      </c>
      <c r="I456" s="10" t="str">
        <f aca="false">D456&amp;"_"&amp;Config!$B$4</f>
        <v>fierbinte_general</v>
      </c>
      <c r="J456" s="10" t="str">
        <f aca="false">"https://"&amp;B456&amp;G456&amp;"?utm_source="&amp;E456&amp;"&amp;utm_medium="&amp;F456&amp;"&amp;utm_campaign="&amp;H456&amp;"&amp;utm_content="&amp;I456</f>
        <v>https://3webobs.com/?utm_source=event&amp;utm_medium=event&amp;utm_campaign=2610_ff_lansare&amp;utm_content=fierbinte_general</v>
      </c>
    </row>
    <row r="457" customFormat="false" ht="15" hidden="false" customHeight="false" outlineLevel="0" collapsed="false">
      <c r="A457" s="10" t="s">
        <v>56</v>
      </c>
      <c r="B457" s="10" t="str">
        <f aca="false">INDEX('Site-uri'!$B$2:$B$20,MATCH(A457,'Site-uri'!$A$2:$A$20,0))</f>
        <v>3webobs.com</v>
      </c>
      <c r="C457" s="10" t="s">
        <v>202</v>
      </c>
      <c r="D457" s="10" t="s">
        <v>237</v>
      </c>
      <c r="E457" s="10" t="str">
        <f aca="false">INDEX(Canale!$C$2:$C$30,MATCH(C457,Canale!$A$2:$A$30,0))</f>
        <v>event</v>
      </c>
      <c r="F457" s="10" t="str">
        <f aca="false">INDEX(Canale!$D$2:$D$30,MATCH(C457,Canale!$A$2:$A$30,0))</f>
        <v>event</v>
      </c>
      <c r="G457" s="10" t="str">
        <f aca="false">INDEX('Site-uri'!$C$2:$C$20,MATCH(A457,'Site-uri'!$A$2:$A$20,0))</f>
        <v>/</v>
      </c>
      <c r="H457" s="10" t="str">
        <f aca="false">Config!$B$3</f>
        <v>2610_ff_lansare</v>
      </c>
      <c r="I457" s="10" t="str">
        <f aca="false">D457&amp;"_"&amp;Config!$B$4</f>
        <v>client_general</v>
      </c>
      <c r="J457" s="10" t="str">
        <f aca="false">"https://"&amp;B457&amp;G457&amp;"?utm_source="&amp;E457&amp;"&amp;utm_medium="&amp;F457&amp;"&amp;utm_campaign="&amp;H457&amp;"&amp;utm_content="&amp;I457</f>
        <v>https://3webobs.com/?utm_source=event&amp;utm_medium=event&amp;utm_campaign=2610_ff_lansare&amp;utm_content=client_general</v>
      </c>
    </row>
    <row r="458" customFormat="false" ht="15" hidden="false" customHeight="false" outlineLevel="0" collapsed="false">
      <c r="A458" s="10" t="s">
        <v>56</v>
      </c>
      <c r="B458" s="10" t="str">
        <f aca="false">INDEX('Site-uri'!$B$2:$B$20,MATCH(A458,'Site-uri'!$A$2:$A$20,0))</f>
        <v>3webobs.com</v>
      </c>
      <c r="C458" s="10" t="s">
        <v>204</v>
      </c>
      <c r="D458" s="10" t="s">
        <v>219</v>
      </c>
      <c r="E458" s="10" t="str">
        <f aca="false">INDEX(Canale!$C$2:$C$30,MATCH(C458,Canale!$A$2:$A$30,0))</f>
        <v>a2a_agent_card</v>
      </c>
      <c r="F458" s="10" t="str">
        <f aca="false">INDEX(Canale!$D$2:$D$30,MATCH(C458,Canale!$A$2:$A$30,0))</f>
        <v>agent</v>
      </c>
      <c r="G458" s="10" t="str">
        <f aca="false">INDEX('Site-uri'!$C$2:$C$20,MATCH(A458,'Site-uri'!$A$2:$A$20,0))</f>
        <v>/</v>
      </c>
      <c r="H458" s="10" t="str">
        <f aca="false">Config!$B$3</f>
        <v>2610_ff_lansare</v>
      </c>
      <c r="I458" s="10" t="str">
        <f aca="false">D458&amp;"_"&amp;Config!$B$4</f>
        <v>rece_general</v>
      </c>
      <c r="J458" s="10" t="str">
        <f aca="false">"https://"&amp;B458&amp;G458&amp;"?utm_source="&amp;E458&amp;"&amp;utm_medium="&amp;F458&amp;"&amp;utm_campaign="&amp;H458&amp;"&amp;utm_content="&amp;I458</f>
        <v>https://3webobs.com/?utm_source=a2a_agent_card&amp;utm_medium=agent&amp;utm_campaign=2610_ff_lansare&amp;utm_content=rece_general</v>
      </c>
    </row>
    <row r="459" customFormat="false" ht="15" hidden="false" customHeight="false" outlineLevel="0" collapsed="false">
      <c r="A459" s="10" t="s">
        <v>56</v>
      </c>
      <c r="B459" s="10" t="str">
        <f aca="false">INDEX('Site-uri'!$B$2:$B$20,MATCH(A459,'Site-uri'!$A$2:$A$20,0))</f>
        <v>3webobs.com</v>
      </c>
      <c r="C459" s="10" t="s">
        <v>204</v>
      </c>
      <c r="D459" s="10" t="s">
        <v>225</v>
      </c>
      <c r="E459" s="10" t="str">
        <f aca="false">INDEX(Canale!$C$2:$C$30,MATCH(C459,Canale!$A$2:$A$30,0))</f>
        <v>a2a_agent_card</v>
      </c>
      <c r="F459" s="10" t="str">
        <f aca="false">INDEX(Canale!$D$2:$D$30,MATCH(C459,Canale!$A$2:$A$30,0))</f>
        <v>agent</v>
      </c>
      <c r="G459" s="10" t="str">
        <f aca="false">INDEX('Site-uri'!$C$2:$C$20,MATCH(A459,'Site-uri'!$A$2:$A$20,0))</f>
        <v>/</v>
      </c>
      <c r="H459" s="10" t="str">
        <f aca="false">Config!$B$3</f>
        <v>2610_ff_lansare</v>
      </c>
      <c r="I459" s="10" t="str">
        <f aca="false">D459&amp;"_"&amp;Config!$B$4</f>
        <v>cald_general</v>
      </c>
      <c r="J459" s="10" t="str">
        <f aca="false">"https://"&amp;B459&amp;G459&amp;"?utm_source="&amp;E459&amp;"&amp;utm_medium="&amp;F459&amp;"&amp;utm_campaign="&amp;H459&amp;"&amp;utm_content="&amp;I459</f>
        <v>https://3webobs.com/?utm_source=a2a_agent_card&amp;utm_medium=agent&amp;utm_campaign=2610_ff_lansare&amp;utm_content=cald_general</v>
      </c>
    </row>
    <row r="460" customFormat="false" ht="15" hidden="false" customHeight="false" outlineLevel="0" collapsed="false">
      <c r="A460" s="10" t="s">
        <v>56</v>
      </c>
      <c r="B460" s="10" t="str">
        <f aca="false">INDEX('Site-uri'!$B$2:$B$20,MATCH(A460,'Site-uri'!$A$2:$A$20,0))</f>
        <v>3webobs.com</v>
      </c>
      <c r="C460" s="10" t="s">
        <v>204</v>
      </c>
      <c r="D460" s="10" t="s">
        <v>231</v>
      </c>
      <c r="E460" s="10" t="str">
        <f aca="false">INDEX(Canale!$C$2:$C$30,MATCH(C460,Canale!$A$2:$A$30,0))</f>
        <v>a2a_agent_card</v>
      </c>
      <c r="F460" s="10" t="str">
        <f aca="false">INDEX(Canale!$D$2:$D$30,MATCH(C460,Canale!$A$2:$A$30,0))</f>
        <v>agent</v>
      </c>
      <c r="G460" s="10" t="str">
        <f aca="false">INDEX('Site-uri'!$C$2:$C$20,MATCH(A460,'Site-uri'!$A$2:$A$20,0))</f>
        <v>/</v>
      </c>
      <c r="H460" s="10" t="str">
        <f aca="false">Config!$B$3</f>
        <v>2610_ff_lansare</v>
      </c>
      <c r="I460" s="10" t="str">
        <f aca="false">D460&amp;"_"&amp;Config!$B$4</f>
        <v>fierbinte_general</v>
      </c>
      <c r="J460" s="10" t="str">
        <f aca="false">"https://"&amp;B460&amp;G460&amp;"?utm_source="&amp;E460&amp;"&amp;utm_medium="&amp;F460&amp;"&amp;utm_campaign="&amp;H460&amp;"&amp;utm_content="&amp;I460</f>
        <v>https://3webobs.com/?utm_source=a2a_agent_card&amp;utm_medium=agent&amp;utm_campaign=2610_ff_lansare&amp;utm_content=fierbinte_general</v>
      </c>
    </row>
    <row r="461" customFormat="false" ht="15" hidden="false" customHeight="false" outlineLevel="0" collapsed="false">
      <c r="A461" s="10" t="s">
        <v>56</v>
      </c>
      <c r="B461" s="10" t="str">
        <f aca="false">INDEX('Site-uri'!$B$2:$B$20,MATCH(A461,'Site-uri'!$A$2:$A$20,0))</f>
        <v>3webobs.com</v>
      </c>
      <c r="C461" s="10" t="s">
        <v>204</v>
      </c>
      <c r="D461" s="10" t="s">
        <v>237</v>
      </c>
      <c r="E461" s="10" t="str">
        <f aca="false">INDEX(Canale!$C$2:$C$30,MATCH(C461,Canale!$A$2:$A$30,0))</f>
        <v>a2a_agent_card</v>
      </c>
      <c r="F461" s="10" t="str">
        <f aca="false">INDEX(Canale!$D$2:$D$30,MATCH(C461,Canale!$A$2:$A$30,0))</f>
        <v>agent</v>
      </c>
      <c r="G461" s="10" t="str">
        <f aca="false">INDEX('Site-uri'!$C$2:$C$20,MATCH(A461,'Site-uri'!$A$2:$A$20,0))</f>
        <v>/</v>
      </c>
      <c r="H461" s="10" t="str">
        <f aca="false">Config!$B$3</f>
        <v>2610_ff_lansare</v>
      </c>
      <c r="I461" s="10" t="str">
        <f aca="false">D461&amp;"_"&amp;Config!$B$4</f>
        <v>client_general</v>
      </c>
      <c r="J461" s="10" t="str">
        <f aca="false">"https://"&amp;B461&amp;G461&amp;"?utm_source="&amp;E461&amp;"&amp;utm_medium="&amp;F461&amp;"&amp;utm_campaign="&amp;H461&amp;"&amp;utm_content="&amp;I461</f>
        <v>https://3webobs.com/?utm_source=a2a_agent_card&amp;utm_medium=agent&amp;utm_campaign=2610_ff_lansare&amp;utm_content=client_general</v>
      </c>
    </row>
    <row r="462" customFormat="false" ht="15" hidden="false" customHeight="false" outlineLevel="0" collapsed="false">
      <c r="A462" s="10" t="s">
        <v>56</v>
      </c>
      <c r="B462" s="10" t="str">
        <f aca="false">INDEX('Site-uri'!$B$2:$B$20,MATCH(A462,'Site-uri'!$A$2:$A$20,0))</f>
        <v>3webobs.com</v>
      </c>
      <c r="C462" s="10" t="s">
        <v>209</v>
      </c>
      <c r="D462" s="10" t="s">
        <v>219</v>
      </c>
      <c r="E462" s="10" t="str">
        <f aca="false">INDEX(Canale!$C$2:$C$30,MATCH(C462,Canale!$A$2:$A$30,0))</f>
        <v>llms_txt</v>
      </c>
      <c r="F462" s="10" t="str">
        <f aca="false">INDEX(Canale!$D$2:$D$30,MATCH(C462,Canale!$A$2:$A$30,0))</f>
        <v>ai_web</v>
      </c>
      <c r="G462" s="10" t="str">
        <f aca="false">INDEX('Site-uri'!$C$2:$C$20,MATCH(A462,'Site-uri'!$A$2:$A$20,0))</f>
        <v>/</v>
      </c>
      <c r="H462" s="10" t="str">
        <f aca="false">Config!$B$3</f>
        <v>2610_ff_lansare</v>
      </c>
      <c r="I462" s="10" t="str">
        <f aca="false">D462&amp;"_"&amp;Config!$B$4</f>
        <v>rece_general</v>
      </c>
      <c r="J462" s="10" t="str">
        <f aca="false">"https://"&amp;B462&amp;G462&amp;"?utm_source="&amp;E462&amp;"&amp;utm_medium="&amp;F462&amp;"&amp;utm_campaign="&amp;H462&amp;"&amp;utm_content="&amp;I462</f>
        <v>https://3webobs.com/?utm_source=llms_txt&amp;utm_medium=ai_web&amp;utm_campaign=2610_ff_lansare&amp;utm_content=rece_general</v>
      </c>
    </row>
    <row r="463" customFormat="false" ht="15" hidden="false" customHeight="false" outlineLevel="0" collapsed="false">
      <c r="A463" s="10" t="s">
        <v>56</v>
      </c>
      <c r="B463" s="10" t="str">
        <f aca="false">INDEX('Site-uri'!$B$2:$B$20,MATCH(A463,'Site-uri'!$A$2:$A$20,0))</f>
        <v>3webobs.com</v>
      </c>
      <c r="C463" s="10" t="s">
        <v>209</v>
      </c>
      <c r="D463" s="10" t="s">
        <v>225</v>
      </c>
      <c r="E463" s="10" t="str">
        <f aca="false">INDEX(Canale!$C$2:$C$30,MATCH(C463,Canale!$A$2:$A$30,0))</f>
        <v>llms_txt</v>
      </c>
      <c r="F463" s="10" t="str">
        <f aca="false">INDEX(Canale!$D$2:$D$30,MATCH(C463,Canale!$A$2:$A$30,0))</f>
        <v>ai_web</v>
      </c>
      <c r="G463" s="10" t="str">
        <f aca="false">INDEX('Site-uri'!$C$2:$C$20,MATCH(A463,'Site-uri'!$A$2:$A$20,0))</f>
        <v>/</v>
      </c>
      <c r="H463" s="10" t="str">
        <f aca="false">Config!$B$3</f>
        <v>2610_ff_lansare</v>
      </c>
      <c r="I463" s="10" t="str">
        <f aca="false">D463&amp;"_"&amp;Config!$B$4</f>
        <v>cald_general</v>
      </c>
      <c r="J463" s="10" t="str">
        <f aca="false">"https://"&amp;B463&amp;G463&amp;"?utm_source="&amp;E463&amp;"&amp;utm_medium="&amp;F463&amp;"&amp;utm_campaign="&amp;H463&amp;"&amp;utm_content="&amp;I463</f>
        <v>https://3webobs.com/?utm_source=llms_txt&amp;utm_medium=ai_web&amp;utm_campaign=2610_ff_lansare&amp;utm_content=cald_general</v>
      </c>
    </row>
    <row r="464" customFormat="false" ht="15" hidden="false" customHeight="false" outlineLevel="0" collapsed="false">
      <c r="A464" s="10" t="s">
        <v>56</v>
      </c>
      <c r="B464" s="10" t="str">
        <f aca="false">INDEX('Site-uri'!$B$2:$B$20,MATCH(A464,'Site-uri'!$A$2:$A$20,0))</f>
        <v>3webobs.com</v>
      </c>
      <c r="C464" s="10" t="s">
        <v>209</v>
      </c>
      <c r="D464" s="10" t="s">
        <v>231</v>
      </c>
      <c r="E464" s="10" t="str">
        <f aca="false">INDEX(Canale!$C$2:$C$30,MATCH(C464,Canale!$A$2:$A$30,0))</f>
        <v>llms_txt</v>
      </c>
      <c r="F464" s="10" t="str">
        <f aca="false">INDEX(Canale!$D$2:$D$30,MATCH(C464,Canale!$A$2:$A$30,0))</f>
        <v>ai_web</v>
      </c>
      <c r="G464" s="10" t="str">
        <f aca="false">INDEX('Site-uri'!$C$2:$C$20,MATCH(A464,'Site-uri'!$A$2:$A$20,0))</f>
        <v>/</v>
      </c>
      <c r="H464" s="10" t="str">
        <f aca="false">Config!$B$3</f>
        <v>2610_ff_lansare</v>
      </c>
      <c r="I464" s="10" t="str">
        <f aca="false">D464&amp;"_"&amp;Config!$B$4</f>
        <v>fierbinte_general</v>
      </c>
      <c r="J464" s="10" t="str">
        <f aca="false">"https://"&amp;B464&amp;G464&amp;"?utm_source="&amp;E464&amp;"&amp;utm_medium="&amp;F464&amp;"&amp;utm_campaign="&amp;H464&amp;"&amp;utm_content="&amp;I464</f>
        <v>https://3webobs.com/?utm_source=llms_txt&amp;utm_medium=ai_web&amp;utm_campaign=2610_ff_lansare&amp;utm_content=fierbinte_general</v>
      </c>
    </row>
    <row r="465" customFormat="false" ht="15" hidden="false" customHeight="false" outlineLevel="0" collapsed="false">
      <c r="A465" s="10" t="s">
        <v>56</v>
      </c>
      <c r="B465" s="10" t="str">
        <f aca="false">INDEX('Site-uri'!$B$2:$B$20,MATCH(A465,'Site-uri'!$A$2:$A$20,0))</f>
        <v>3webobs.com</v>
      </c>
      <c r="C465" s="10" t="s">
        <v>209</v>
      </c>
      <c r="D465" s="10" t="s">
        <v>237</v>
      </c>
      <c r="E465" s="10" t="str">
        <f aca="false">INDEX(Canale!$C$2:$C$30,MATCH(C465,Canale!$A$2:$A$30,0))</f>
        <v>llms_txt</v>
      </c>
      <c r="F465" s="10" t="str">
        <f aca="false">INDEX(Canale!$D$2:$D$30,MATCH(C465,Canale!$A$2:$A$30,0))</f>
        <v>ai_web</v>
      </c>
      <c r="G465" s="10" t="str">
        <f aca="false">INDEX('Site-uri'!$C$2:$C$20,MATCH(A465,'Site-uri'!$A$2:$A$20,0))</f>
        <v>/</v>
      </c>
      <c r="H465" s="10" t="str">
        <f aca="false">Config!$B$3</f>
        <v>2610_ff_lansare</v>
      </c>
      <c r="I465" s="10" t="str">
        <f aca="false">D465&amp;"_"&amp;Config!$B$4</f>
        <v>client_general</v>
      </c>
      <c r="J465" s="10" t="str">
        <f aca="false">"https://"&amp;B465&amp;G465&amp;"?utm_source="&amp;E465&amp;"&amp;utm_medium="&amp;F465&amp;"&amp;utm_campaign="&amp;H465&amp;"&amp;utm_content="&amp;I465</f>
        <v>https://3webobs.com/?utm_source=llms_txt&amp;utm_medium=ai_web&amp;utm_campaign=2610_ff_lansare&amp;utm_content=client_general</v>
      </c>
    </row>
    <row r="466" customFormat="false" ht="15" hidden="false" customHeight="false" outlineLevel="0" collapsed="false">
      <c r="A466" s="10" t="s">
        <v>59</v>
      </c>
      <c r="B466" s="10" t="str">
        <f aca="false">INDEX('Site-uri'!$B$2:$B$20,MATCH(A466,'Site-uri'!$A$2:$A$20,0))</f>
        <v>ai-lens.eu</v>
      </c>
      <c r="C466" s="10" t="s">
        <v>104</v>
      </c>
      <c r="D466" s="10" t="s">
        <v>219</v>
      </c>
      <c r="E466" s="10" t="str">
        <f aca="false">INDEX(Canale!$C$2:$C$30,MATCH(C466,Canale!$A$2:$A$30,0))</f>
        <v>linkedin_personal</v>
      </c>
      <c r="F466" s="10" t="str">
        <f aca="false">INDEX(Canale!$D$2:$D$30,MATCH(C466,Canale!$A$2:$A$30,0))</f>
        <v>social</v>
      </c>
      <c r="G466" s="10" t="str">
        <f aca="false">INDEX('Site-uri'!$C$2:$C$20,MATCH(A466,'Site-uri'!$A$2:$A$20,0))</f>
        <v>/</v>
      </c>
      <c r="H466" s="10" t="str">
        <f aca="false">Config!$B$3</f>
        <v>2610_ff_lansare</v>
      </c>
      <c r="I466" s="10" t="str">
        <f aca="false">D466&amp;"_"&amp;Config!$B$4</f>
        <v>rece_general</v>
      </c>
      <c r="J466" s="10" t="str">
        <f aca="false">"https://"&amp;B466&amp;G466&amp;"?utm_source="&amp;E466&amp;"&amp;utm_medium="&amp;F466&amp;"&amp;utm_campaign="&amp;H466&amp;"&amp;utm_content="&amp;I466</f>
        <v>https://ai-lens.eu/?utm_source=linkedin_personal&amp;utm_medium=social&amp;utm_campaign=2610_ff_lansare&amp;utm_content=rece_general</v>
      </c>
    </row>
    <row r="467" customFormat="false" ht="15" hidden="false" customHeight="false" outlineLevel="0" collapsed="false">
      <c r="A467" s="10" t="s">
        <v>59</v>
      </c>
      <c r="B467" s="10" t="str">
        <f aca="false">INDEX('Site-uri'!$B$2:$B$20,MATCH(A467,'Site-uri'!$A$2:$A$20,0))</f>
        <v>ai-lens.eu</v>
      </c>
      <c r="C467" s="10" t="s">
        <v>104</v>
      </c>
      <c r="D467" s="10" t="s">
        <v>225</v>
      </c>
      <c r="E467" s="10" t="str">
        <f aca="false">INDEX(Canale!$C$2:$C$30,MATCH(C467,Canale!$A$2:$A$30,0))</f>
        <v>linkedin_personal</v>
      </c>
      <c r="F467" s="10" t="str">
        <f aca="false">INDEX(Canale!$D$2:$D$30,MATCH(C467,Canale!$A$2:$A$30,0))</f>
        <v>social</v>
      </c>
      <c r="G467" s="10" t="str">
        <f aca="false">INDEX('Site-uri'!$C$2:$C$20,MATCH(A467,'Site-uri'!$A$2:$A$20,0))</f>
        <v>/</v>
      </c>
      <c r="H467" s="10" t="str">
        <f aca="false">Config!$B$3</f>
        <v>2610_ff_lansare</v>
      </c>
      <c r="I467" s="10" t="str">
        <f aca="false">D467&amp;"_"&amp;Config!$B$4</f>
        <v>cald_general</v>
      </c>
      <c r="J467" s="10" t="str">
        <f aca="false">"https://"&amp;B467&amp;G467&amp;"?utm_source="&amp;E467&amp;"&amp;utm_medium="&amp;F467&amp;"&amp;utm_campaign="&amp;H467&amp;"&amp;utm_content="&amp;I467</f>
        <v>https://ai-lens.eu/?utm_source=linkedin_personal&amp;utm_medium=social&amp;utm_campaign=2610_ff_lansare&amp;utm_content=cald_general</v>
      </c>
    </row>
    <row r="468" customFormat="false" ht="15" hidden="false" customHeight="false" outlineLevel="0" collapsed="false">
      <c r="A468" s="10" t="s">
        <v>59</v>
      </c>
      <c r="B468" s="10" t="str">
        <f aca="false">INDEX('Site-uri'!$B$2:$B$20,MATCH(A468,'Site-uri'!$A$2:$A$20,0))</f>
        <v>ai-lens.eu</v>
      </c>
      <c r="C468" s="10" t="s">
        <v>104</v>
      </c>
      <c r="D468" s="10" t="s">
        <v>231</v>
      </c>
      <c r="E468" s="10" t="str">
        <f aca="false">INDEX(Canale!$C$2:$C$30,MATCH(C468,Canale!$A$2:$A$30,0))</f>
        <v>linkedin_personal</v>
      </c>
      <c r="F468" s="10" t="str">
        <f aca="false">INDEX(Canale!$D$2:$D$30,MATCH(C468,Canale!$A$2:$A$30,0))</f>
        <v>social</v>
      </c>
      <c r="G468" s="10" t="str">
        <f aca="false">INDEX('Site-uri'!$C$2:$C$20,MATCH(A468,'Site-uri'!$A$2:$A$20,0))</f>
        <v>/</v>
      </c>
      <c r="H468" s="10" t="str">
        <f aca="false">Config!$B$3</f>
        <v>2610_ff_lansare</v>
      </c>
      <c r="I468" s="10" t="str">
        <f aca="false">D468&amp;"_"&amp;Config!$B$4</f>
        <v>fierbinte_general</v>
      </c>
      <c r="J468" s="10" t="str">
        <f aca="false">"https://"&amp;B468&amp;G468&amp;"?utm_source="&amp;E468&amp;"&amp;utm_medium="&amp;F468&amp;"&amp;utm_campaign="&amp;H468&amp;"&amp;utm_content="&amp;I468</f>
        <v>https://ai-lens.eu/?utm_source=linkedin_personal&amp;utm_medium=social&amp;utm_campaign=2610_ff_lansare&amp;utm_content=fierbinte_general</v>
      </c>
    </row>
    <row r="469" customFormat="false" ht="15" hidden="false" customHeight="false" outlineLevel="0" collapsed="false">
      <c r="A469" s="10" t="s">
        <v>59</v>
      </c>
      <c r="B469" s="10" t="str">
        <f aca="false">INDEX('Site-uri'!$B$2:$B$20,MATCH(A469,'Site-uri'!$A$2:$A$20,0))</f>
        <v>ai-lens.eu</v>
      </c>
      <c r="C469" s="10" t="s">
        <v>104</v>
      </c>
      <c r="D469" s="10" t="s">
        <v>237</v>
      </c>
      <c r="E469" s="10" t="str">
        <f aca="false">INDEX(Canale!$C$2:$C$30,MATCH(C469,Canale!$A$2:$A$30,0))</f>
        <v>linkedin_personal</v>
      </c>
      <c r="F469" s="10" t="str">
        <f aca="false">INDEX(Canale!$D$2:$D$30,MATCH(C469,Canale!$A$2:$A$30,0))</f>
        <v>social</v>
      </c>
      <c r="G469" s="10" t="str">
        <f aca="false">INDEX('Site-uri'!$C$2:$C$20,MATCH(A469,'Site-uri'!$A$2:$A$20,0))</f>
        <v>/</v>
      </c>
      <c r="H469" s="10" t="str">
        <f aca="false">Config!$B$3</f>
        <v>2610_ff_lansare</v>
      </c>
      <c r="I469" s="10" t="str">
        <f aca="false">D469&amp;"_"&amp;Config!$B$4</f>
        <v>client_general</v>
      </c>
      <c r="J469" s="10" t="str">
        <f aca="false">"https://"&amp;B469&amp;G469&amp;"?utm_source="&amp;E469&amp;"&amp;utm_medium="&amp;F469&amp;"&amp;utm_campaign="&amp;H469&amp;"&amp;utm_content="&amp;I469</f>
        <v>https://ai-lens.eu/?utm_source=linkedin_personal&amp;utm_medium=social&amp;utm_campaign=2610_ff_lansare&amp;utm_content=client_general</v>
      </c>
    </row>
    <row r="470" customFormat="false" ht="15" hidden="false" customHeight="false" outlineLevel="0" collapsed="false">
      <c r="A470" s="10" t="s">
        <v>59</v>
      </c>
      <c r="B470" s="10" t="str">
        <f aca="false">INDEX('Site-uri'!$B$2:$B$20,MATCH(A470,'Site-uri'!$A$2:$A$20,0))</f>
        <v>ai-lens.eu</v>
      </c>
      <c r="C470" s="10" t="s">
        <v>109</v>
      </c>
      <c r="D470" s="10" t="s">
        <v>219</v>
      </c>
      <c r="E470" s="10" t="str">
        <f aca="false">INDEX(Canale!$C$2:$C$30,MATCH(C470,Canale!$A$2:$A$30,0))</f>
        <v>linkedin_company</v>
      </c>
      <c r="F470" s="10" t="str">
        <f aca="false">INDEX(Canale!$D$2:$D$30,MATCH(C470,Canale!$A$2:$A$30,0))</f>
        <v>social</v>
      </c>
      <c r="G470" s="10" t="str">
        <f aca="false">INDEX('Site-uri'!$C$2:$C$20,MATCH(A470,'Site-uri'!$A$2:$A$20,0))</f>
        <v>/</v>
      </c>
      <c r="H470" s="10" t="str">
        <f aca="false">Config!$B$3</f>
        <v>2610_ff_lansare</v>
      </c>
      <c r="I470" s="10" t="str">
        <f aca="false">D470&amp;"_"&amp;Config!$B$4</f>
        <v>rece_general</v>
      </c>
      <c r="J470" s="10" t="str">
        <f aca="false">"https://"&amp;B470&amp;G470&amp;"?utm_source="&amp;E470&amp;"&amp;utm_medium="&amp;F470&amp;"&amp;utm_campaign="&amp;H470&amp;"&amp;utm_content="&amp;I470</f>
        <v>https://ai-lens.eu/?utm_source=linkedin_company&amp;utm_medium=social&amp;utm_campaign=2610_ff_lansare&amp;utm_content=rece_general</v>
      </c>
    </row>
    <row r="471" customFormat="false" ht="15" hidden="false" customHeight="false" outlineLevel="0" collapsed="false">
      <c r="A471" s="10" t="s">
        <v>59</v>
      </c>
      <c r="B471" s="10" t="str">
        <f aca="false">INDEX('Site-uri'!$B$2:$B$20,MATCH(A471,'Site-uri'!$A$2:$A$20,0))</f>
        <v>ai-lens.eu</v>
      </c>
      <c r="C471" s="10" t="s">
        <v>109</v>
      </c>
      <c r="D471" s="10" t="s">
        <v>225</v>
      </c>
      <c r="E471" s="10" t="str">
        <f aca="false">INDEX(Canale!$C$2:$C$30,MATCH(C471,Canale!$A$2:$A$30,0))</f>
        <v>linkedin_company</v>
      </c>
      <c r="F471" s="10" t="str">
        <f aca="false">INDEX(Canale!$D$2:$D$30,MATCH(C471,Canale!$A$2:$A$30,0))</f>
        <v>social</v>
      </c>
      <c r="G471" s="10" t="str">
        <f aca="false">INDEX('Site-uri'!$C$2:$C$20,MATCH(A471,'Site-uri'!$A$2:$A$20,0))</f>
        <v>/</v>
      </c>
      <c r="H471" s="10" t="str">
        <f aca="false">Config!$B$3</f>
        <v>2610_ff_lansare</v>
      </c>
      <c r="I471" s="10" t="str">
        <f aca="false">D471&amp;"_"&amp;Config!$B$4</f>
        <v>cald_general</v>
      </c>
      <c r="J471" s="10" t="str">
        <f aca="false">"https://"&amp;B471&amp;G471&amp;"?utm_source="&amp;E471&amp;"&amp;utm_medium="&amp;F471&amp;"&amp;utm_campaign="&amp;H471&amp;"&amp;utm_content="&amp;I471</f>
        <v>https://ai-lens.eu/?utm_source=linkedin_company&amp;utm_medium=social&amp;utm_campaign=2610_ff_lansare&amp;utm_content=cald_general</v>
      </c>
    </row>
    <row r="472" customFormat="false" ht="15" hidden="false" customHeight="false" outlineLevel="0" collapsed="false">
      <c r="A472" s="10" t="s">
        <v>59</v>
      </c>
      <c r="B472" s="10" t="str">
        <f aca="false">INDEX('Site-uri'!$B$2:$B$20,MATCH(A472,'Site-uri'!$A$2:$A$20,0))</f>
        <v>ai-lens.eu</v>
      </c>
      <c r="C472" s="10" t="s">
        <v>109</v>
      </c>
      <c r="D472" s="10" t="s">
        <v>231</v>
      </c>
      <c r="E472" s="10" t="str">
        <f aca="false">INDEX(Canale!$C$2:$C$30,MATCH(C472,Canale!$A$2:$A$30,0))</f>
        <v>linkedin_company</v>
      </c>
      <c r="F472" s="10" t="str">
        <f aca="false">INDEX(Canale!$D$2:$D$30,MATCH(C472,Canale!$A$2:$A$30,0))</f>
        <v>social</v>
      </c>
      <c r="G472" s="10" t="str">
        <f aca="false">INDEX('Site-uri'!$C$2:$C$20,MATCH(A472,'Site-uri'!$A$2:$A$20,0))</f>
        <v>/</v>
      </c>
      <c r="H472" s="10" t="str">
        <f aca="false">Config!$B$3</f>
        <v>2610_ff_lansare</v>
      </c>
      <c r="I472" s="10" t="str">
        <f aca="false">D472&amp;"_"&amp;Config!$B$4</f>
        <v>fierbinte_general</v>
      </c>
      <c r="J472" s="10" t="str">
        <f aca="false">"https://"&amp;B472&amp;G472&amp;"?utm_source="&amp;E472&amp;"&amp;utm_medium="&amp;F472&amp;"&amp;utm_campaign="&amp;H472&amp;"&amp;utm_content="&amp;I472</f>
        <v>https://ai-lens.eu/?utm_source=linkedin_company&amp;utm_medium=social&amp;utm_campaign=2610_ff_lansare&amp;utm_content=fierbinte_general</v>
      </c>
    </row>
    <row r="473" customFormat="false" ht="15" hidden="false" customHeight="false" outlineLevel="0" collapsed="false">
      <c r="A473" s="10" t="s">
        <v>59</v>
      </c>
      <c r="B473" s="10" t="str">
        <f aca="false">INDEX('Site-uri'!$B$2:$B$20,MATCH(A473,'Site-uri'!$A$2:$A$20,0))</f>
        <v>ai-lens.eu</v>
      </c>
      <c r="C473" s="10" t="s">
        <v>109</v>
      </c>
      <c r="D473" s="10" t="s">
        <v>237</v>
      </c>
      <c r="E473" s="10" t="str">
        <f aca="false">INDEX(Canale!$C$2:$C$30,MATCH(C473,Canale!$A$2:$A$30,0))</f>
        <v>linkedin_company</v>
      </c>
      <c r="F473" s="10" t="str">
        <f aca="false">INDEX(Canale!$D$2:$D$30,MATCH(C473,Canale!$A$2:$A$30,0))</f>
        <v>social</v>
      </c>
      <c r="G473" s="10" t="str">
        <f aca="false">INDEX('Site-uri'!$C$2:$C$20,MATCH(A473,'Site-uri'!$A$2:$A$20,0))</f>
        <v>/</v>
      </c>
      <c r="H473" s="10" t="str">
        <f aca="false">Config!$B$3</f>
        <v>2610_ff_lansare</v>
      </c>
      <c r="I473" s="10" t="str">
        <f aca="false">D473&amp;"_"&amp;Config!$B$4</f>
        <v>client_general</v>
      </c>
      <c r="J473" s="10" t="str">
        <f aca="false">"https://"&amp;B473&amp;G473&amp;"?utm_source="&amp;E473&amp;"&amp;utm_medium="&amp;F473&amp;"&amp;utm_campaign="&amp;H473&amp;"&amp;utm_content="&amp;I473</f>
        <v>https://ai-lens.eu/?utm_source=linkedin_company&amp;utm_medium=social&amp;utm_campaign=2610_ff_lansare&amp;utm_content=client_general</v>
      </c>
    </row>
    <row r="474" customFormat="false" ht="15" hidden="false" customHeight="false" outlineLevel="0" collapsed="false">
      <c r="A474" s="10" t="s">
        <v>59</v>
      </c>
      <c r="B474" s="10" t="str">
        <f aca="false">INDEX('Site-uri'!$B$2:$B$20,MATCH(A474,'Site-uri'!$A$2:$A$20,0))</f>
        <v>ai-lens.eu</v>
      </c>
      <c r="C474" s="10" t="s">
        <v>112</v>
      </c>
      <c r="D474" s="10" t="s">
        <v>219</v>
      </c>
      <c r="E474" s="10" t="str">
        <f aca="false">INDEX(Canale!$C$2:$C$30,MATCH(C474,Canale!$A$2:$A$30,0))</f>
        <v>linkedin_showcase</v>
      </c>
      <c r="F474" s="10" t="str">
        <f aca="false">INDEX(Canale!$D$2:$D$30,MATCH(C474,Canale!$A$2:$A$30,0))</f>
        <v>social</v>
      </c>
      <c r="G474" s="10" t="str">
        <f aca="false">INDEX('Site-uri'!$C$2:$C$20,MATCH(A474,'Site-uri'!$A$2:$A$20,0))</f>
        <v>/</v>
      </c>
      <c r="H474" s="10" t="str">
        <f aca="false">Config!$B$3</f>
        <v>2610_ff_lansare</v>
      </c>
      <c r="I474" s="10" t="str">
        <f aca="false">D474&amp;"_"&amp;Config!$B$4</f>
        <v>rece_general</v>
      </c>
      <c r="J474" s="10" t="str">
        <f aca="false">"https://"&amp;B474&amp;G474&amp;"?utm_source="&amp;E474&amp;"&amp;utm_medium="&amp;F474&amp;"&amp;utm_campaign="&amp;H474&amp;"&amp;utm_content="&amp;I474</f>
        <v>https://ai-lens.eu/?utm_source=linkedin_showcase&amp;utm_medium=social&amp;utm_campaign=2610_ff_lansare&amp;utm_content=rece_general</v>
      </c>
    </row>
    <row r="475" customFormat="false" ht="15" hidden="false" customHeight="false" outlineLevel="0" collapsed="false">
      <c r="A475" s="10" t="s">
        <v>59</v>
      </c>
      <c r="B475" s="10" t="str">
        <f aca="false">INDEX('Site-uri'!$B$2:$B$20,MATCH(A475,'Site-uri'!$A$2:$A$20,0))</f>
        <v>ai-lens.eu</v>
      </c>
      <c r="C475" s="10" t="s">
        <v>112</v>
      </c>
      <c r="D475" s="10" t="s">
        <v>225</v>
      </c>
      <c r="E475" s="10" t="str">
        <f aca="false">INDEX(Canale!$C$2:$C$30,MATCH(C475,Canale!$A$2:$A$30,0))</f>
        <v>linkedin_showcase</v>
      </c>
      <c r="F475" s="10" t="str">
        <f aca="false">INDEX(Canale!$D$2:$D$30,MATCH(C475,Canale!$A$2:$A$30,0))</f>
        <v>social</v>
      </c>
      <c r="G475" s="10" t="str">
        <f aca="false">INDEX('Site-uri'!$C$2:$C$20,MATCH(A475,'Site-uri'!$A$2:$A$20,0))</f>
        <v>/</v>
      </c>
      <c r="H475" s="10" t="str">
        <f aca="false">Config!$B$3</f>
        <v>2610_ff_lansare</v>
      </c>
      <c r="I475" s="10" t="str">
        <f aca="false">D475&amp;"_"&amp;Config!$B$4</f>
        <v>cald_general</v>
      </c>
      <c r="J475" s="10" t="str">
        <f aca="false">"https://"&amp;B475&amp;G475&amp;"?utm_source="&amp;E475&amp;"&amp;utm_medium="&amp;F475&amp;"&amp;utm_campaign="&amp;H475&amp;"&amp;utm_content="&amp;I475</f>
        <v>https://ai-lens.eu/?utm_source=linkedin_showcase&amp;utm_medium=social&amp;utm_campaign=2610_ff_lansare&amp;utm_content=cald_general</v>
      </c>
    </row>
    <row r="476" customFormat="false" ht="15" hidden="false" customHeight="false" outlineLevel="0" collapsed="false">
      <c r="A476" s="10" t="s">
        <v>59</v>
      </c>
      <c r="B476" s="10" t="str">
        <f aca="false">INDEX('Site-uri'!$B$2:$B$20,MATCH(A476,'Site-uri'!$A$2:$A$20,0))</f>
        <v>ai-lens.eu</v>
      </c>
      <c r="C476" s="10" t="s">
        <v>112</v>
      </c>
      <c r="D476" s="10" t="s">
        <v>231</v>
      </c>
      <c r="E476" s="10" t="str">
        <f aca="false">INDEX(Canale!$C$2:$C$30,MATCH(C476,Canale!$A$2:$A$30,0))</f>
        <v>linkedin_showcase</v>
      </c>
      <c r="F476" s="10" t="str">
        <f aca="false">INDEX(Canale!$D$2:$D$30,MATCH(C476,Canale!$A$2:$A$30,0))</f>
        <v>social</v>
      </c>
      <c r="G476" s="10" t="str">
        <f aca="false">INDEX('Site-uri'!$C$2:$C$20,MATCH(A476,'Site-uri'!$A$2:$A$20,0))</f>
        <v>/</v>
      </c>
      <c r="H476" s="10" t="str">
        <f aca="false">Config!$B$3</f>
        <v>2610_ff_lansare</v>
      </c>
      <c r="I476" s="10" t="str">
        <f aca="false">D476&amp;"_"&amp;Config!$B$4</f>
        <v>fierbinte_general</v>
      </c>
      <c r="J476" s="10" t="str">
        <f aca="false">"https://"&amp;B476&amp;G476&amp;"?utm_source="&amp;E476&amp;"&amp;utm_medium="&amp;F476&amp;"&amp;utm_campaign="&amp;H476&amp;"&amp;utm_content="&amp;I476</f>
        <v>https://ai-lens.eu/?utm_source=linkedin_showcase&amp;utm_medium=social&amp;utm_campaign=2610_ff_lansare&amp;utm_content=fierbinte_general</v>
      </c>
    </row>
    <row r="477" customFormat="false" ht="15" hidden="false" customHeight="false" outlineLevel="0" collapsed="false">
      <c r="A477" s="10" t="s">
        <v>59</v>
      </c>
      <c r="B477" s="10" t="str">
        <f aca="false">INDEX('Site-uri'!$B$2:$B$20,MATCH(A477,'Site-uri'!$A$2:$A$20,0))</f>
        <v>ai-lens.eu</v>
      </c>
      <c r="C477" s="10" t="s">
        <v>112</v>
      </c>
      <c r="D477" s="10" t="s">
        <v>237</v>
      </c>
      <c r="E477" s="10" t="str">
        <f aca="false">INDEX(Canale!$C$2:$C$30,MATCH(C477,Canale!$A$2:$A$30,0))</f>
        <v>linkedin_showcase</v>
      </c>
      <c r="F477" s="10" t="str">
        <f aca="false">INDEX(Canale!$D$2:$D$30,MATCH(C477,Canale!$A$2:$A$30,0))</f>
        <v>social</v>
      </c>
      <c r="G477" s="10" t="str">
        <f aca="false">INDEX('Site-uri'!$C$2:$C$20,MATCH(A477,'Site-uri'!$A$2:$A$20,0))</f>
        <v>/</v>
      </c>
      <c r="H477" s="10" t="str">
        <f aca="false">Config!$B$3</f>
        <v>2610_ff_lansare</v>
      </c>
      <c r="I477" s="10" t="str">
        <f aca="false">D477&amp;"_"&amp;Config!$B$4</f>
        <v>client_general</v>
      </c>
      <c r="J477" s="10" t="str">
        <f aca="false">"https://"&amp;B477&amp;G477&amp;"?utm_source="&amp;E477&amp;"&amp;utm_medium="&amp;F477&amp;"&amp;utm_campaign="&amp;H477&amp;"&amp;utm_content="&amp;I477</f>
        <v>https://ai-lens.eu/?utm_source=linkedin_showcase&amp;utm_medium=social&amp;utm_campaign=2610_ff_lansare&amp;utm_content=client_general</v>
      </c>
    </row>
    <row r="478" customFormat="false" ht="15" hidden="false" customHeight="false" outlineLevel="0" collapsed="false">
      <c r="A478" s="10" t="s">
        <v>59</v>
      </c>
      <c r="B478" s="10" t="str">
        <f aca="false">INDEX('Site-uri'!$B$2:$B$20,MATCH(A478,'Site-uri'!$A$2:$A$20,0))</f>
        <v>ai-lens.eu</v>
      </c>
      <c r="C478" s="10" t="s">
        <v>115</v>
      </c>
      <c r="D478" s="10" t="s">
        <v>219</v>
      </c>
      <c r="E478" s="10" t="str">
        <f aca="false">INDEX(Canale!$C$2:$C$30,MATCH(C478,Canale!$A$2:$A$30,0))</f>
        <v>linkedin_newsletter</v>
      </c>
      <c r="F478" s="10" t="str">
        <f aca="false">INDEX(Canale!$D$2:$D$30,MATCH(C478,Canale!$A$2:$A$30,0))</f>
        <v>social</v>
      </c>
      <c r="G478" s="10" t="str">
        <f aca="false">INDEX('Site-uri'!$C$2:$C$20,MATCH(A478,'Site-uri'!$A$2:$A$20,0))</f>
        <v>/</v>
      </c>
      <c r="H478" s="10" t="str">
        <f aca="false">Config!$B$3</f>
        <v>2610_ff_lansare</v>
      </c>
      <c r="I478" s="10" t="str">
        <f aca="false">D478&amp;"_"&amp;Config!$B$4</f>
        <v>rece_general</v>
      </c>
      <c r="J478" s="10" t="str">
        <f aca="false">"https://"&amp;B478&amp;G478&amp;"?utm_source="&amp;E478&amp;"&amp;utm_medium="&amp;F478&amp;"&amp;utm_campaign="&amp;H478&amp;"&amp;utm_content="&amp;I478</f>
        <v>https://ai-lens.eu/?utm_source=linkedin_newsletter&amp;utm_medium=social&amp;utm_campaign=2610_ff_lansare&amp;utm_content=rece_general</v>
      </c>
    </row>
    <row r="479" customFormat="false" ht="15" hidden="false" customHeight="false" outlineLevel="0" collapsed="false">
      <c r="A479" s="10" t="s">
        <v>59</v>
      </c>
      <c r="B479" s="10" t="str">
        <f aca="false">INDEX('Site-uri'!$B$2:$B$20,MATCH(A479,'Site-uri'!$A$2:$A$20,0))</f>
        <v>ai-lens.eu</v>
      </c>
      <c r="C479" s="10" t="s">
        <v>115</v>
      </c>
      <c r="D479" s="10" t="s">
        <v>225</v>
      </c>
      <c r="E479" s="10" t="str">
        <f aca="false">INDEX(Canale!$C$2:$C$30,MATCH(C479,Canale!$A$2:$A$30,0))</f>
        <v>linkedin_newsletter</v>
      </c>
      <c r="F479" s="10" t="str">
        <f aca="false">INDEX(Canale!$D$2:$D$30,MATCH(C479,Canale!$A$2:$A$30,0))</f>
        <v>social</v>
      </c>
      <c r="G479" s="10" t="str">
        <f aca="false">INDEX('Site-uri'!$C$2:$C$20,MATCH(A479,'Site-uri'!$A$2:$A$20,0))</f>
        <v>/</v>
      </c>
      <c r="H479" s="10" t="str">
        <f aca="false">Config!$B$3</f>
        <v>2610_ff_lansare</v>
      </c>
      <c r="I479" s="10" t="str">
        <f aca="false">D479&amp;"_"&amp;Config!$B$4</f>
        <v>cald_general</v>
      </c>
      <c r="J479" s="10" t="str">
        <f aca="false">"https://"&amp;B479&amp;G479&amp;"?utm_source="&amp;E479&amp;"&amp;utm_medium="&amp;F479&amp;"&amp;utm_campaign="&amp;H479&amp;"&amp;utm_content="&amp;I479</f>
        <v>https://ai-lens.eu/?utm_source=linkedin_newsletter&amp;utm_medium=social&amp;utm_campaign=2610_ff_lansare&amp;utm_content=cald_general</v>
      </c>
    </row>
    <row r="480" customFormat="false" ht="15" hidden="false" customHeight="false" outlineLevel="0" collapsed="false">
      <c r="A480" s="10" t="s">
        <v>59</v>
      </c>
      <c r="B480" s="10" t="str">
        <f aca="false">INDEX('Site-uri'!$B$2:$B$20,MATCH(A480,'Site-uri'!$A$2:$A$20,0))</f>
        <v>ai-lens.eu</v>
      </c>
      <c r="C480" s="10" t="s">
        <v>115</v>
      </c>
      <c r="D480" s="10" t="s">
        <v>231</v>
      </c>
      <c r="E480" s="10" t="str">
        <f aca="false">INDEX(Canale!$C$2:$C$30,MATCH(C480,Canale!$A$2:$A$30,0))</f>
        <v>linkedin_newsletter</v>
      </c>
      <c r="F480" s="10" t="str">
        <f aca="false">INDEX(Canale!$D$2:$D$30,MATCH(C480,Canale!$A$2:$A$30,0))</f>
        <v>social</v>
      </c>
      <c r="G480" s="10" t="str">
        <f aca="false">INDEX('Site-uri'!$C$2:$C$20,MATCH(A480,'Site-uri'!$A$2:$A$20,0))</f>
        <v>/</v>
      </c>
      <c r="H480" s="10" t="str">
        <f aca="false">Config!$B$3</f>
        <v>2610_ff_lansare</v>
      </c>
      <c r="I480" s="10" t="str">
        <f aca="false">D480&amp;"_"&amp;Config!$B$4</f>
        <v>fierbinte_general</v>
      </c>
      <c r="J480" s="10" t="str">
        <f aca="false">"https://"&amp;B480&amp;G480&amp;"?utm_source="&amp;E480&amp;"&amp;utm_medium="&amp;F480&amp;"&amp;utm_campaign="&amp;H480&amp;"&amp;utm_content="&amp;I480</f>
        <v>https://ai-lens.eu/?utm_source=linkedin_newsletter&amp;utm_medium=social&amp;utm_campaign=2610_ff_lansare&amp;utm_content=fierbinte_general</v>
      </c>
    </row>
    <row r="481" customFormat="false" ht="15" hidden="false" customHeight="false" outlineLevel="0" collapsed="false">
      <c r="A481" s="10" t="s">
        <v>59</v>
      </c>
      <c r="B481" s="10" t="str">
        <f aca="false">INDEX('Site-uri'!$B$2:$B$20,MATCH(A481,'Site-uri'!$A$2:$A$20,0))</f>
        <v>ai-lens.eu</v>
      </c>
      <c r="C481" s="10" t="s">
        <v>115</v>
      </c>
      <c r="D481" s="10" t="s">
        <v>237</v>
      </c>
      <c r="E481" s="10" t="str">
        <f aca="false">INDEX(Canale!$C$2:$C$30,MATCH(C481,Canale!$A$2:$A$30,0))</f>
        <v>linkedin_newsletter</v>
      </c>
      <c r="F481" s="10" t="str">
        <f aca="false">INDEX(Canale!$D$2:$D$30,MATCH(C481,Canale!$A$2:$A$30,0))</f>
        <v>social</v>
      </c>
      <c r="G481" s="10" t="str">
        <f aca="false">INDEX('Site-uri'!$C$2:$C$20,MATCH(A481,'Site-uri'!$A$2:$A$20,0))</f>
        <v>/</v>
      </c>
      <c r="H481" s="10" t="str">
        <f aca="false">Config!$B$3</f>
        <v>2610_ff_lansare</v>
      </c>
      <c r="I481" s="10" t="str">
        <f aca="false">D481&amp;"_"&amp;Config!$B$4</f>
        <v>client_general</v>
      </c>
      <c r="J481" s="10" t="str">
        <f aca="false">"https://"&amp;B481&amp;G481&amp;"?utm_source="&amp;E481&amp;"&amp;utm_medium="&amp;F481&amp;"&amp;utm_campaign="&amp;H481&amp;"&amp;utm_content="&amp;I481</f>
        <v>https://ai-lens.eu/?utm_source=linkedin_newsletter&amp;utm_medium=social&amp;utm_campaign=2610_ff_lansare&amp;utm_content=client_general</v>
      </c>
    </row>
    <row r="482" customFormat="false" ht="15" hidden="false" customHeight="false" outlineLevel="0" collapsed="false">
      <c r="A482" s="10" t="s">
        <v>59</v>
      </c>
      <c r="B482" s="10" t="str">
        <f aca="false">INDEX('Site-uri'!$B$2:$B$20,MATCH(A482,'Site-uri'!$A$2:$A$20,0))</f>
        <v>ai-lens.eu</v>
      </c>
      <c r="C482" s="10" t="s">
        <v>118</v>
      </c>
      <c r="D482" s="10" t="s">
        <v>219</v>
      </c>
      <c r="E482" s="10" t="str">
        <f aca="false">INDEX(Canale!$C$2:$C$30,MATCH(C482,Canale!$A$2:$A$30,0))</f>
        <v>linkedin_ads</v>
      </c>
      <c r="F482" s="10" t="str">
        <f aca="false">INDEX(Canale!$D$2:$D$30,MATCH(C482,Canale!$A$2:$A$30,0))</f>
        <v>paid_social</v>
      </c>
      <c r="G482" s="10" t="str">
        <f aca="false">INDEX('Site-uri'!$C$2:$C$20,MATCH(A482,'Site-uri'!$A$2:$A$20,0))</f>
        <v>/</v>
      </c>
      <c r="H482" s="10" t="str">
        <f aca="false">Config!$B$3</f>
        <v>2610_ff_lansare</v>
      </c>
      <c r="I482" s="10" t="str">
        <f aca="false">D482&amp;"_"&amp;Config!$B$4</f>
        <v>rece_general</v>
      </c>
      <c r="J482" s="10" t="str">
        <f aca="false">"https://"&amp;B482&amp;G482&amp;"?utm_source="&amp;E482&amp;"&amp;utm_medium="&amp;F482&amp;"&amp;utm_campaign="&amp;H482&amp;"&amp;utm_content="&amp;I482</f>
        <v>https://ai-lens.eu/?utm_source=linkedin_ads&amp;utm_medium=paid_social&amp;utm_campaign=2610_ff_lansare&amp;utm_content=rece_general</v>
      </c>
    </row>
    <row r="483" customFormat="false" ht="15" hidden="false" customHeight="false" outlineLevel="0" collapsed="false">
      <c r="A483" s="10" t="s">
        <v>59</v>
      </c>
      <c r="B483" s="10" t="str">
        <f aca="false">INDEX('Site-uri'!$B$2:$B$20,MATCH(A483,'Site-uri'!$A$2:$A$20,0))</f>
        <v>ai-lens.eu</v>
      </c>
      <c r="C483" s="10" t="s">
        <v>118</v>
      </c>
      <c r="D483" s="10" t="s">
        <v>225</v>
      </c>
      <c r="E483" s="10" t="str">
        <f aca="false">INDEX(Canale!$C$2:$C$30,MATCH(C483,Canale!$A$2:$A$30,0))</f>
        <v>linkedin_ads</v>
      </c>
      <c r="F483" s="10" t="str">
        <f aca="false">INDEX(Canale!$D$2:$D$30,MATCH(C483,Canale!$A$2:$A$30,0))</f>
        <v>paid_social</v>
      </c>
      <c r="G483" s="10" t="str">
        <f aca="false">INDEX('Site-uri'!$C$2:$C$20,MATCH(A483,'Site-uri'!$A$2:$A$20,0))</f>
        <v>/</v>
      </c>
      <c r="H483" s="10" t="str">
        <f aca="false">Config!$B$3</f>
        <v>2610_ff_lansare</v>
      </c>
      <c r="I483" s="10" t="str">
        <f aca="false">D483&amp;"_"&amp;Config!$B$4</f>
        <v>cald_general</v>
      </c>
      <c r="J483" s="10" t="str">
        <f aca="false">"https://"&amp;B483&amp;G483&amp;"?utm_source="&amp;E483&amp;"&amp;utm_medium="&amp;F483&amp;"&amp;utm_campaign="&amp;H483&amp;"&amp;utm_content="&amp;I483</f>
        <v>https://ai-lens.eu/?utm_source=linkedin_ads&amp;utm_medium=paid_social&amp;utm_campaign=2610_ff_lansare&amp;utm_content=cald_general</v>
      </c>
    </row>
    <row r="484" customFormat="false" ht="15" hidden="false" customHeight="false" outlineLevel="0" collapsed="false">
      <c r="A484" s="10" t="s">
        <v>59</v>
      </c>
      <c r="B484" s="10" t="str">
        <f aca="false">INDEX('Site-uri'!$B$2:$B$20,MATCH(A484,'Site-uri'!$A$2:$A$20,0))</f>
        <v>ai-lens.eu</v>
      </c>
      <c r="C484" s="10" t="s">
        <v>118</v>
      </c>
      <c r="D484" s="10" t="s">
        <v>231</v>
      </c>
      <c r="E484" s="10" t="str">
        <f aca="false">INDEX(Canale!$C$2:$C$30,MATCH(C484,Canale!$A$2:$A$30,0))</f>
        <v>linkedin_ads</v>
      </c>
      <c r="F484" s="10" t="str">
        <f aca="false">INDEX(Canale!$D$2:$D$30,MATCH(C484,Canale!$A$2:$A$30,0))</f>
        <v>paid_social</v>
      </c>
      <c r="G484" s="10" t="str">
        <f aca="false">INDEX('Site-uri'!$C$2:$C$20,MATCH(A484,'Site-uri'!$A$2:$A$20,0))</f>
        <v>/</v>
      </c>
      <c r="H484" s="10" t="str">
        <f aca="false">Config!$B$3</f>
        <v>2610_ff_lansare</v>
      </c>
      <c r="I484" s="10" t="str">
        <f aca="false">D484&amp;"_"&amp;Config!$B$4</f>
        <v>fierbinte_general</v>
      </c>
      <c r="J484" s="10" t="str">
        <f aca="false">"https://"&amp;B484&amp;G484&amp;"?utm_source="&amp;E484&amp;"&amp;utm_medium="&amp;F484&amp;"&amp;utm_campaign="&amp;H484&amp;"&amp;utm_content="&amp;I484</f>
        <v>https://ai-lens.eu/?utm_source=linkedin_ads&amp;utm_medium=paid_social&amp;utm_campaign=2610_ff_lansare&amp;utm_content=fierbinte_general</v>
      </c>
    </row>
    <row r="485" customFormat="false" ht="15" hidden="false" customHeight="false" outlineLevel="0" collapsed="false">
      <c r="A485" s="10" t="s">
        <v>59</v>
      </c>
      <c r="B485" s="10" t="str">
        <f aca="false">INDEX('Site-uri'!$B$2:$B$20,MATCH(A485,'Site-uri'!$A$2:$A$20,0))</f>
        <v>ai-lens.eu</v>
      </c>
      <c r="C485" s="10" t="s">
        <v>118</v>
      </c>
      <c r="D485" s="10" t="s">
        <v>237</v>
      </c>
      <c r="E485" s="10" t="str">
        <f aca="false">INDEX(Canale!$C$2:$C$30,MATCH(C485,Canale!$A$2:$A$30,0))</f>
        <v>linkedin_ads</v>
      </c>
      <c r="F485" s="10" t="str">
        <f aca="false">INDEX(Canale!$D$2:$D$30,MATCH(C485,Canale!$A$2:$A$30,0))</f>
        <v>paid_social</v>
      </c>
      <c r="G485" s="10" t="str">
        <f aca="false">INDEX('Site-uri'!$C$2:$C$20,MATCH(A485,'Site-uri'!$A$2:$A$20,0))</f>
        <v>/</v>
      </c>
      <c r="H485" s="10" t="str">
        <f aca="false">Config!$B$3</f>
        <v>2610_ff_lansare</v>
      </c>
      <c r="I485" s="10" t="str">
        <f aca="false">D485&amp;"_"&amp;Config!$B$4</f>
        <v>client_general</v>
      </c>
      <c r="J485" s="10" t="str">
        <f aca="false">"https://"&amp;B485&amp;G485&amp;"?utm_source="&amp;E485&amp;"&amp;utm_medium="&amp;F485&amp;"&amp;utm_campaign="&amp;H485&amp;"&amp;utm_content="&amp;I485</f>
        <v>https://ai-lens.eu/?utm_source=linkedin_ads&amp;utm_medium=paid_social&amp;utm_campaign=2610_ff_lansare&amp;utm_content=client_general</v>
      </c>
    </row>
    <row r="486" customFormat="false" ht="15" hidden="false" customHeight="false" outlineLevel="0" collapsed="false">
      <c r="A486" s="10" t="s">
        <v>59</v>
      </c>
      <c r="B486" s="10" t="str">
        <f aca="false">INDEX('Site-uri'!$B$2:$B$20,MATCH(A486,'Site-uri'!$A$2:$A$20,0))</f>
        <v>ai-lens.eu</v>
      </c>
      <c r="C486" s="10" t="s">
        <v>122</v>
      </c>
      <c r="D486" s="10" t="s">
        <v>219</v>
      </c>
      <c r="E486" s="10" t="str">
        <f aca="false">INDEX(Canale!$C$2:$C$30,MATCH(C486,Canale!$A$2:$A$30,0))</f>
        <v>linkedin_dm</v>
      </c>
      <c r="F486" s="10" t="str">
        <f aca="false">INDEX(Canale!$D$2:$D$30,MATCH(C486,Canale!$A$2:$A$30,0))</f>
        <v>dm</v>
      </c>
      <c r="G486" s="10" t="str">
        <f aca="false">INDEX('Site-uri'!$C$2:$C$20,MATCH(A486,'Site-uri'!$A$2:$A$20,0))</f>
        <v>/</v>
      </c>
      <c r="H486" s="10" t="str">
        <f aca="false">Config!$B$3</f>
        <v>2610_ff_lansare</v>
      </c>
      <c r="I486" s="10" t="str">
        <f aca="false">D486&amp;"_"&amp;Config!$B$4</f>
        <v>rece_general</v>
      </c>
      <c r="J486" s="10" t="str">
        <f aca="false">"https://"&amp;B486&amp;G486&amp;"?utm_source="&amp;E486&amp;"&amp;utm_medium="&amp;F486&amp;"&amp;utm_campaign="&amp;H486&amp;"&amp;utm_content="&amp;I486</f>
        <v>https://ai-lens.eu/?utm_source=linkedin_dm&amp;utm_medium=dm&amp;utm_campaign=2610_ff_lansare&amp;utm_content=rece_general</v>
      </c>
    </row>
    <row r="487" customFormat="false" ht="15" hidden="false" customHeight="false" outlineLevel="0" collapsed="false">
      <c r="A487" s="10" t="s">
        <v>59</v>
      </c>
      <c r="B487" s="10" t="str">
        <f aca="false">INDEX('Site-uri'!$B$2:$B$20,MATCH(A487,'Site-uri'!$A$2:$A$20,0))</f>
        <v>ai-lens.eu</v>
      </c>
      <c r="C487" s="10" t="s">
        <v>122</v>
      </c>
      <c r="D487" s="10" t="s">
        <v>225</v>
      </c>
      <c r="E487" s="10" t="str">
        <f aca="false">INDEX(Canale!$C$2:$C$30,MATCH(C487,Canale!$A$2:$A$30,0))</f>
        <v>linkedin_dm</v>
      </c>
      <c r="F487" s="10" t="str">
        <f aca="false">INDEX(Canale!$D$2:$D$30,MATCH(C487,Canale!$A$2:$A$30,0))</f>
        <v>dm</v>
      </c>
      <c r="G487" s="10" t="str">
        <f aca="false">INDEX('Site-uri'!$C$2:$C$20,MATCH(A487,'Site-uri'!$A$2:$A$20,0))</f>
        <v>/</v>
      </c>
      <c r="H487" s="10" t="str">
        <f aca="false">Config!$B$3</f>
        <v>2610_ff_lansare</v>
      </c>
      <c r="I487" s="10" t="str">
        <f aca="false">D487&amp;"_"&amp;Config!$B$4</f>
        <v>cald_general</v>
      </c>
      <c r="J487" s="10" t="str">
        <f aca="false">"https://"&amp;B487&amp;G487&amp;"?utm_source="&amp;E487&amp;"&amp;utm_medium="&amp;F487&amp;"&amp;utm_campaign="&amp;H487&amp;"&amp;utm_content="&amp;I487</f>
        <v>https://ai-lens.eu/?utm_source=linkedin_dm&amp;utm_medium=dm&amp;utm_campaign=2610_ff_lansare&amp;utm_content=cald_general</v>
      </c>
    </row>
    <row r="488" customFormat="false" ht="15" hidden="false" customHeight="false" outlineLevel="0" collapsed="false">
      <c r="A488" s="10" t="s">
        <v>59</v>
      </c>
      <c r="B488" s="10" t="str">
        <f aca="false">INDEX('Site-uri'!$B$2:$B$20,MATCH(A488,'Site-uri'!$A$2:$A$20,0))</f>
        <v>ai-lens.eu</v>
      </c>
      <c r="C488" s="10" t="s">
        <v>122</v>
      </c>
      <c r="D488" s="10" t="s">
        <v>231</v>
      </c>
      <c r="E488" s="10" t="str">
        <f aca="false">INDEX(Canale!$C$2:$C$30,MATCH(C488,Canale!$A$2:$A$30,0))</f>
        <v>linkedin_dm</v>
      </c>
      <c r="F488" s="10" t="str">
        <f aca="false">INDEX(Canale!$D$2:$D$30,MATCH(C488,Canale!$A$2:$A$30,0))</f>
        <v>dm</v>
      </c>
      <c r="G488" s="10" t="str">
        <f aca="false">INDEX('Site-uri'!$C$2:$C$20,MATCH(A488,'Site-uri'!$A$2:$A$20,0))</f>
        <v>/</v>
      </c>
      <c r="H488" s="10" t="str">
        <f aca="false">Config!$B$3</f>
        <v>2610_ff_lansare</v>
      </c>
      <c r="I488" s="10" t="str">
        <f aca="false">D488&amp;"_"&amp;Config!$B$4</f>
        <v>fierbinte_general</v>
      </c>
      <c r="J488" s="10" t="str">
        <f aca="false">"https://"&amp;B488&amp;G488&amp;"?utm_source="&amp;E488&amp;"&amp;utm_medium="&amp;F488&amp;"&amp;utm_campaign="&amp;H488&amp;"&amp;utm_content="&amp;I488</f>
        <v>https://ai-lens.eu/?utm_source=linkedin_dm&amp;utm_medium=dm&amp;utm_campaign=2610_ff_lansare&amp;utm_content=fierbinte_general</v>
      </c>
    </row>
    <row r="489" customFormat="false" ht="15" hidden="false" customHeight="false" outlineLevel="0" collapsed="false">
      <c r="A489" s="10" t="s">
        <v>59</v>
      </c>
      <c r="B489" s="10" t="str">
        <f aca="false">INDEX('Site-uri'!$B$2:$B$20,MATCH(A489,'Site-uri'!$A$2:$A$20,0))</f>
        <v>ai-lens.eu</v>
      </c>
      <c r="C489" s="10" t="s">
        <v>122</v>
      </c>
      <c r="D489" s="10" t="s">
        <v>237</v>
      </c>
      <c r="E489" s="10" t="str">
        <f aca="false">INDEX(Canale!$C$2:$C$30,MATCH(C489,Canale!$A$2:$A$30,0))</f>
        <v>linkedin_dm</v>
      </c>
      <c r="F489" s="10" t="str">
        <f aca="false">INDEX(Canale!$D$2:$D$30,MATCH(C489,Canale!$A$2:$A$30,0))</f>
        <v>dm</v>
      </c>
      <c r="G489" s="10" t="str">
        <f aca="false">INDEX('Site-uri'!$C$2:$C$20,MATCH(A489,'Site-uri'!$A$2:$A$20,0))</f>
        <v>/</v>
      </c>
      <c r="H489" s="10" t="str">
        <f aca="false">Config!$B$3</f>
        <v>2610_ff_lansare</v>
      </c>
      <c r="I489" s="10" t="str">
        <f aca="false">D489&amp;"_"&amp;Config!$B$4</f>
        <v>client_general</v>
      </c>
      <c r="J489" s="10" t="str">
        <f aca="false">"https://"&amp;B489&amp;G489&amp;"?utm_source="&amp;E489&amp;"&amp;utm_medium="&amp;F489&amp;"&amp;utm_campaign="&amp;H489&amp;"&amp;utm_content="&amp;I489</f>
        <v>https://ai-lens.eu/?utm_source=linkedin_dm&amp;utm_medium=dm&amp;utm_campaign=2610_ff_lansare&amp;utm_content=client_general</v>
      </c>
    </row>
    <row r="490" customFormat="false" ht="15" hidden="false" customHeight="false" outlineLevel="0" collapsed="false">
      <c r="A490" s="10" t="s">
        <v>59</v>
      </c>
      <c r="B490" s="10" t="str">
        <f aca="false">INDEX('Site-uri'!$B$2:$B$20,MATCH(A490,'Site-uri'!$A$2:$A$20,0))</f>
        <v>ai-lens.eu</v>
      </c>
      <c r="C490" s="10" t="s">
        <v>126</v>
      </c>
      <c r="D490" s="10" t="s">
        <v>219</v>
      </c>
      <c r="E490" s="10" t="str">
        <f aca="false">INDEX(Canale!$C$2:$C$30,MATCH(C490,Canale!$A$2:$A$30,0))</f>
        <v>email_outreach</v>
      </c>
      <c r="F490" s="10" t="str">
        <f aca="false">INDEX(Canale!$D$2:$D$30,MATCH(C490,Canale!$A$2:$A$30,0))</f>
        <v>email</v>
      </c>
      <c r="G490" s="10" t="str">
        <f aca="false">INDEX('Site-uri'!$C$2:$C$20,MATCH(A490,'Site-uri'!$A$2:$A$20,0))</f>
        <v>/</v>
      </c>
      <c r="H490" s="10" t="str">
        <f aca="false">Config!$B$3</f>
        <v>2610_ff_lansare</v>
      </c>
      <c r="I490" s="10" t="str">
        <f aca="false">D490&amp;"_"&amp;Config!$B$4</f>
        <v>rece_general</v>
      </c>
      <c r="J490" s="10" t="str">
        <f aca="false">"https://"&amp;B490&amp;G490&amp;"?utm_source="&amp;E490&amp;"&amp;utm_medium="&amp;F490&amp;"&amp;utm_campaign="&amp;H490&amp;"&amp;utm_content="&amp;I490</f>
        <v>https://ai-lens.eu/?utm_source=email_outreach&amp;utm_medium=email&amp;utm_campaign=2610_ff_lansare&amp;utm_content=rece_general</v>
      </c>
    </row>
    <row r="491" customFormat="false" ht="15" hidden="false" customHeight="false" outlineLevel="0" collapsed="false">
      <c r="A491" s="10" t="s">
        <v>59</v>
      </c>
      <c r="B491" s="10" t="str">
        <f aca="false">INDEX('Site-uri'!$B$2:$B$20,MATCH(A491,'Site-uri'!$A$2:$A$20,0))</f>
        <v>ai-lens.eu</v>
      </c>
      <c r="C491" s="10" t="s">
        <v>126</v>
      </c>
      <c r="D491" s="10" t="s">
        <v>225</v>
      </c>
      <c r="E491" s="10" t="str">
        <f aca="false">INDEX(Canale!$C$2:$C$30,MATCH(C491,Canale!$A$2:$A$30,0))</f>
        <v>email_outreach</v>
      </c>
      <c r="F491" s="10" t="str">
        <f aca="false">INDEX(Canale!$D$2:$D$30,MATCH(C491,Canale!$A$2:$A$30,0))</f>
        <v>email</v>
      </c>
      <c r="G491" s="10" t="str">
        <f aca="false">INDEX('Site-uri'!$C$2:$C$20,MATCH(A491,'Site-uri'!$A$2:$A$20,0))</f>
        <v>/</v>
      </c>
      <c r="H491" s="10" t="str">
        <f aca="false">Config!$B$3</f>
        <v>2610_ff_lansare</v>
      </c>
      <c r="I491" s="10" t="str">
        <f aca="false">D491&amp;"_"&amp;Config!$B$4</f>
        <v>cald_general</v>
      </c>
      <c r="J491" s="10" t="str">
        <f aca="false">"https://"&amp;B491&amp;G491&amp;"?utm_source="&amp;E491&amp;"&amp;utm_medium="&amp;F491&amp;"&amp;utm_campaign="&amp;H491&amp;"&amp;utm_content="&amp;I491</f>
        <v>https://ai-lens.eu/?utm_source=email_outreach&amp;utm_medium=email&amp;utm_campaign=2610_ff_lansare&amp;utm_content=cald_general</v>
      </c>
    </row>
    <row r="492" customFormat="false" ht="15" hidden="false" customHeight="false" outlineLevel="0" collapsed="false">
      <c r="A492" s="10" t="s">
        <v>59</v>
      </c>
      <c r="B492" s="10" t="str">
        <f aca="false">INDEX('Site-uri'!$B$2:$B$20,MATCH(A492,'Site-uri'!$A$2:$A$20,0))</f>
        <v>ai-lens.eu</v>
      </c>
      <c r="C492" s="10" t="s">
        <v>126</v>
      </c>
      <c r="D492" s="10" t="s">
        <v>231</v>
      </c>
      <c r="E492" s="10" t="str">
        <f aca="false">INDEX(Canale!$C$2:$C$30,MATCH(C492,Canale!$A$2:$A$30,0))</f>
        <v>email_outreach</v>
      </c>
      <c r="F492" s="10" t="str">
        <f aca="false">INDEX(Canale!$D$2:$D$30,MATCH(C492,Canale!$A$2:$A$30,0))</f>
        <v>email</v>
      </c>
      <c r="G492" s="10" t="str">
        <f aca="false">INDEX('Site-uri'!$C$2:$C$20,MATCH(A492,'Site-uri'!$A$2:$A$20,0))</f>
        <v>/</v>
      </c>
      <c r="H492" s="10" t="str">
        <f aca="false">Config!$B$3</f>
        <v>2610_ff_lansare</v>
      </c>
      <c r="I492" s="10" t="str">
        <f aca="false">D492&amp;"_"&amp;Config!$B$4</f>
        <v>fierbinte_general</v>
      </c>
      <c r="J492" s="10" t="str">
        <f aca="false">"https://"&amp;B492&amp;G492&amp;"?utm_source="&amp;E492&amp;"&amp;utm_medium="&amp;F492&amp;"&amp;utm_campaign="&amp;H492&amp;"&amp;utm_content="&amp;I492</f>
        <v>https://ai-lens.eu/?utm_source=email_outreach&amp;utm_medium=email&amp;utm_campaign=2610_ff_lansare&amp;utm_content=fierbinte_general</v>
      </c>
    </row>
    <row r="493" customFormat="false" ht="15" hidden="false" customHeight="false" outlineLevel="0" collapsed="false">
      <c r="A493" s="10" t="s">
        <v>59</v>
      </c>
      <c r="B493" s="10" t="str">
        <f aca="false">INDEX('Site-uri'!$B$2:$B$20,MATCH(A493,'Site-uri'!$A$2:$A$20,0))</f>
        <v>ai-lens.eu</v>
      </c>
      <c r="C493" s="10" t="s">
        <v>126</v>
      </c>
      <c r="D493" s="10" t="s">
        <v>237</v>
      </c>
      <c r="E493" s="10" t="str">
        <f aca="false">INDEX(Canale!$C$2:$C$30,MATCH(C493,Canale!$A$2:$A$30,0))</f>
        <v>email_outreach</v>
      </c>
      <c r="F493" s="10" t="str">
        <f aca="false">INDEX(Canale!$D$2:$D$30,MATCH(C493,Canale!$A$2:$A$30,0))</f>
        <v>email</v>
      </c>
      <c r="G493" s="10" t="str">
        <f aca="false">INDEX('Site-uri'!$C$2:$C$20,MATCH(A493,'Site-uri'!$A$2:$A$20,0))</f>
        <v>/</v>
      </c>
      <c r="H493" s="10" t="str">
        <f aca="false">Config!$B$3</f>
        <v>2610_ff_lansare</v>
      </c>
      <c r="I493" s="10" t="str">
        <f aca="false">D493&amp;"_"&amp;Config!$B$4</f>
        <v>client_general</v>
      </c>
      <c r="J493" s="10" t="str">
        <f aca="false">"https://"&amp;B493&amp;G493&amp;"?utm_source="&amp;E493&amp;"&amp;utm_medium="&amp;F493&amp;"&amp;utm_campaign="&amp;H493&amp;"&amp;utm_content="&amp;I493</f>
        <v>https://ai-lens.eu/?utm_source=email_outreach&amp;utm_medium=email&amp;utm_campaign=2610_ff_lansare&amp;utm_content=client_general</v>
      </c>
    </row>
    <row r="494" customFormat="false" ht="15" hidden="false" customHeight="false" outlineLevel="0" collapsed="false">
      <c r="A494" s="10" t="s">
        <v>59</v>
      </c>
      <c r="B494" s="10" t="str">
        <f aca="false">INDEX('Site-uri'!$B$2:$B$20,MATCH(A494,'Site-uri'!$A$2:$A$20,0))</f>
        <v>ai-lens.eu</v>
      </c>
      <c r="C494" s="10" t="s">
        <v>131</v>
      </c>
      <c r="D494" s="10" t="s">
        <v>219</v>
      </c>
      <c r="E494" s="10" t="str">
        <f aca="false">INDEX(Canale!$C$2:$C$30,MATCH(C494,Canale!$A$2:$A$30,0))</f>
        <v>newsletter</v>
      </c>
      <c r="F494" s="10" t="str">
        <f aca="false">INDEX(Canale!$D$2:$D$30,MATCH(C494,Canale!$A$2:$A$30,0))</f>
        <v>email</v>
      </c>
      <c r="G494" s="10" t="str">
        <f aca="false">INDEX('Site-uri'!$C$2:$C$20,MATCH(A494,'Site-uri'!$A$2:$A$20,0))</f>
        <v>/</v>
      </c>
      <c r="H494" s="10" t="str">
        <f aca="false">Config!$B$3</f>
        <v>2610_ff_lansare</v>
      </c>
      <c r="I494" s="10" t="str">
        <f aca="false">D494&amp;"_"&amp;Config!$B$4</f>
        <v>rece_general</v>
      </c>
      <c r="J494" s="10" t="str">
        <f aca="false">"https://"&amp;B494&amp;G494&amp;"?utm_source="&amp;E494&amp;"&amp;utm_medium="&amp;F494&amp;"&amp;utm_campaign="&amp;H494&amp;"&amp;utm_content="&amp;I494</f>
        <v>https://ai-lens.eu/?utm_source=newsletter&amp;utm_medium=email&amp;utm_campaign=2610_ff_lansare&amp;utm_content=rece_general</v>
      </c>
    </row>
    <row r="495" customFormat="false" ht="15" hidden="false" customHeight="false" outlineLevel="0" collapsed="false">
      <c r="A495" s="10" t="s">
        <v>59</v>
      </c>
      <c r="B495" s="10" t="str">
        <f aca="false">INDEX('Site-uri'!$B$2:$B$20,MATCH(A495,'Site-uri'!$A$2:$A$20,0))</f>
        <v>ai-lens.eu</v>
      </c>
      <c r="C495" s="10" t="s">
        <v>131</v>
      </c>
      <c r="D495" s="10" t="s">
        <v>225</v>
      </c>
      <c r="E495" s="10" t="str">
        <f aca="false">INDEX(Canale!$C$2:$C$30,MATCH(C495,Canale!$A$2:$A$30,0))</f>
        <v>newsletter</v>
      </c>
      <c r="F495" s="10" t="str">
        <f aca="false">INDEX(Canale!$D$2:$D$30,MATCH(C495,Canale!$A$2:$A$30,0))</f>
        <v>email</v>
      </c>
      <c r="G495" s="10" t="str">
        <f aca="false">INDEX('Site-uri'!$C$2:$C$20,MATCH(A495,'Site-uri'!$A$2:$A$20,0))</f>
        <v>/</v>
      </c>
      <c r="H495" s="10" t="str">
        <f aca="false">Config!$B$3</f>
        <v>2610_ff_lansare</v>
      </c>
      <c r="I495" s="10" t="str">
        <f aca="false">D495&amp;"_"&amp;Config!$B$4</f>
        <v>cald_general</v>
      </c>
      <c r="J495" s="10" t="str">
        <f aca="false">"https://"&amp;B495&amp;G495&amp;"?utm_source="&amp;E495&amp;"&amp;utm_medium="&amp;F495&amp;"&amp;utm_campaign="&amp;H495&amp;"&amp;utm_content="&amp;I495</f>
        <v>https://ai-lens.eu/?utm_source=newsletter&amp;utm_medium=email&amp;utm_campaign=2610_ff_lansare&amp;utm_content=cald_general</v>
      </c>
    </row>
    <row r="496" customFormat="false" ht="15" hidden="false" customHeight="false" outlineLevel="0" collapsed="false">
      <c r="A496" s="10" t="s">
        <v>59</v>
      </c>
      <c r="B496" s="10" t="str">
        <f aca="false">INDEX('Site-uri'!$B$2:$B$20,MATCH(A496,'Site-uri'!$A$2:$A$20,0))</f>
        <v>ai-lens.eu</v>
      </c>
      <c r="C496" s="10" t="s">
        <v>131</v>
      </c>
      <c r="D496" s="10" t="s">
        <v>231</v>
      </c>
      <c r="E496" s="10" t="str">
        <f aca="false">INDEX(Canale!$C$2:$C$30,MATCH(C496,Canale!$A$2:$A$30,0))</f>
        <v>newsletter</v>
      </c>
      <c r="F496" s="10" t="str">
        <f aca="false">INDEX(Canale!$D$2:$D$30,MATCH(C496,Canale!$A$2:$A$30,0))</f>
        <v>email</v>
      </c>
      <c r="G496" s="10" t="str">
        <f aca="false">INDEX('Site-uri'!$C$2:$C$20,MATCH(A496,'Site-uri'!$A$2:$A$20,0))</f>
        <v>/</v>
      </c>
      <c r="H496" s="10" t="str">
        <f aca="false">Config!$B$3</f>
        <v>2610_ff_lansare</v>
      </c>
      <c r="I496" s="10" t="str">
        <f aca="false">D496&amp;"_"&amp;Config!$B$4</f>
        <v>fierbinte_general</v>
      </c>
      <c r="J496" s="10" t="str">
        <f aca="false">"https://"&amp;B496&amp;G496&amp;"?utm_source="&amp;E496&amp;"&amp;utm_medium="&amp;F496&amp;"&amp;utm_campaign="&amp;H496&amp;"&amp;utm_content="&amp;I496</f>
        <v>https://ai-lens.eu/?utm_source=newsletter&amp;utm_medium=email&amp;utm_campaign=2610_ff_lansare&amp;utm_content=fierbinte_general</v>
      </c>
    </row>
    <row r="497" customFormat="false" ht="15" hidden="false" customHeight="false" outlineLevel="0" collapsed="false">
      <c r="A497" s="10" t="s">
        <v>59</v>
      </c>
      <c r="B497" s="10" t="str">
        <f aca="false">INDEX('Site-uri'!$B$2:$B$20,MATCH(A497,'Site-uri'!$A$2:$A$20,0))</f>
        <v>ai-lens.eu</v>
      </c>
      <c r="C497" s="10" t="s">
        <v>131</v>
      </c>
      <c r="D497" s="10" t="s">
        <v>237</v>
      </c>
      <c r="E497" s="10" t="str">
        <f aca="false">INDEX(Canale!$C$2:$C$30,MATCH(C497,Canale!$A$2:$A$30,0))</f>
        <v>newsletter</v>
      </c>
      <c r="F497" s="10" t="str">
        <f aca="false">INDEX(Canale!$D$2:$D$30,MATCH(C497,Canale!$A$2:$A$30,0))</f>
        <v>email</v>
      </c>
      <c r="G497" s="10" t="str">
        <f aca="false">INDEX('Site-uri'!$C$2:$C$20,MATCH(A497,'Site-uri'!$A$2:$A$20,0))</f>
        <v>/</v>
      </c>
      <c r="H497" s="10" t="str">
        <f aca="false">Config!$B$3</f>
        <v>2610_ff_lansare</v>
      </c>
      <c r="I497" s="10" t="str">
        <f aca="false">D497&amp;"_"&amp;Config!$B$4</f>
        <v>client_general</v>
      </c>
      <c r="J497" s="10" t="str">
        <f aca="false">"https://"&amp;B497&amp;G497&amp;"?utm_source="&amp;E497&amp;"&amp;utm_medium="&amp;F497&amp;"&amp;utm_campaign="&amp;H497&amp;"&amp;utm_content="&amp;I497</f>
        <v>https://ai-lens.eu/?utm_source=newsletter&amp;utm_medium=email&amp;utm_campaign=2610_ff_lansare&amp;utm_content=client_general</v>
      </c>
    </row>
    <row r="498" customFormat="false" ht="15" hidden="false" customHeight="false" outlineLevel="0" collapsed="false">
      <c r="A498" s="10" t="s">
        <v>59</v>
      </c>
      <c r="B498" s="10" t="str">
        <f aca="false">INDEX('Site-uri'!$B$2:$B$20,MATCH(A498,'Site-uri'!$A$2:$A$20,0))</f>
        <v>ai-lens.eu</v>
      </c>
      <c r="C498" s="10" t="s">
        <v>134</v>
      </c>
      <c r="D498" s="10" t="s">
        <v>219</v>
      </c>
      <c r="E498" s="10" t="str">
        <f aca="false">INDEX(Canale!$C$2:$C$30,MATCH(C498,Canale!$A$2:$A$30,0))</f>
        <v>email_signature</v>
      </c>
      <c r="F498" s="10" t="str">
        <f aca="false">INDEX(Canale!$D$2:$D$30,MATCH(C498,Canale!$A$2:$A$30,0))</f>
        <v>email</v>
      </c>
      <c r="G498" s="10" t="str">
        <f aca="false">INDEX('Site-uri'!$C$2:$C$20,MATCH(A498,'Site-uri'!$A$2:$A$20,0))</f>
        <v>/</v>
      </c>
      <c r="H498" s="10" t="str">
        <f aca="false">Config!$B$3</f>
        <v>2610_ff_lansare</v>
      </c>
      <c r="I498" s="10" t="str">
        <f aca="false">D498&amp;"_"&amp;Config!$B$4</f>
        <v>rece_general</v>
      </c>
      <c r="J498" s="10" t="str">
        <f aca="false">"https://"&amp;B498&amp;G498&amp;"?utm_source="&amp;E498&amp;"&amp;utm_medium="&amp;F498&amp;"&amp;utm_campaign="&amp;H498&amp;"&amp;utm_content="&amp;I498</f>
        <v>https://ai-lens.eu/?utm_source=email_signature&amp;utm_medium=email&amp;utm_campaign=2610_ff_lansare&amp;utm_content=rece_general</v>
      </c>
    </row>
    <row r="499" customFormat="false" ht="15" hidden="false" customHeight="false" outlineLevel="0" collapsed="false">
      <c r="A499" s="10" t="s">
        <v>59</v>
      </c>
      <c r="B499" s="10" t="str">
        <f aca="false">INDEX('Site-uri'!$B$2:$B$20,MATCH(A499,'Site-uri'!$A$2:$A$20,0))</f>
        <v>ai-lens.eu</v>
      </c>
      <c r="C499" s="10" t="s">
        <v>134</v>
      </c>
      <c r="D499" s="10" t="s">
        <v>225</v>
      </c>
      <c r="E499" s="10" t="str">
        <f aca="false">INDEX(Canale!$C$2:$C$30,MATCH(C499,Canale!$A$2:$A$30,0))</f>
        <v>email_signature</v>
      </c>
      <c r="F499" s="10" t="str">
        <f aca="false">INDEX(Canale!$D$2:$D$30,MATCH(C499,Canale!$A$2:$A$30,0))</f>
        <v>email</v>
      </c>
      <c r="G499" s="10" t="str">
        <f aca="false">INDEX('Site-uri'!$C$2:$C$20,MATCH(A499,'Site-uri'!$A$2:$A$20,0))</f>
        <v>/</v>
      </c>
      <c r="H499" s="10" t="str">
        <f aca="false">Config!$B$3</f>
        <v>2610_ff_lansare</v>
      </c>
      <c r="I499" s="10" t="str">
        <f aca="false">D499&amp;"_"&amp;Config!$B$4</f>
        <v>cald_general</v>
      </c>
      <c r="J499" s="10" t="str">
        <f aca="false">"https://"&amp;B499&amp;G499&amp;"?utm_source="&amp;E499&amp;"&amp;utm_medium="&amp;F499&amp;"&amp;utm_campaign="&amp;H499&amp;"&amp;utm_content="&amp;I499</f>
        <v>https://ai-lens.eu/?utm_source=email_signature&amp;utm_medium=email&amp;utm_campaign=2610_ff_lansare&amp;utm_content=cald_general</v>
      </c>
    </row>
    <row r="500" customFormat="false" ht="15" hidden="false" customHeight="false" outlineLevel="0" collapsed="false">
      <c r="A500" s="10" t="s">
        <v>59</v>
      </c>
      <c r="B500" s="10" t="str">
        <f aca="false">INDEX('Site-uri'!$B$2:$B$20,MATCH(A500,'Site-uri'!$A$2:$A$20,0))</f>
        <v>ai-lens.eu</v>
      </c>
      <c r="C500" s="10" t="s">
        <v>134</v>
      </c>
      <c r="D500" s="10" t="s">
        <v>231</v>
      </c>
      <c r="E500" s="10" t="str">
        <f aca="false">INDEX(Canale!$C$2:$C$30,MATCH(C500,Canale!$A$2:$A$30,0))</f>
        <v>email_signature</v>
      </c>
      <c r="F500" s="10" t="str">
        <f aca="false">INDEX(Canale!$D$2:$D$30,MATCH(C500,Canale!$A$2:$A$30,0))</f>
        <v>email</v>
      </c>
      <c r="G500" s="10" t="str">
        <f aca="false">INDEX('Site-uri'!$C$2:$C$20,MATCH(A500,'Site-uri'!$A$2:$A$20,0))</f>
        <v>/</v>
      </c>
      <c r="H500" s="10" t="str">
        <f aca="false">Config!$B$3</f>
        <v>2610_ff_lansare</v>
      </c>
      <c r="I500" s="10" t="str">
        <f aca="false">D500&amp;"_"&amp;Config!$B$4</f>
        <v>fierbinte_general</v>
      </c>
      <c r="J500" s="10" t="str">
        <f aca="false">"https://"&amp;B500&amp;G500&amp;"?utm_source="&amp;E500&amp;"&amp;utm_medium="&amp;F500&amp;"&amp;utm_campaign="&amp;H500&amp;"&amp;utm_content="&amp;I500</f>
        <v>https://ai-lens.eu/?utm_source=email_signature&amp;utm_medium=email&amp;utm_campaign=2610_ff_lansare&amp;utm_content=fierbinte_general</v>
      </c>
    </row>
    <row r="501" customFormat="false" ht="15" hidden="false" customHeight="false" outlineLevel="0" collapsed="false">
      <c r="A501" s="10" t="s">
        <v>59</v>
      </c>
      <c r="B501" s="10" t="str">
        <f aca="false">INDEX('Site-uri'!$B$2:$B$20,MATCH(A501,'Site-uri'!$A$2:$A$20,0))</f>
        <v>ai-lens.eu</v>
      </c>
      <c r="C501" s="10" t="s">
        <v>134</v>
      </c>
      <c r="D501" s="10" t="s">
        <v>237</v>
      </c>
      <c r="E501" s="10" t="str">
        <f aca="false">INDEX(Canale!$C$2:$C$30,MATCH(C501,Canale!$A$2:$A$30,0))</f>
        <v>email_signature</v>
      </c>
      <c r="F501" s="10" t="str">
        <f aca="false">INDEX(Canale!$D$2:$D$30,MATCH(C501,Canale!$A$2:$A$30,0))</f>
        <v>email</v>
      </c>
      <c r="G501" s="10" t="str">
        <f aca="false">INDEX('Site-uri'!$C$2:$C$20,MATCH(A501,'Site-uri'!$A$2:$A$20,0))</f>
        <v>/</v>
      </c>
      <c r="H501" s="10" t="str">
        <f aca="false">Config!$B$3</f>
        <v>2610_ff_lansare</v>
      </c>
      <c r="I501" s="10" t="str">
        <f aca="false">D501&amp;"_"&amp;Config!$B$4</f>
        <v>client_general</v>
      </c>
      <c r="J501" s="10" t="str">
        <f aca="false">"https://"&amp;B501&amp;G501&amp;"?utm_source="&amp;E501&amp;"&amp;utm_medium="&amp;F501&amp;"&amp;utm_campaign="&amp;H501&amp;"&amp;utm_content="&amp;I501</f>
        <v>https://ai-lens.eu/?utm_source=email_signature&amp;utm_medium=email&amp;utm_campaign=2610_ff_lansare&amp;utm_content=client_general</v>
      </c>
    </row>
    <row r="502" customFormat="false" ht="15" hidden="false" customHeight="false" outlineLevel="0" collapsed="false">
      <c r="A502" s="10" t="s">
        <v>59</v>
      </c>
      <c r="B502" s="10" t="str">
        <f aca="false">INDEX('Site-uri'!$B$2:$B$20,MATCH(A502,'Site-uri'!$A$2:$A$20,0))</f>
        <v>ai-lens.eu</v>
      </c>
      <c r="C502" s="10" t="s">
        <v>137</v>
      </c>
      <c r="D502" s="10" t="s">
        <v>219</v>
      </c>
      <c r="E502" s="10" t="str">
        <f aca="false">INDEX(Canale!$C$2:$C$30,MATCH(C502,Canale!$A$2:$A$30,0))</f>
        <v>whatsapp</v>
      </c>
      <c r="F502" s="10" t="str">
        <f aca="false">INDEX(Canale!$D$2:$D$30,MATCH(C502,Canale!$A$2:$A$30,0))</f>
        <v>dm</v>
      </c>
      <c r="G502" s="10" t="str">
        <f aca="false">INDEX('Site-uri'!$C$2:$C$20,MATCH(A502,'Site-uri'!$A$2:$A$20,0))</f>
        <v>/</v>
      </c>
      <c r="H502" s="10" t="str">
        <f aca="false">Config!$B$3</f>
        <v>2610_ff_lansare</v>
      </c>
      <c r="I502" s="10" t="str">
        <f aca="false">D502&amp;"_"&amp;Config!$B$4</f>
        <v>rece_general</v>
      </c>
      <c r="J502" s="10" t="str">
        <f aca="false">"https://"&amp;B502&amp;G502&amp;"?utm_source="&amp;E502&amp;"&amp;utm_medium="&amp;F502&amp;"&amp;utm_campaign="&amp;H502&amp;"&amp;utm_content="&amp;I502</f>
        <v>https://ai-lens.eu/?utm_source=whatsapp&amp;utm_medium=dm&amp;utm_campaign=2610_ff_lansare&amp;utm_content=rece_general</v>
      </c>
    </row>
    <row r="503" customFormat="false" ht="15" hidden="false" customHeight="false" outlineLevel="0" collapsed="false">
      <c r="A503" s="10" t="s">
        <v>59</v>
      </c>
      <c r="B503" s="10" t="str">
        <f aca="false">INDEX('Site-uri'!$B$2:$B$20,MATCH(A503,'Site-uri'!$A$2:$A$20,0))</f>
        <v>ai-lens.eu</v>
      </c>
      <c r="C503" s="10" t="s">
        <v>137</v>
      </c>
      <c r="D503" s="10" t="s">
        <v>225</v>
      </c>
      <c r="E503" s="10" t="str">
        <f aca="false">INDEX(Canale!$C$2:$C$30,MATCH(C503,Canale!$A$2:$A$30,0))</f>
        <v>whatsapp</v>
      </c>
      <c r="F503" s="10" t="str">
        <f aca="false">INDEX(Canale!$D$2:$D$30,MATCH(C503,Canale!$A$2:$A$30,0))</f>
        <v>dm</v>
      </c>
      <c r="G503" s="10" t="str">
        <f aca="false">INDEX('Site-uri'!$C$2:$C$20,MATCH(A503,'Site-uri'!$A$2:$A$20,0))</f>
        <v>/</v>
      </c>
      <c r="H503" s="10" t="str">
        <f aca="false">Config!$B$3</f>
        <v>2610_ff_lansare</v>
      </c>
      <c r="I503" s="10" t="str">
        <f aca="false">D503&amp;"_"&amp;Config!$B$4</f>
        <v>cald_general</v>
      </c>
      <c r="J503" s="10" t="str">
        <f aca="false">"https://"&amp;B503&amp;G503&amp;"?utm_source="&amp;E503&amp;"&amp;utm_medium="&amp;F503&amp;"&amp;utm_campaign="&amp;H503&amp;"&amp;utm_content="&amp;I503</f>
        <v>https://ai-lens.eu/?utm_source=whatsapp&amp;utm_medium=dm&amp;utm_campaign=2610_ff_lansare&amp;utm_content=cald_general</v>
      </c>
    </row>
    <row r="504" customFormat="false" ht="15" hidden="false" customHeight="false" outlineLevel="0" collapsed="false">
      <c r="A504" s="10" t="s">
        <v>59</v>
      </c>
      <c r="B504" s="10" t="str">
        <f aca="false">INDEX('Site-uri'!$B$2:$B$20,MATCH(A504,'Site-uri'!$A$2:$A$20,0))</f>
        <v>ai-lens.eu</v>
      </c>
      <c r="C504" s="10" t="s">
        <v>137</v>
      </c>
      <c r="D504" s="10" t="s">
        <v>231</v>
      </c>
      <c r="E504" s="10" t="str">
        <f aca="false">INDEX(Canale!$C$2:$C$30,MATCH(C504,Canale!$A$2:$A$30,0))</f>
        <v>whatsapp</v>
      </c>
      <c r="F504" s="10" t="str">
        <f aca="false">INDEX(Canale!$D$2:$D$30,MATCH(C504,Canale!$A$2:$A$30,0))</f>
        <v>dm</v>
      </c>
      <c r="G504" s="10" t="str">
        <f aca="false">INDEX('Site-uri'!$C$2:$C$20,MATCH(A504,'Site-uri'!$A$2:$A$20,0))</f>
        <v>/</v>
      </c>
      <c r="H504" s="10" t="str">
        <f aca="false">Config!$B$3</f>
        <v>2610_ff_lansare</v>
      </c>
      <c r="I504" s="10" t="str">
        <f aca="false">D504&amp;"_"&amp;Config!$B$4</f>
        <v>fierbinte_general</v>
      </c>
      <c r="J504" s="10" t="str">
        <f aca="false">"https://"&amp;B504&amp;G504&amp;"?utm_source="&amp;E504&amp;"&amp;utm_medium="&amp;F504&amp;"&amp;utm_campaign="&amp;H504&amp;"&amp;utm_content="&amp;I504</f>
        <v>https://ai-lens.eu/?utm_source=whatsapp&amp;utm_medium=dm&amp;utm_campaign=2610_ff_lansare&amp;utm_content=fierbinte_general</v>
      </c>
    </row>
    <row r="505" customFormat="false" ht="15" hidden="false" customHeight="false" outlineLevel="0" collapsed="false">
      <c r="A505" s="10" t="s">
        <v>59</v>
      </c>
      <c r="B505" s="10" t="str">
        <f aca="false">INDEX('Site-uri'!$B$2:$B$20,MATCH(A505,'Site-uri'!$A$2:$A$20,0))</f>
        <v>ai-lens.eu</v>
      </c>
      <c r="C505" s="10" t="s">
        <v>137</v>
      </c>
      <c r="D505" s="10" t="s">
        <v>237</v>
      </c>
      <c r="E505" s="10" t="str">
        <f aca="false">INDEX(Canale!$C$2:$C$30,MATCH(C505,Canale!$A$2:$A$30,0))</f>
        <v>whatsapp</v>
      </c>
      <c r="F505" s="10" t="str">
        <f aca="false">INDEX(Canale!$D$2:$D$30,MATCH(C505,Canale!$A$2:$A$30,0))</f>
        <v>dm</v>
      </c>
      <c r="G505" s="10" t="str">
        <f aca="false">INDEX('Site-uri'!$C$2:$C$20,MATCH(A505,'Site-uri'!$A$2:$A$20,0))</f>
        <v>/</v>
      </c>
      <c r="H505" s="10" t="str">
        <f aca="false">Config!$B$3</f>
        <v>2610_ff_lansare</v>
      </c>
      <c r="I505" s="10" t="str">
        <f aca="false">D505&amp;"_"&amp;Config!$B$4</f>
        <v>client_general</v>
      </c>
      <c r="J505" s="10" t="str">
        <f aca="false">"https://"&amp;B505&amp;G505&amp;"?utm_source="&amp;E505&amp;"&amp;utm_medium="&amp;F505&amp;"&amp;utm_campaign="&amp;H505&amp;"&amp;utm_content="&amp;I505</f>
        <v>https://ai-lens.eu/?utm_source=whatsapp&amp;utm_medium=dm&amp;utm_campaign=2610_ff_lansare&amp;utm_content=client_general</v>
      </c>
    </row>
    <row r="506" customFormat="false" ht="15" hidden="false" customHeight="false" outlineLevel="0" collapsed="false">
      <c r="A506" s="10" t="s">
        <v>59</v>
      </c>
      <c r="B506" s="10" t="str">
        <f aca="false">INDEX('Site-uri'!$B$2:$B$20,MATCH(A506,'Site-uri'!$A$2:$A$20,0))</f>
        <v>ai-lens.eu</v>
      </c>
      <c r="C506" s="10" t="s">
        <v>141</v>
      </c>
      <c r="D506" s="10" t="s">
        <v>219</v>
      </c>
      <c r="E506" s="10" t="str">
        <f aca="false">INDEX(Canale!$C$2:$C$30,MATCH(C506,Canale!$A$2:$A$30,0))</f>
        <v>google</v>
      </c>
      <c r="F506" s="10" t="str">
        <f aca="false">INDEX(Canale!$D$2:$D$30,MATCH(C506,Canale!$A$2:$A$30,0))</f>
        <v>cpc</v>
      </c>
      <c r="G506" s="10" t="str">
        <f aca="false">INDEX('Site-uri'!$C$2:$C$20,MATCH(A506,'Site-uri'!$A$2:$A$20,0))</f>
        <v>/</v>
      </c>
      <c r="H506" s="10" t="str">
        <f aca="false">Config!$B$3</f>
        <v>2610_ff_lansare</v>
      </c>
      <c r="I506" s="10" t="str">
        <f aca="false">D506&amp;"_"&amp;Config!$B$4</f>
        <v>rece_general</v>
      </c>
      <c r="J506" s="10" t="str">
        <f aca="false">"https://"&amp;B506&amp;G506&amp;"?utm_source="&amp;E506&amp;"&amp;utm_medium="&amp;F506&amp;"&amp;utm_campaign="&amp;H506&amp;"&amp;utm_content="&amp;I506</f>
        <v>https://ai-lens.eu/?utm_source=google&amp;utm_medium=cpc&amp;utm_campaign=2610_ff_lansare&amp;utm_content=rece_general</v>
      </c>
    </row>
    <row r="507" customFormat="false" ht="15" hidden="false" customHeight="false" outlineLevel="0" collapsed="false">
      <c r="A507" s="10" t="s">
        <v>59</v>
      </c>
      <c r="B507" s="10" t="str">
        <f aca="false">INDEX('Site-uri'!$B$2:$B$20,MATCH(A507,'Site-uri'!$A$2:$A$20,0))</f>
        <v>ai-lens.eu</v>
      </c>
      <c r="C507" s="10" t="s">
        <v>141</v>
      </c>
      <c r="D507" s="10" t="s">
        <v>225</v>
      </c>
      <c r="E507" s="10" t="str">
        <f aca="false">INDEX(Canale!$C$2:$C$30,MATCH(C507,Canale!$A$2:$A$30,0))</f>
        <v>google</v>
      </c>
      <c r="F507" s="10" t="str">
        <f aca="false">INDEX(Canale!$D$2:$D$30,MATCH(C507,Canale!$A$2:$A$30,0))</f>
        <v>cpc</v>
      </c>
      <c r="G507" s="10" t="str">
        <f aca="false">INDEX('Site-uri'!$C$2:$C$20,MATCH(A507,'Site-uri'!$A$2:$A$20,0))</f>
        <v>/</v>
      </c>
      <c r="H507" s="10" t="str">
        <f aca="false">Config!$B$3</f>
        <v>2610_ff_lansare</v>
      </c>
      <c r="I507" s="10" t="str">
        <f aca="false">D507&amp;"_"&amp;Config!$B$4</f>
        <v>cald_general</v>
      </c>
      <c r="J507" s="10" t="str">
        <f aca="false">"https://"&amp;B507&amp;G507&amp;"?utm_source="&amp;E507&amp;"&amp;utm_medium="&amp;F507&amp;"&amp;utm_campaign="&amp;H507&amp;"&amp;utm_content="&amp;I507</f>
        <v>https://ai-lens.eu/?utm_source=google&amp;utm_medium=cpc&amp;utm_campaign=2610_ff_lansare&amp;utm_content=cald_general</v>
      </c>
    </row>
    <row r="508" customFormat="false" ht="15" hidden="false" customHeight="false" outlineLevel="0" collapsed="false">
      <c r="A508" s="10" t="s">
        <v>59</v>
      </c>
      <c r="B508" s="10" t="str">
        <f aca="false">INDEX('Site-uri'!$B$2:$B$20,MATCH(A508,'Site-uri'!$A$2:$A$20,0))</f>
        <v>ai-lens.eu</v>
      </c>
      <c r="C508" s="10" t="s">
        <v>141</v>
      </c>
      <c r="D508" s="10" t="s">
        <v>231</v>
      </c>
      <c r="E508" s="10" t="str">
        <f aca="false">INDEX(Canale!$C$2:$C$30,MATCH(C508,Canale!$A$2:$A$30,0))</f>
        <v>google</v>
      </c>
      <c r="F508" s="10" t="str">
        <f aca="false">INDEX(Canale!$D$2:$D$30,MATCH(C508,Canale!$A$2:$A$30,0))</f>
        <v>cpc</v>
      </c>
      <c r="G508" s="10" t="str">
        <f aca="false">INDEX('Site-uri'!$C$2:$C$20,MATCH(A508,'Site-uri'!$A$2:$A$20,0))</f>
        <v>/</v>
      </c>
      <c r="H508" s="10" t="str">
        <f aca="false">Config!$B$3</f>
        <v>2610_ff_lansare</v>
      </c>
      <c r="I508" s="10" t="str">
        <f aca="false">D508&amp;"_"&amp;Config!$B$4</f>
        <v>fierbinte_general</v>
      </c>
      <c r="J508" s="10" t="str">
        <f aca="false">"https://"&amp;B508&amp;G508&amp;"?utm_source="&amp;E508&amp;"&amp;utm_medium="&amp;F508&amp;"&amp;utm_campaign="&amp;H508&amp;"&amp;utm_content="&amp;I508</f>
        <v>https://ai-lens.eu/?utm_source=google&amp;utm_medium=cpc&amp;utm_campaign=2610_ff_lansare&amp;utm_content=fierbinte_general</v>
      </c>
    </row>
    <row r="509" customFormat="false" ht="15" hidden="false" customHeight="false" outlineLevel="0" collapsed="false">
      <c r="A509" s="10" t="s">
        <v>59</v>
      </c>
      <c r="B509" s="10" t="str">
        <f aca="false">INDEX('Site-uri'!$B$2:$B$20,MATCH(A509,'Site-uri'!$A$2:$A$20,0))</f>
        <v>ai-lens.eu</v>
      </c>
      <c r="C509" s="10" t="s">
        <v>141</v>
      </c>
      <c r="D509" s="10" t="s">
        <v>237</v>
      </c>
      <c r="E509" s="10" t="str">
        <f aca="false">INDEX(Canale!$C$2:$C$30,MATCH(C509,Canale!$A$2:$A$30,0))</f>
        <v>google</v>
      </c>
      <c r="F509" s="10" t="str">
        <f aca="false">INDEX(Canale!$D$2:$D$30,MATCH(C509,Canale!$A$2:$A$30,0))</f>
        <v>cpc</v>
      </c>
      <c r="G509" s="10" t="str">
        <f aca="false">INDEX('Site-uri'!$C$2:$C$20,MATCH(A509,'Site-uri'!$A$2:$A$20,0))</f>
        <v>/</v>
      </c>
      <c r="H509" s="10" t="str">
        <f aca="false">Config!$B$3</f>
        <v>2610_ff_lansare</v>
      </c>
      <c r="I509" s="10" t="str">
        <f aca="false">D509&amp;"_"&amp;Config!$B$4</f>
        <v>client_general</v>
      </c>
      <c r="J509" s="10" t="str">
        <f aca="false">"https://"&amp;B509&amp;G509&amp;"?utm_source="&amp;E509&amp;"&amp;utm_medium="&amp;F509&amp;"&amp;utm_campaign="&amp;H509&amp;"&amp;utm_content="&amp;I509</f>
        <v>https://ai-lens.eu/?utm_source=google&amp;utm_medium=cpc&amp;utm_campaign=2610_ff_lansare&amp;utm_content=client_general</v>
      </c>
    </row>
    <row r="510" customFormat="false" ht="15" hidden="false" customHeight="false" outlineLevel="0" collapsed="false">
      <c r="A510" s="10" t="s">
        <v>59</v>
      </c>
      <c r="B510" s="10" t="str">
        <f aca="false">INDEX('Site-uri'!$B$2:$B$20,MATCH(A510,'Site-uri'!$A$2:$A$20,0))</f>
        <v>ai-lens.eu</v>
      </c>
      <c r="C510" s="10" t="s">
        <v>146</v>
      </c>
      <c r="D510" s="10" t="s">
        <v>219</v>
      </c>
      <c r="E510" s="10" t="str">
        <f aca="false">INDEX(Canale!$C$2:$C$30,MATCH(C510,Canale!$A$2:$A$30,0))</f>
        <v>bing</v>
      </c>
      <c r="F510" s="10" t="str">
        <f aca="false">INDEX(Canale!$D$2:$D$30,MATCH(C510,Canale!$A$2:$A$30,0))</f>
        <v>cpc</v>
      </c>
      <c r="G510" s="10" t="str">
        <f aca="false">INDEX('Site-uri'!$C$2:$C$20,MATCH(A510,'Site-uri'!$A$2:$A$20,0))</f>
        <v>/</v>
      </c>
      <c r="H510" s="10" t="str">
        <f aca="false">Config!$B$3</f>
        <v>2610_ff_lansare</v>
      </c>
      <c r="I510" s="10" t="str">
        <f aca="false">D510&amp;"_"&amp;Config!$B$4</f>
        <v>rece_general</v>
      </c>
      <c r="J510" s="10" t="str">
        <f aca="false">"https://"&amp;B510&amp;G510&amp;"?utm_source="&amp;E510&amp;"&amp;utm_medium="&amp;F510&amp;"&amp;utm_campaign="&amp;H510&amp;"&amp;utm_content="&amp;I510</f>
        <v>https://ai-lens.eu/?utm_source=bing&amp;utm_medium=cpc&amp;utm_campaign=2610_ff_lansare&amp;utm_content=rece_general</v>
      </c>
    </row>
    <row r="511" customFormat="false" ht="15" hidden="false" customHeight="false" outlineLevel="0" collapsed="false">
      <c r="A511" s="10" t="s">
        <v>59</v>
      </c>
      <c r="B511" s="10" t="str">
        <f aca="false">INDEX('Site-uri'!$B$2:$B$20,MATCH(A511,'Site-uri'!$A$2:$A$20,0))</f>
        <v>ai-lens.eu</v>
      </c>
      <c r="C511" s="10" t="s">
        <v>146</v>
      </c>
      <c r="D511" s="10" t="s">
        <v>225</v>
      </c>
      <c r="E511" s="10" t="str">
        <f aca="false">INDEX(Canale!$C$2:$C$30,MATCH(C511,Canale!$A$2:$A$30,0))</f>
        <v>bing</v>
      </c>
      <c r="F511" s="10" t="str">
        <f aca="false">INDEX(Canale!$D$2:$D$30,MATCH(C511,Canale!$A$2:$A$30,0))</f>
        <v>cpc</v>
      </c>
      <c r="G511" s="10" t="str">
        <f aca="false">INDEX('Site-uri'!$C$2:$C$20,MATCH(A511,'Site-uri'!$A$2:$A$20,0))</f>
        <v>/</v>
      </c>
      <c r="H511" s="10" t="str">
        <f aca="false">Config!$B$3</f>
        <v>2610_ff_lansare</v>
      </c>
      <c r="I511" s="10" t="str">
        <f aca="false">D511&amp;"_"&amp;Config!$B$4</f>
        <v>cald_general</v>
      </c>
      <c r="J511" s="10" t="str">
        <f aca="false">"https://"&amp;B511&amp;G511&amp;"?utm_source="&amp;E511&amp;"&amp;utm_medium="&amp;F511&amp;"&amp;utm_campaign="&amp;H511&amp;"&amp;utm_content="&amp;I511</f>
        <v>https://ai-lens.eu/?utm_source=bing&amp;utm_medium=cpc&amp;utm_campaign=2610_ff_lansare&amp;utm_content=cald_general</v>
      </c>
    </row>
    <row r="512" customFormat="false" ht="15" hidden="false" customHeight="false" outlineLevel="0" collapsed="false">
      <c r="A512" s="10" t="s">
        <v>59</v>
      </c>
      <c r="B512" s="10" t="str">
        <f aca="false">INDEX('Site-uri'!$B$2:$B$20,MATCH(A512,'Site-uri'!$A$2:$A$20,0))</f>
        <v>ai-lens.eu</v>
      </c>
      <c r="C512" s="10" t="s">
        <v>146</v>
      </c>
      <c r="D512" s="10" t="s">
        <v>231</v>
      </c>
      <c r="E512" s="10" t="str">
        <f aca="false">INDEX(Canale!$C$2:$C$30,MATCH(C512,Canale!$A$2:$A$30,0))</f>
        <v>bing</v>
      </c>
      <c r="F512" s="10" t="str">
        <f aca="false">INDEX(Canale!$D$2:$D$30,MATCH(C512,Canale!$A$2:$A$30,0))</f>
        <v>cpc</v>
      </c>
      <c r="G512" s="10" t="str">
        <f aca="false">INDEX('Site-uri'!$C$2:$C$20,MATCH(A512,'Site-uri'!$A$2:$A$20,0))</f>
        <v>/</v>
      </c>
      <c r="H512" s="10" t="str">
        <f aca="false">Config!$B$3</f>
        <v>2610_ff_lansare</v>
      </c>
      <c r="I512" s="10" t="str">
        <f aca="false">D512&amp;"_"&amp;Config!$B$4</f>
        <v>fierbinte_general</v>
      </c>
      <c r="J512" s="10" t="str">
        <f aca="false">"https://"&amp;B512&amp;G512&amp;"?utm_source="&amp;E512&amp;"&amp;utm_medium="&amp;F512&amp;"&amp;utm_campaign="&amp;H512&amp;"&amp;utm_content="&amp;I512</f>
        <v>https://ai-lens.eu/?utm_source=bing&amp;utm_medium=cpc&amp;utm_campaign=2610_ff_lansare&amp;utm_content=fierbinte_general</v>
      </c>
    </row>
    <row r="513" customFormat="false" ht="15" hidden="false" customHeight="false" outlineLevel="0" collapsed="false">
      <c r="A513" s="10" t="s">
        <v>59</v>
      </c>
      <c r="B513" s="10" t="str">
        <f aca="false">INDEX('Site-uri'!$B$2:$B$20,MATCH(A513,'Site-uri'!$A$2:$A$20,0))</f>
        <v>ai-lens.eu</v>
      </c>
      <c r="C513" s="10" t="s">
        <v>146</v>
      </c>
      <c r="D513" s="10" t="s">
        <v>237</v>
      </c>
      <c r="E513" s="10" t="str">
        <f aca="false">INDEX(Canale!$C$2:$C$30,MATCH(C513,Canale!$A$2:$A$30,0))</f>
        <v>bing</v>
      </c>
      <c r="F513" s="10" t="str">
        <f aca="false">INDEX(Canale!$D$2:$D$30,MATCH(C513,Canale!$A$2:$A$30,0))</f>
        <v>cpc</v>
      </c>
      <c r="G513" s="10" t="str">
        <f aca="false">INDEX('Site-uri'!$C$2:$C$20,MATCH(A513,'Site-uri'!$A$2:$A$20,0))</f>
        <v>/</v>
      </c>
      <c r="H513" s="10" t="str">
        <f aca="false">Config!$B$3</f>
        <v>2610_ff_lansare</v>
      </c>
      <c r="I513" s="10" t="str">
        <f aca="false">D513&amp;"_"&amp;Config!$B$4</f>
        <v>client_general</v>
      </c>
      <c r="J513" s="10" t="str">
        <f aca="false">"https://"&amp;B513&amp;G513&amp;"?utm_source="&amp;E513&amp;"&amp;utm_medium="&amp;F513&amp;"&amp;utm_campaign="&amp;H513&amp;"&amp;utm_content="&amp;I513</f>
        <v>https://ai-lens.eu/?utm_source=bing&amp;utm_medium=cpc&amp;utm_campaign=2610_ff_lansare&amp;utm_content=client_general</v>
      </c>
    </row>
    <row r="514" customFormat="false" ht="15" hidden="false" customHeight="false" outlineLevel="0" collapsed="false">
      <c r="A514" s="10" t="s">
        <v>59</v>
      </c>
      <c r="B514" s="10" t="str">
        <f aca="false">INDEX('Site-uri'!$B$2:$B$20,MATCH(A514,'Site-uri'!$A$2:$A$20,0))</f>
        <v>ai-lens.eu</v>
      </c>
      <c r="C514" s="10" t="s">
        <v>149</v>
      </c>
      <c r="D514" s="10" t="s">
        <v>219</v>
      </c>
      <c r="E514" s="10" t="str">
        <f aca="false">INDEX(Canale!$C$2:$C$30,MATCH(C514,Canale!$A$2:$A$30,0))</f>
        <v>facebook</v>
      </c>
      <c r="F514" s="10" t="str">
        <f aca="false">INDEX(Canale!$D$2:$D$30,MATCH(C514,Canale!$A$2:$A$30,0))</f>
        <v>social</v>
      </c>
      <c r="G514" s="10" t="str">
        <f aca="false">INDEX('Site-uri'!$C$2:$C$20,MATCH(A514,'Site-uri'!$A$2:$A$20,0))</f>
        <v>/</v>
      </c>
      <c r="H514" s="10" t="str">
        <f aca="false">Config!$B$3</f>
        <v>2610_ff_lansare</v>
      </c>
      <c r="I514" s="10" t="str">
        <f aca="false">D514&amp;"_"&amp;Config!$B$4</f>
        <v>rece_general</v>
      </c>
      <c r="J514" s="10" t="str">
        <f aca="false">"https://"&amp;B514&amp;G514&amp;"?utm_source="&amp;E514&amp;"&amp;utm_medium="&amp;F514&amp;"&amp;utm_campaign="&amp;H514&amp;"&amp;utm_content="&amp;I514</f>
        <v>https://ai-lens.eu/?utm_source=facebook&amp;utm_medium=social&amp;utm_campaign=2610_ff_lansare&amp;utm_content=rece_general</v>
      </c>
    </row>
    <row r="515" customFormat="false" ht="15" hidden="false" customHeight="false" outlineLevel="0" collapsed="false">
      <c r="A515" s="10" t="s">
        <v>59</v>
      </c>
      <c r="B515" s="10" t="str">
        <f aca="false">INDEX('Site-uri'!$B$2:$B$20,MATCH(A515,'Site-uri'!$A$2:$A$20,0))</f>
        <v>ai-lens.eu</v>
      </c>
      <c r="C515" s="10" t="s">
        <v>149</v>
      </c>
      <c r="D515" s="10" t="s">
        <v>225</v>
      </c>
      <c r="E515" s="10" t="str">
        <f aca="false">INDEX(Canale!$C$2:$C$30,MATCH(C515,Canale!$A$2:$A$30,0))</f>
        <v>facebook</v>
      </c>
      <c r="F515" s="10" t="str">
        <f aca="false">INDEX(Canale!$D$2:$D$30,MATCH(C515,Canale!$A$2:$A$30,0))</f>
        <v>social</v>
      </c>
      <c r="G515" s="10" t="str">
        <f aca="false">INDEX('Site-uri'!$C$2:$C$20,MATCH(A515,'Site-uri'!$A$2:$A$20,0))</f>
        <v>/</v>
      </c>
      <c r="H515" s="10" t="str">
        <f aca="false">Config!$B$3</f>
        <v>2610_ff_lansare</v>
      </c>
      <c r="I515" s="10" t="str">
        <f aca="false">D515&amp;"_"&amp;Config!$B$4</f>
        <v>cald_general</v>
      </c>
      <c r="J515" s="10" t="str">
        <f aca="false">"https://"&amp;B515&amp;G515&amp;"?utm_source="&amp;E515&amp;"&amp;utm_medium="&amp;F515&amp;"&amp;utm_campaign="&amp;H515&amp;"&amp;utm_content="&amp;I515</f>
        <v>https://ai-lens.eu/?utm_source=facebook&amp;utm_medium=social&amp;utm_campaign=2610_ff_lansare&amp;utm_content=cald_general</v>
      </c>
    </row>
    <row r="516" customFormat="false" ht="15" hidden="false" customHeight="false" outlineLevel="0" collapsed="false">
      <c r="A516" s="10" t="s">
        <v>59</v>
      </c>
      <c r="B516" s="10" t="str">
        <f aca="false">INDEX('Site-uri'!$B$2:$B$20,MATCH(A516,'Site-uri'!$A$2:$A$20,0))</f>
        <v>ai-lens.eu</v>
      </c>
      <c r="C516" s="10" t="s">
        <v>149</v>
      </c>
      <c r="D516" s="10" t="s">
        <v>231</v>
      </c>
      <c r="E516" s="10" t="str">
        <f aca="false">INDEX(Canale!$C$2:$C$30,MATCH(C516,Canale!$A$2:$A$30,0))</f>
        <v>facebook</v>
      </c>
      <c r="F516" s="10" t="str">
        <f aca="false">INDEX(Canale!$D$2:$D$30,MATCH(C516,Canale!$A$2:$A$30,0))</f>
        <v>social</v>
      </c>
      <c r="G516" s="10" t="str">
        <f aca="false">INDEX('Site-uri'!$C$2:$C$20,MATCH(A516,'Site-uri'!$A$2:$A$20,0))</f>
        <v>/</v>
      </c>
      <c r="H516" s="10" t="str">
        <f aca="false">Config!$B$3</f>
        <v>2610_ff_lansare</v>
      </c>
      <c r="I516" s="10" t="str">
        <f aca="false">D516&amp;"_"&amp;Config!$B$4</f>
        <v>fierbinte_general</v>
      </c>
      <c r="J516" s="10" t="str">
        <f aca="false">"https://"&amp;B516&amp;G516&amp;"?utm_source="&amp;E516&amp;"&amp;utm_medium="&amp;F516&amp;"&amp;utm_campaign="&amp;H516&amp;"&amp;utm_content="&amp;I516</f>
        <v>https://ai-lens.eu/?utm_source=facebook&amp;utm_medium=social&amp;utm_campaign=2610_ff_lansare&amp;utm_content=fierbinte_general</v>
      </c>
    </row>
    <row r="517" customFormat="false" ht="15" hidden="false" customHeight="false" outlineLevel="0" collapsed="false">
      <c r="A517" s="10" t="s">
        <v>59</v>
      </c>
      <c r="B517" s="10" t="str">
        <f aca="false">INDEX('Site-uri'!$B$2:$B$20,MATCH(A517,'Site-uri'!$A$2:$A$20,0))</f>
        <v>ai-lens.eu</v>
      </c>
      <c r="C517" s="10" t="s">
        <v>149</v>
      </c>
      <c r="D517" s="10" t="s">
        <v>237</v>
      </c>
      <c r="E517" s="10" t="str">
        <f aca="false">INDEX(Canale!$C$2:$C$30,MATCH(C517,Canale!$A$2:$A$30,0))</f>
        <v>facebook</v>
      </c>
      <c r="F517" s="10" t="str">
        <f aca="false">INDEX(Canale!$D$2:$D$30,MATCH(C517,Canale!$A$2:$A$30,0))</f>
        <v>social</v>
      </c>
      <c r="G517" s="10" t="str">
        <f aca="false">INDEX('Site-uri'!$C$2:$C$20,MATCH(A517,'Site-uri'!$A$2:$A$20,0))</f>
        <v>/</v>
      </c>
      <c r="H517" s="10" t="str">
        <f aca="false">Config!$B$3</f>
        <v>2610_ff_lansare</v>
      </c>
      <c r="I517" s="10" t="str">
        <f aca="false">D517&amp;"_"&amp;Config!$B$4</f>
        <v>client_general</v>
      </c>
      <c r="J517" s="10" t="str">
        <f aca="false">"https://"&amp;B517&amp;G517&amp;"?utm_source="&amp;E517&amp;"&amp;utm_medium="&amp;F517&amp;"&amp;utm_campaign="&amp;H517&amp;"&amp;utm_content="&amp;I517</f>
        <v>https://ai-lens.eu/?utm_source=facebook&amp;utm_medium=social&amp;utm_campaign=2610_ff_lansare&amp;utm_content=client_general</v>
      </c>
    </row>
    <row r="518" customFormat="false" ht="15" hidden="false" customHeight="false" outlineLevel="0" collapsed="false">
      <c r="A518" s="10" t="s">
        <v>59</v>
      </c>
      <c r="B518" s="10" t="str">
        <f aca="false">INDEX('Site-uri'!$B$2:$B$20,MATCH(A518,'Site-uri'!$A$2:$A$20,0))</f>
        <v>ai-lens.eu</v>
      </c>
      <c r="C518" s="10" t="s">
        <v>153</v>
      </c>
      <c r="D518" s="10" t="s">
        <v>219</v>
      </c>
      <c r="E518" s="10" t="str">
        <f aca="false">INDEX(Canale!$C$2:$C$30,MATCH(C518,Canale!$A$2:$A$30,0))</f>
        <v>x</v>
      </c>
      <c r="F518" s="10" t="str">
        <f aca="false">INDEX(Canale!$D$2:$D$30,MATCH(C518,Canale!$A$2:$A$30,0))</f>
        <v>social</v>
      </c>
      <c r="G518" s="10" t="str">
        <f aca="false">INDEX('Site-uri'!$C$2:$C$20,MATCH(A518,'Site-uri'!$A$2:$A$20,0))</f>
        <v>/</v>
      </c>
      <c r="H518" s="10" t="str">
        <f aca="false">Config!$B$3</f>
        <v>2610_ff_lansare</v>
      </c>
      <c r="I518" s="10" t="str">
        <f aca="false">D518&amp;"_"&amp;Config!$B$4</f>
        <v>rece_general</v>
      </c>
      <c r="J518" s="10" t="str">
        <f aca="false">"https://"&amp;B518&amp;G518&amp;"?utm_source="&amp;E518&amp;"&amp;utm_medium="&amp;F518&amp;"&amp;utm_campaign="&amp;H518&amp;"&amp;utm_content="&amp;I518</f>
        <v>https://ai-lens.eu/?utm_source=x&amp;utm_medium=social&amp;utm_campaign=2610_ff_lansare&amp;utm_content=rece_general</v>
      </c>
    </row>
    <row r="519" customFormat="false" ht="15" hidden="false" customHeight="false" outlineLevel="0" collapsed="false">
      <c r="A519" s="10" t="s">
        <v>59</v>
      </c>
      <c r="B519" s="10" t="str">
        <f aca="false">INDEX('Site-uri'!$B$2:$B$20,MATCH(A519,'Site-uri'!$A$2:$A$20,0))</f>
        <v>ai-lens.eu</v>
      </c>
      <c r="C519" s="10" t="s">
        <v>153</v>
      </c>
      <c r="D519" s="10" t="s">
        <v>225</v>
      </c>
      <c r="E519" s="10" t="str">
        <f aca="false">INDEX(Canale!$C$2:$C$30,MATCH(C519,Canale!$A$2:$A$30,0))</f>
        <v>x</v>
      </c>
      <c r="F519" s="10" t="str">
        <f aca="false">INDEX(Canale!$D$2:$D$30,MATCH(C519,Canale!$A$2:$A$30,0))</f>
        <v>social</v>
      </c>
      <c r="G519" s="10" t="str">
        <f aca="false">INDEX('Site-uri'!$C$2:$C$20,MATCH(A519,'Site-uri'!$A$2:$A$20,0))</f>
        <v>/</v>
      </c>
      <c r="H519" s="10" t="str">
        <f aca="false">Config!$B$3</f>
        <v>2610_ff_lansare</v>
      </c>
      <c r="I519" s="10" t="str">
        <f aca="false">D519&amp;"_"&amp;Config!$B$4</f>
        <v>cald_general</v>
      </c>
      <c r="J519" s="10" t="str">
        <f aca="false">"https://"&amp;B519&amp;G519&amp;"?utm_source="&amp;E519&amp;"&amp;utm_medium="&amp;F519&amp;"&amp;utm_campaign="&amp;H519&amp;"&amp;utm_content="&amp;I519</f>
        <v>https://ai-lens.eu/?utm_source=x&amp;utm_medium=social&amp;utm_campaign=2610_ff_lansare&amp;utm_content=cald_general</v>
      </c>
    </row>
    <row r="520" customFormat="false" ht="15" hidden="false" customHeight="false" outlineLevel="0" collapsed="false">
      <c r="A520" s="10" t="s">
        <v>59</v>
      </c>
      <c r="B520" s="10" t="str">
        <f aca="false">INDEX('Site-uri'!$B$2:$B$20,MATCH(A520,'Site-uri'!$A$2:$A$20,0))</f>
        <v>ai-lens.eu</v>
      </c>
      <c r="C520" s="10" t="s">
        <v>153</v>
      </c>
      <c r="D520" s="10" t="s">
        <v>231</v>
      </c>
      <c r="E520" s="10" t="str">
        <f aca="false">INDEX(Canale!$C$2:$C$30,MATCH(C520,Canale!$A$2:$A$30,0))</f>
        <v>x</v>
      </c>
      <c r="F520" s="10" t="str">
        <f aca="false">INDEX(Canale!$D$2:$D$30,MATCH(C520,Canale!$A$2:$A$30,0))</f>
        <v>social</v>
      </c>
      <c r="G520" s="10" t="str">
        <f aca="false">INDEX('Site-uri'!$C$2:$C$20,MATCH(A520,'Site-uri'!$A$2:$A$20,0))</f>
        <v>/</v>
      </c>
      <c r="H520" s="10" t="str">
        <f aca="false">Config!$B$3</f>
        <v>2610_ff_lansare</v>
      </c>
      <c r="I520" s="10" t="str">
        <f aca="false">D520&amp;"_"&amp;Config!$B$4</f>
        <v>fierbinte_general</v>
      </c>
      <c r="J520" s="10" t="str">
        <f aca="false">"https://"&amp;B520&amp;G520&amp;"?utm_source="&amp;E520&amp;"&amp;utm_medium="&amp;F520&amp;"&amp;utm_campaign="&amp;H520&amp;"&amp;utm_content="&amp;I520</f>
        <v>https://ai-lens.eu/?utm_source=x&amp;utm_medium=social&amp;utm_campaign=2610_ff_lansare&amp;utm_content=fierbinte_general</v>
      </c>
    </row>
    <row r="521" customFormat="false" ht="15" hidden="false" customHeight="false" outlineLevel="0" collapsed="false">
      <c r="A521" s="10" t="s">
        <v>59</v>
      </c>
      <c r="B521" s="10" t="str">
        <f aca="false">INDEX('Site-uri'!$B$2:$B$20,MATCH(A521,'Site-uri'!$A$2:$A$20,0))</f>
        <v>ai-lens.eu</v>
      </c>
      <c r="C521" s="10" t="s">
        <v>153</v>
      </c>
      <c r="D521" s="10" t="s">
        <v>237</v>
      </c>
      <c r="E521" s="10" t="str">
        <f aca="false">INDEX(Canale!$C$2:$C$30,MATCH(C521,Canale!$A$2:$A$30,0))</f>
        <v>x</v>
      </c>
      <c r="F521" s="10" t="str">
        <f aca="false">INDEX(Canale!$D$2:$D$30,MATCH(C521,Canale!$A$2:$A$30,0))</f>
        <v>social</v>
      </c>
      <c r="G521" s="10" t="str">
        <f aca="false">INDEX('Site-uri'!$C$2:$C$20,MATCH(A521,'Site-uri'!$A$2:$A$20,0))</f>
        <v>/</v>
      </c>
      <c r="H521" s="10" t="str">
        <f aca="false">Config!$B$3</f>
        <v>2610_ff_lansare</v>
      </c>
      <c r="I521" s="10" t="str">
        <f aca="false">D521&amp;"_"&amp;Config!$B$4</f>
        <v>client_general</v>
      </c>
      <c r="J521" s="10" t="str">
        <f aca="false">"https://"&amp;B521&amp;G521&amp;"?utm_source="&amp;E521&amp;"&amp;utm_medium="&amp;F521&amp;"&amp;utm_campaign="&amp;H521&amp;"&amp;utm_content="&amp;I521</f>
        <v>https://ai-lens.eu/?utm_source=x&amp;utm_medium=social&amp;utm_campaign=2610_ff_lansare&amp;utm_content=client_general</v>
      </c>
    </row>
    <row r="522" customFormat="false" ht="15" hidden="false" customHeight="false" outlineLevel="0" collapsed="false">
      <c r="A522" s="10" t="s">
        <v>59</v>
      </c>
      <c r="B522" s="10" t="str">
        <f aca="false">INDEX('Site-uri'!$B$2:$B$20,MATCH(A522,'Site-uri'!$A$2:$A$20,0))</f>
        <v>ai-lens.eu</v>
      </c>
      <c r="C522" s="10" t="s">
        <v>155</v>
      </c>
      <c r="D522" s="10" t="s">
        <v>219</v>
      </c>
      <c r="E522" s="10" t="str">
        <f aca="false">INDEX(Canale!$C$2:$C$30,MATCH(C522,Canale!$A$2:$A$30,0))</f>
        <v>youtube</v>
      </c>
      <c r="F522" s="10" t="str">
        <f aca="false">INDEX(Canale!$D$2:$D$30,MATCH(C522,Canale!$A$2:$A$30,0))</f>
        <v>video</v>
      </c>
      <c r="G522" s="10" t="str">
        <f aca="false">INDEX('Site-uri'!$C$2:$C$20,MATCH(A522,'Site-uri'!$A$2:$A$20,0))</f>
        <v>/</v>
      </c>
      <c r="H522" s="10" t="str">
        <f aca="false">Config!$B$3</f>
        <v>2610_ff_lansare</v>
      </c>
      <c r="I522" s="10" t="str">
        <f aca="false">D522&amp;"_"&amp;Config!$B$4</f>
        <v>rece_general</v>
      </c>
      <c r="J522" s="10" t="str">
        <f aca="false">"https://"&amp;B522&amp;G522&amp;"?utm_source="&amp;E522&amp;"&amp;utm_medium="&amp;F522&amp;"&amp;utm_campaign="&amp;H522&amp;"&amp;utm_content="&amp;I522</f>
        <v>https://ai-lens.eu/?utm_source=youtube&amp;utm_medium=video&amp;utm_campaign=2610_ff_lansare&amp;utm_content=rece_general</v>
      </c>
    </row>
    <row r="523" customFormat="false" ht="15" hidden="false" customHeight="false" outlineLevel="0" collapsed="false">
      <c r="A523" s="10" t="s">
        <v>59</v>
      </c>
      <c r="B523" s="10" t="str">
        <f aca="false">INDEX('Site-uri'!$B$2:$B$20,MATCH(A523,'Site-uri'!$A$2:$A$20,0))</f>
        <v>ai-lens.eu</v>
      </c>
      <c r="C523" s="10" t="s">
        <v>155</v>
      </c>
      <c r="D523" s="10" t="s">
        <v>225</v>
      </c>
      <c r="E523" s="10" t="str">
        <f aca="false">INDEX(Canale!$C$2:$C$30,MATCH(C523,Canale!$A$2:$A$30,0))</f>
        <v>youtube</v>
      </c>
      <c r="F523" s="10" t="str">
        <f aca="false">INDEX(Canale!$D$2:$D$30,MATCH(C523,Canale!$A$2:$A$30,0))</f>
        <v>video</v>
      </c>
      <c r="G523" s="10" t="str">
        <f aca="false">INDEX('Site-uri'!$C$2:$C$20,MATCH(A523,'Site-uri'!$A$2:$A$20,0))</f>
        <v>/</v>
      </c>
      <c r="H523" s="10" t="str">
        <f aca="false">Config!$B$3</f>
        <v>2610_ff_lansare</v>
      </c>
      <c r="I523" s="10" t="str">
        <f aca="false">D523&amp;"_"&amp;Config!$B$4</f>
        <v>cald_general</v>
      </c>
      <c r="J523" s="10" t="str">
        <f aca="false">"https://"&amp;B523&amp;G523&amp;"?utm_source="&amp;E523&amp;"&amp;utm_medium="&amp;F523&amp;"&amp;utm_campaign="&amp;H523&amp;"&amp;utm_content="&amp;I523</f>
        <v>https://ai-lens.eu/?utm_source=youtube&amp;utm_medium=video&amp;utm_campaign=2610_ff_lansare&amp;utm_content=cald_general</v>
      </c>
    </row>
    <row r="524" customFormat="false" ht="15" hidden="false" customHeight="false" outlineLevel="0" collapsed="false">
      <c r="A524" s="10" t="s">
        <v>59</v>
      </c>
      <c r="B524" s="10" t="str">
        <f aca="false">INDEX('Site-uri'!$B$2:$B$20,MATCH(A524,'Site-uri'!$A$2:$A$20,0))</f>
        <v>ai-lens.eu</v>
      </c>
      <c r="C524" s="10" t="s">
        <v>155</v>
      </c>
      <c r="D524" s="10" t="s">
        <v>231</v>
      </c>
      <c r="E524" s="10" t="str">
        <f aca="false">INDEX(Canale!$C$2:$C$30,MATCH(C524,Canale!$A$2:$A$30,0))</f>
        <v>youtube</v>
      </c>
      <c r="F524" s="10" t="str">
        <f aca="false">INDEX(Canale!$D$2:$D$30,MATCH(C524,Canale!$A$2:$A$30,0))</f>
        <v>video</v>
      </c>
      <c r="G524" s="10" t="str">
        <f aca="false">INDEX('Site-uri'!$C$2:$C$20,MATCH(A524,'Site-uri'!$A$2:$A$20,0))</f>
        <v>/</v>
      </c>
      <c r="H524" s="10" t="str">
        <f aca="false">Config!$B$3</f>
        <v>2610_ff_lansare</v>
      </c>
      <c r="I524" s="10" t="str">
        <f aca="false">D524&amp;"_"&amp;Config!$B$4</f>
        <v>fierbinte_general</v>
      </c>
      <c r="J524" s="10" t="str">
        <f aca="false">"https://"&amp;B524&amp;G524&amp;"?utm_source="&amp;E524&amp;"&amp;utm_medium="&amp;F524&amp;"&amp;utm_campaign="&amp;H524&amp;"&amp;utm_content="&amp;I524</f>
        <v>https://ai-lens.eu/?utm_source=youtube&amp;utm_medium=video&amp;utm_campaign=2610_ff_lansare&amp;utm_content=fierbinte_general</v>
      </c>
    </row>
    <row r="525" customFormat="false" ht="15" hidden="false" customHeight="false" outlineLevel="0" collapsed="false">
      <c r="A525" s="10" t="s">
        <v>59</v>
      </c>
      <c r="B525" s="10" t="str">
        <f aca="false">INDEX('Site-uri'!$B$2:$B$20,MATCH(A525,'Site-uri'!$A$2:$A$20,0))</f>
        <v>ai-lens.eu</v>
      </c>
      <c r="C525" s="10" t="s">
        <v>155</v>
      </c>
      <c r="D525" s="10" t="s">
        <v>237</v>
      </c>
      <c r="E525" s="10" t="str">
        <f aca="false">INDEX(Canale!$C$2:$C$30,MATCH(C525,Canale!$A$2:$A$30,0))</f>
        <v>youtube</v>
      </c>
      <c r="F525" s="10" t="str">
        <f aca="false">INDEX(Canale!$D$2:$D$30,MATCH(C525,Canale!$A$2:$A$30,0))</f>
        <v>video</v>
      </c>
      <c r="G525" s="10" t="str">
        <f aca="false">INDEX('Site-uri'!$C$2:$C$20,MATCH(A525,'Site-uri'!$A$2:$A$20,0))</f>
        <v>/</v>
      </c>
      <c r="H525" s="10" t="str">
        <f aca="false">Config!$B$3</f>
        <v>2610_ff_lansare</v>
      </c>
      <c r="I525" s="10" t="str">
        <f aca="false">D525&amp;"_"&amp;Config!$B$4</f>
        <v>client_general</v>
      </c>
      <c r="J525" s="10" t="str">
        <f aca="false">"https://"&amp;B525&amp;G525&amp;"?utm_source="&amp;E525&amp;"&amp;utm_medium="&amp;F525&amp;"&amp;utm_campaign="&amp;H525&amp;"&amp;utm_content="&amp;I525</f>
        <v>https://ai-lens.eu/?utm_source=youtube&amp;utm_medium=video&amp;utm_campaign=2610_ff_lansare&amp;utm_content=client_general</v>
      </c>
    </row>
    <row r="526" customFormat="false" ht="15" hidden="false" customHeight="false" outlineLevel="0" collapsed="false">
      <c r="A526" s="10" t="s">
        <v>59</v>
      </c>
      <c r="B526" s="10" t="str">
        <f aca="false">INDEX('Site-uri'!$B$2:$B$20,MATCH(A526,'Site-uri'!$A$2:$A$20,0))</f>
        <v>ai-lens.eu</v>
      </c>
      <c r="C526" s="10" t="s">
        <v>160</v>
      </c>
      <c r="D526" s="10" t="s">
        <v>219</v>
      </c>
      <c r="E526" s="10" t="str">
        <f aca="false">INDEX(Canale!$C$2:$C$30,MATCH(C526,Canale!$A$2:$A$30,0))</f>
        <v>medium</v>
      </c>
      <c r="F526" s="10" t="str">
        <f aca="false">INDEX(Canale!$D$2:$D$30,MATCH(C526,Canale!$A$2:$A$30,0))</f>
        <v>content</v>
      </c>
      <c r="G526" s="10" t="str">
        <f aca="false">INDEX('Site-uri'!$C$2:$C$20,MATCH(A526,'Site-uri'!$A$2:$A$20,0))</f>
        <v>/</v>
      </c>
      <c r="H526" s="10" t="str">
        <f aca="false">Config!$B$3</f>
        <v>2610_ff_lansare</v>
      </c>
      <c r="I526" s="10" t="str">
        <f aca="false">D526&amp;"_"&amp;Config!$B$4</f>
        <v>rece_general</v>
      </c>
      <c r="J526" s="10" t="str">
        <f aca="false">"https://"&amp;B526&amp;G526&amp;"?utm_source="&amp;E526&amp;"&amp;utm_medium="&amp;F526&amp;"&amp;utm_campaign="&amp;H526&amp;"&amp;utm_content="&amp;I526</f>
        <v>https://ai-lens.eu/?utm_source=medium&amp;utm_medium=content&amp;utm_campaign=2610_ff_lansare&amp;utm_content=rece_general</v>
      </c>
    </row>
    <row r="527" customFormat="false" ht="15" hidden="false" customHeight="false" outlineLevel="0" collapsed="false">
      <c r="A527" s="10" t="s">
        <v>59</v>
      </c>
      <c r="B527" s="10" t="str">
        <f aca="false">INDEX('Site-uri'!$B$2:$B$20,MATCH(A527,'Site-uri'!$A$2:$A$20,0))</f>
        <v>ai-lens.eu</v>
      </c>
      <c r="C527" s="10" t="s">
        <v>160</v>
      </c>
      <c r="D527" s="10" t="s">
        <v>225</v>
      </c>
      <c r="E527" s="10" t="str">
        <f aca="false">INDEX(Canale!$C$2:$C$30,MATCH(C527,Canale!$A$2:$A$30,0))</f>
        <v>medium</v>
      </c>
      <c r="F527" s="10" t="str">
        <f aca="false">INDEX(Canale!$D$2:$D$30,MATCH(C527,Canale!$A$2:$A$30,0))</f>
        <v>content</v>
      </c>
      <c r="G527" s="10" t="str">
        <f aca="false">INDEX('Site-uri'!$C$2:$C$20,MATCH(A527,'Site-uri'!$A$2:$A$20,0))</f>
        <v>/</v>
      </c>
      <c r="H527" s="10" t="str">
        <f aca="false">Config!$B$3</f>
        <v>2610_ff_lansare</v>
      </c>
      <c r="I527" s="10" t="str">
        <f aca="false">D527&amp;"_"&amp;Config!$B$4</f>
        <v>cald_general</v>
      </c>
      <c r="J527" s="10" t="str">
        <f aca="false">"https://"&amp;B527&amp;G527&amp;"?utm_source="&amp;E527&amp;"&amp;utm_medium="&amp;F527&amp;"&amp;utm_campaign="&amp;H527&amp;"&amp;utm_content="&amp;I527</f>
        <v>https://ai-lens.eu/?utm_source=medium&amp;utm_medium=content&amp;utm_campaign=2610_ff_lansare&amp;utm_content=cald_general</v>
      </c>
    </row>
    <row r="528" customFormat="false" ht="15" hidden="false" customHeight="false" outlineLevel="0" collapsed="false">
      <c r="A528" s="10" t="s">
        <v>59</v>
      </c>
      <c r="B528" s="10" t="str">
        <f aca="false">INDEX('Site-uri'!$B$2:$B$20,MATCH(A528,'Site-uri'!$A$2:$A$20,0))</f>
        <v>ai-lens.eu</v>
      </c>
      <c r="C528" s="10" t="s">
        <v>160</v>
      </c>
      <c r="D528" s="10" t="s">
        <v>231</v>
      </c>
      <c r="E528" s="10" t="str">
        <f aca="false">INDEX(Canale!$C$2:$C$30,MATCH(C528,Canale!$A$2:$A$30,0))</f>
        <v>medium</v>
      </c>
      <c r="F528" s="10" t="str">
        <f aca="false">INDEX(Canale!$D$2:$D$30,MATCH(C528,Canale!$A$2:$A$30,0))</f>
        <v>content</v>
      </c>
      <c r="G528" s="10" t="str">
        <f aca="false">INDEX('Site-uri'!$C$2:$C$20,MATCH(A528,'Site-uri'!$A$2:$A$20,0))</f>
        <v>/</v>
      </c>
      <c r="H528" s="10" t="str">
        <f aca="false">Config!$B$3</f>
        <v>2610_ff_lansare</v>
      </c>
      <c r="I528" s="10" t="str">
        <f aca="false">D528&amp;"_"&amp;Config!$B$4</f>
        <v>fierbinte_general</v>
      </c>
      <c r="J528" s="10" t="str">
        <f aca="false">"https://"&amp;B528&amp;G528&amp;"?utm_source="&amp;E528&amp;"&amp;utm_medium="&amp;F528&amp;"&amp;utm_campaign="&amp;H528&amp;"&amp;utm_content="&amp;I528</f>
        <v>https://ai-lens.eu/?utm_source=medium&amp;utm_medium=content&amp;utm_campaign=2610_ff_lansare&amp;utm_content=fierbinte_general</v>
      </c>
    </row>
    <row r="529" customFormat="false" ht="15" hidden="false" customHeight="false" outlineLevel="0" collapsed="false">
      <c r="A529" s="10" t="s">
        <v>59</v>
      </c>
      <c r="B529" s="10" t="str">
        <f aca="false">INDEX('Site-uri'!$B$2:$B$20,MATCH(A529,'Site-uri'!$A$2:$A$20,0))</f>
        <v>ai-lens.eu</v>
      </c>
      <c r="C529" s="10" t="s">
        <v>160</v>
      </c>
      <c r="D529" s="10" t="s">
        <v>237</v>
      </c>
      <c r="E529" s="10" t="str">
        <f aca="false">INDEX(Canale!$C$2:$C$30,MATCH(C529,Canale!$A$2:$A$30,0))</f>
        <v>medium</v>
      </c>
      <c r="F529" s="10" t="str">
        <f aca="false">INDEX(Canale!$D$2:$D$30,MATCH(C529,Canale!$A$2:$A$30,0))</f>
        <v>content</v>
      </c>
      <c r="G529" s="10" t="str">
        <f aca="false">INDEX('Site-uri'!$C$2:$C$20,MATCH(A529,'Site-uri'!$A$2:$A$20,0))</f>
        <v>/</v>
      </c>
      <c r="H529" s="10" t="str">
        <f aca="false">Config!$B$3</f>
        <v>2610_ff_lansare</v>
      </c>
      <c r="I529" s="10" t="str">
        <f aca="false">D529&amp;"_"&amp;Config!$B$4</f>
        <v>client_general</v>
      </c>
      <c r="J529" s="10" t="str">
        <f aca="false">"https://"&amp;B529&amp;G529&amp;"?utm_source="&amp;E529&amp;"&amp;utm_medium="&amp;F529&amp;"&amp;utm_campaign="&amp;H529&amp;"&amp;utm_content="&amp;I529</f>
        <v>https://ai-lens.eu/?utm_source=medium&amp;utm_medium=content&amp;utm_campaign=2610_ff_lansare&amp;utm_content=client_general</v>
      </c>
    </row>
    <row r="530" customFormat="false" ht="15" hidden="false" customHeight="false" outlineLevel="0" collapsed="false">
      <c r="A530" s="10" t="s">
        <v>59</v>
      </c>
      <c r="B530" s="10" t="str">
        <f aca="false">INDEX('Site-uri'!$B$2:$B$20,MATCH(A530,'Site-uri'!$A$2:$A$20,0))</f>
        <v>ai-lens.eu</v>
      </c>
      <c r="C530" s="10" t="s">
        <v>165</v>
      </c>
      <c r="D530" s="10" t="s">
        <v>219</v>
      </c>
      <c r="E530" s="10" t="str">
        <f aca="false">INDEX(Canale!$C$2:$C$30,MATCH(C530,Canale!$A$2:$A$30,0))</f>
        <v>crunchbase</v>
      </c>
      <c r="F530" s="10" t="str">
        <f aca="false">INDEX(Canale!$D$2:$D$30,MATCH(C530,Canale!$A$2:$A$30,0))</f>
        <v>referral</v>
      </c>
      <c r="G530" s="10" t="str">
        <f aca="false">INDEX('Site-uri'!$C$2:$C$20,MATCH(A530,'Site-uri'!$A$2:$A$20,0))</f>
        <v>/</v>
      </c>
      <c r="H530" s="10" t="str">
        <f aca="false">Config!$B$3</f>
        <v>2610_ff_lansare</v>
      </c>
      <c r="I530" s="10" t="str">
        <f aca="false">D530&amp;"_"&amp;Config!$B$4</f>
        <v>rece_general</v>
      </c>
      <c r="J530" s="10" t="str">
        <f aca="false">"https://"&amp;B530&amp;G530&amp;"?utm_source="&amp;E530&amp;"&amp;utm_medium="&amp;F530&amp;"&amp;utm_campaign="&amp;H530&amp;"&amp;utm_content="&amp;I530</f>
        <v>https://ai-lens.eu/?utm_source=crunchbase&amp;utm_medium=referral&amp;utm_campaign=2610_ff_lansare&amp;utm_content=rece_general</v>
      </c>
    </row>
    <row r="531" customFormat="false" ht="15" hidden="false" customHeight="false" outlineLevel="0" collapsed="false">
      <c r="A531" s="10" t="s">
        <v>59</v>
      </c>
      <c r="B531" s="10" t="str">
        <f aca="false">INDEX('Site-uri'!$B$2:$B$20,MATCH(A531,'Site-uri'!$A$2:$A$20,0))</f>
        <v>ai-lens.eu</v>
      </c>
      <c r="C531" s="10" t="s">
        <v>165</v>
      </c>
      <c r="D531" s="10" t="s">
        <v>225</v>
      </c>
      <c r="E531" s="10" t="str">
        <f aca="false">INDEX(Canale!$C$2:$C$30,MATCH(C531,Canale!$A$2:$A$30,0))</f>
        <v>crunchbase</v>
      </c>
      <c r="F531" s="10" t="str">
        <f aca="false">INDEX(Canale!$D$2:$D$30,MATCH(C531,Canale!$A$2:$A$30,0))</f>
        <v>referral</v>
      </c>
      <c r="G531" s="10" t="str">
        <f aca="false">INDEX('Site-uri'!$C$2:$C$20,MATCH(A531,'Site-uri'!$A$2:$A$20,0))</f>
        <v>/</v>
      </c>
      <c r="H531" s="10" t="str">
        <f aca="false">Config!$B$3</f>
        <v>2610_ff_lansare</v>
      </c>
      <c r="I531" s="10" t="str">
        <f aca="false">D531&amp;"_"&amp;Config!$B$4</f>
        <v>cald_general</v>
      </c>
      <c r="J531" s="10" t="str">
        <f aca="false">"https://"&amp;B531&amp;G531&amp;"?utm_source="&amp;E531&amp;"&amp;utm_medium="&amp;F531&amp;"&amp;utm_campaign="&amp;H531&amp;"&amp;utm_content="&amp;I531</f>
        <v>https://ai-lens.eu/?utm_source=crunchbase&amp;utm_medium=referral&amp;utm_campaign=2610_ff_lansare&amp;utm_content=cald_general</v>
      </c>
    </row>
    <row r="532" customFormat="false" ht="15" hidden="false" customHeight="false" outlineLevel="0" collapsed="false">
      <c r="A532" s="10" t="s">
        <v>59</v>
      </c>
      <c r="B532" s="10" t="str">
        <f aca="false">INDEX('Site-uri'!$B$2:$B$20,MATCH(A532,'Site-uri'!$A$2:$A$20,0))</f>
        <v>ai-lens.eu</v>
      </c>
      <c r="C532" s="10" t="s">
        <v>165</v>
      </c>
      <c r="D532" s="10" t="s">
        <v>231</v>
      </c>
      <c r="E532" s="10" t="str">
        <f aca="false">INDEX(Canale!$C$2:$C$30,MATCH(C532,Canale!$A$2:$A$30,0))</f>
        <v>crunchbase</v>
      </c>
      <c r="F532" s="10" t="str">
        <f aca="false">INDEX(Canale!$D$2:$D$30,MATCH(C532,Canale!$A$2:$A$30,0))</f>
        <v>referral</v>
      </c>
      <c r="G532" s="10" t="str">
        <f aca="false">INDEX('Site-uri'!$C$2:$C$20,MATCH(A532,'Site-uri'!$A$2:$A$20,0))</f>
        <v>/</v>
      </c>
      <c r="H532" s="10" t="str">
        <f aca="false">Config!$B$3</f>
        <v>2610_ff_lansare</v>
      </c>
      <c r="I532" s="10" t="str">
        <f aca="false">D532&amp;"_"&amp;Config!$B$4</f>
        <v>fierbinte_general</v>
      </c>
      <c r="J532" s="10" t="str">
        <f aca="false">"https://"&amp;B532&amp;G532&amp;"?utm_source="&amp;E532&amp;"&amp;utm_medium="&amp;F532&amp;"&amp;utm_campaign="&amp;H532&amp;"&amp;utm_content="&amp;I532</f>
        <v>https://ai-lens.eu/?utm_source=crunchbase&amp;utm_medium=referral&amp;utm_campaign=2610_ff_lansare&amp;utm_content=fierbinte_general</v>
      </c>
    </row>
    <row r="533" customFormat="false" ht="15" hidden="false" customHeight="false" outlineLevel="0" collapsed="false">
      <c r="A533" s="10" t="s">
        <v>59</v>
      </c>
      <c r="B533" s="10" t="str">
        <f aca="false">INDEX('Site-uri'!$B$2:$B$20,MATCH(A533,'Site-uri'!$A$2:$A$20,0))</f>
        <v>ai-lens.eu</v>
      </c>
      <c r="C533" s="10" t="s">
        <v>165</v>
      </c>
      <c r="D533" s="10" t="s">
        <v>237</v>
      </c>
      <c r="E533" s="10" t="str">
        <f aca="false">INDEX(Canale!$C$2:$C$30,MATCH(C533,Canale!$A$2:$A$30,0))</f>
        <v>crunchbase</v>
      </c>
      <c r="F533" s="10" t="str">
        <f aca="false">INDEX(Canale!$D$2:$D$30,MATCH(C533,Canale!$A$2:$A$30,0))</f>
        <v>referral</v>
      </c>
      <c r="G533" s="10" t="str">
        <f aca="false">INDEX('Site-uri'!$C$2:$C$20,MATCH(A533,'Site-uri'!$A$2:$A$20,0))</f>
        <v>/</v>
      </c>
      <c r="H533" s="10" t="str">
        <f aca="false">Config!$B$3</f>
        <v>2610_ff_lansare</v>
      </c>
      <c r="I533" s="10" t="str">
        <f aca="false">D533&amp;"_"&amp;Config!$B$4</f>
        <v>client_general</v>
      </c>
      <c r="J533" s="10" t="str">
        <f aca="false">"https://"&amp;B533&amp;G533&amp;"?utm_source="&amp;E533&amp;"&amp;utm_medium="&amp;F533&amp;"&amp;utm_campaign="&amp;H533&amp;"&amp;utm_content="&amp;I533</f>
        <v>https://ai-lens.eu/?utm_source=crunchbase&amp;utm_medium=referral&amp;utm_campaign=2610_ff_lansare&amp;utm_content=client_general</v>
      </c>
    </row>
    <row r="534" customFormat="false" ht="15" hidden="false" customHeight="false" outlineLevel="0" collapsed="false">
      <c r="A534" s="10" t="s">
        <v>59</v>
      </c>
      <c r="B534" s="10" t="str">
        <f aca="false">INDEX('Site-uri'!$B$2:$B$20,MATCH(A534,'Site-uri'!$A$2:$A$20,0))</f>
        <v>ai-lens.eu</v>
      </c>
      <c r="C534" s="10" t="s">
        <v>170</v>
      </c>
      <c r="D534" s="10" t="s">
        <v>219</v>
      </c>
      <c r="E534" s="10" t="str">
        <f aca="false">INDEX(Canale!$C$2:$C$30,MATCH(C534,Canale!$A$2:$A$30,0))</f>
        <v>zenodo</v>
      </c>
      <c r="F534" s="10" t="str">
        <f aca="false">INDEX(Canale!$D$2:$D$30,MATCH(C534,Canale!$A$2:$A$30,0))</f>
        <v>referral</v>
      </c>
      <c r="G534" s="10" t="str">
        <f aca="false">INDEX('Site-uri'!$C$2:$C$20,MATCH(A534,'Site-uri'!$A$2:$A$20,0))</f>
        <v>/</v>
      </c>
      <c r="H534" s="10" t="str">
        <f aca="false">Config!$B$3</f>
        <v>2610_ff_lansare</v>
      </c>
      <c r="I534" s="10" t="str">
        <f aca="false">D534&amp;"_"&amp;Config!$B$4</f>
        <v>rece_general</v>
      </c>
      <c r="J534" s="10" t="str">
        <f aca="false">"https://"&amp;B534&amp;G534&amp;"?utm_source="&amp;E534&amp;"&amp;utm_medium="&amp;F534&amp;"&amp;utm_campaign="&amp;H534&amp;"&amp;utm_content="&amp;I534</f>
        <v>https://ai-lens.eu/?utm_source=zenodo&amp;utm_medium=referral&amp;utm_campaign=2610_ff_lansare&amp;utm_content=rece_general</v>
      </c>
    </row>
    <row r="535" customFormat="false" ht="15" hidden="false" customHeight="false" outlineLevel="0" collapsed="false">
      <c r="A535" s="10" t="s">
        <v>59</v>
      </c>
      <c r="B535" s="10" t="str">
        <f aca="false">INDEX('Site-uri'!$B$2:$B$20,MATCH(A535,'Site-uri'!$A$2:$A$20,0))</f>
        <v>ai-lens.eu</v>
      </c>
      <c r="C535" s="10" t="s">
        <v>170</v>
      </c>
      <c r="D535" s="10" t="s">
        <v>225</v>
      </c>
      <c r="E535" s="10" t="str">
        <f aca="false">INDEX(Canale!$C$2:$C$30,MATCH(C535,Canale!$A$2:$A$30,0))</f>
        <v>zenodo</v>
      </c>
      <c r="F535" s="10" t="str">
        <f aca="false">INDEX(Canale!$D$2:$D$30,MATCH(C535,Canale!$A$2:$A$30,0))</f>
        <v>referral</v>
      </c>
      <c r="G535" s="10" t="str">
        <f aca="false">INDEX('Site-uri'!$C$2:$C$20,MATCH(A535,'Site-uri'!$A$2:$A$20,0))</f>
        <v>/</v>
      </c>
      <c r="H535" s="10" t="str">
        <f aca="false">Config!$B$3</f>
        <v>2610_ff_lansare</v>
      </c>
      <c r="I535" s="10" t="str">
        <f aca="false">D535&amp;"_"&amp;Config!$B$4</f>
        <v>cald_general</v>
      </c>
      <c r="J535" s="10" t="str">
        <f aca="false">"https://"&amp;B535&amp;G535&amp;"?utm_source="&amp;E535&amp;"&amp;utm_medium="&amp;F535&amp;"&amp;utm_campaign="&amp;H535&amp;"&amp;utm_content="&amp;I535</f>
        <v>https://ai-lens.eu/?utm_source=zenodo&amp;utm_medium=referral&amp;utm_campaign=2610_ff_lansare&amp;utm_content=cald_general</v>
      </c>
    </row>
    <row r="536" customFormat="false" ht="15" hidden="false" customHeight="false" outlineLevel="0" collapsed="false">
      <c r="A536" s="10" t="s">
        <v>59</v>
      </c>
      <c r="B536" s="10" t="str">
        <f aca="false">INDEX('Site-uri'!$B$2:$B$20,MATCH(A536,'Site-uri'!$A$2:$A$20,0))</f>
        <v>ai-lens.eu</v>
      </c>
      <c r="C536" s="10" t="s">
        <v>170</v>
      </c>
      <c r="D536" s="10" t="s">
        <v>231</v>
      </c>
      <c r="E536" s="10" t="str">
        <f aca="false">INDEX(Canale!$C$2:$C$30,MATCH(C536,Canale!$A$2:$A$30,0))</f>
        <v>zenodo</v>
      </c>
      <c r="F536" s="10" t="str">
        <f aca="false">INDEX(Canale!$D$2:$D$30,MATCH(C536,Canale!$A$2:$A$30,0))</f>
        <v>referral</v>
      </c>
      <c r="G536" s="10" t="str">
        <f aca="false">INDEX('Site-uri'!$C$2:$C$20,MATCH(A536,'Site-uri'!$A$2:$A$20,0))</f>
        <v>/</v>
      </c>
      <c r="H536" s="10" t="str">
        <f aca="false">Config!$B$3</f>
        <v>2610_ff_lansare</v>
      </c>
      <c r="I536" s="10" t="str">
        <f aca="false">D536&amp;"_"&amp;Config!$B$4</f>
        <v>fierbinte_general</v>
      </c>
      <c r="J536" s="10" t="str">
        <f aca="false">"https://"&amp;B536&amp;G536&amp;"?utm_source="&amp;E536&amp;"&amp;utm_medium="&amp;F536&amp;"&amp;utm_campaign="&amp;H536&amp;"&amp;utm_content="&amp;I536</f>
        <v>https://ai-lens.eu/?utm_source=zenodo&amp;utm_medium=referral&amp;utm_campaign=2610_ff_lansare&amp;utm_content=fierbinte_general</v>
      </c>
    </row>
    <row r="537" customFormat="false" ht="15" hidden="false" customHeight="false" outlineLevel="0" collapsed="false">
      <c r="A537" s="10" t="s">
        <v>59</v>
      </c>
      <c r="B537" s="10" t="str">
        <f aca="false">INDEX('Site-uri'!$B$2:$B$20,MATCH(A537,'Site-uri'!$A$2:$A$20,0))</f>
        <v>ai-lens.eu</v>
      </c>
      <c r="C537" s="10" t="s">
        <v>170</v>
      </c>
      <c r="D537" s="10" t="s">
        <v>237</v>
      </c>
      <c r="E537" s="10" t="str">
        <f aca="false">INDEX(Canale!$C$2:$C$30,MATCH(C537,Canale!$A$2:$A$30,0))</f>
        <v>zenodo</v>
      </c>
      <c r="F537" s="10" t="str">
        <f aca="false">INDEX(Canale!$D$2:$D$30,MATCH(C537,Canale!$A$2:$A$30,0))</f>
        <v>referral</v>
      </c>
      <c r="G537" s="10" t="str">
        <f aca="false">INDEX('Site-uri'!$C$2:$C$20,MATCH(A537,'Site-uri'!$A$2:$A$20,0))</f>
        <v>/</v>
      </c>
      <c r="H537" s="10" t="str">
        <f aca="false">Config!$B$3</f>
        <v>2610_ff_lansare</v>
      </c>
      <c r="I537" s="10" t="str">
        <f aca="false">D537&amp;"_"&amp;Config!$B$4</f>
        <v>client_general</v>
      </c>
      <c r="J537" s="10" t="str">
        <f aca="false">"https://"&amp;B537&amp;G537&amp;"?utm_source="&amp;E537&amp;"&amp;utm_medium="&amp;F537&amp;"&amp;utm_campaign="&amp;H537&amp;"&amp;utm_content="&amp;I537</f>
        <v>https://ai-lens.eu/?utm_source=zenodo&amp;utm_medium=referral&amp;utm_campaign=2610_ff_lansare&amp;utm_content=client_general</v>
      </c>
    </row>
    <row r="538" customFormat="false" ht="15" hidden="false" customHeight="false" outlineLevel="0" collapsed="false">
      <c r="A538" s="10" t="s">
        <v>59</v>
      </c>
      <c r="B538" s="10" t="str">
        <f aca="false">INDEX('Site-uri'!$B$2:$B$20,MATCH(A538,'Site-uri'!$A$2:$A$20,0))</f>
        <v>ai-lens.eu</v>
      </c>
      <c r="C538" s="10" t="s">
        <v>173</v>
      </c>
      <c r="D538" s="10" t="s">
        <v>219</v>
      </c>
      <c r="E538" s="10" t="str">
        <f aca="false">INDEX(Canale!$C$2:$C$30,MATCH(C538,Canale!$A$2:$A$30,0))</f>
        <v>orcid</v>
      </c>
      <c r="F538" s="10" t="str">
        <f aca="false">INDEX(Canale!$D$2:$D$30,MATCH(C538,Canale!$A$2:$A$30,0))</f>
        <v>referral</v>
      </c>
      <c r="G538" s="10" t="str">
        <f aca="false">INDEX('Site-uri'!$C$2:$C$20,MATCH(A538,'Site-uri'!$A$2:$A$20,0))</f>
        <v>/</v>
      </c>
      <c r="H538" s="10" t="str">
        <f aca="false">Config!$B$3</f>
        <v>2610_ff_lansare</v>
      </c>
      <c r="I538" s="10" t="str">
        <f aca="false">D538&amp;"_"&amp;Config!$B$4</f>
        <v>rece_general</v>
      </c>
      <c r="J538" s="10" t="str">
        <f aca="false">"https://"&amp;B538&amp;G538&amp;"?utm_source="&amp;E538&amp;"&amp;utm_medium="&amp;F538&amp;"&amp;utm_campaign="&amp;H538&amp;"&amp;utm_content="&amp;I538</f>
        <v>https://ai-lens.eu/?utm_source=orcid&amp;utm_medium=referral&amp;utm_campaign=2610_ff_lansare&amp;utm_content=rece_general</v>
      </c>
    </row>
    <row r="539" customFormat="false" ht="15" hidden="false" customHeight="false" outlineLevel="0" collapsed="false">
      <c r="A539" s="10" t="s">
        <v>59</v>
      </c>
      <c r="B539" s="10" t="str">
        <f aca="false">INDEX('Site-uri'!$B$2:$B$20,MATCH(A539,'Site-uri'!$A$2:$A$20,0))</f>
        <v>ai-lens.eu</v>
      </c>
      <c r="C539" s="10" t="s">
        <v>173</v>
      </c>
      <c r="D539" s="10" t="s">
        <v>225</v>
      </c>
      <c r="E539" s="10" t="str">
        <f aca="false">INDEX(Canale!$C$2:$C$30,MATCH(C539,Canale!$A$2:$A$30,0))</f>
        <v>orcid</v>
      </c>
      <c r="F539" s="10" t="str">
        <f aca="false">INDEX(Canale!$D$2:$D$30,MATCH(C539,Canale!$A$2:$A$30,0))</f>
        <v>referral</v>
      </c>
      <c r="G539" s="10" t="str">
        <f aca="false">INDEX('Site-uri'!$C$2:$C$20,MATCH(A539,'Site-uri'!$A$2:$A$20,0))</f>
        <v>/</v>
      </c>
      <c r="H539" s="10" t="str">
        <f aca="false">Config!$B$3</f>
        <v>2610_ff_lansare</v>
      </c>
      <c r="I539" s="10" t="str">
        <f aca="false">D539&amp;"_"&amp;Config!$B$4</f>
        <v>cald_general</v>
      </c>
      <c r="J539" s="10" t="str">
        <f aca="false">"https://"&amp;B539&amp;G539&amp;"?utm_source="&amp;E539&amp;"&amp;utm_medium="&amp;F539&amp;"&amp;utm_campaign="&amp;H539&amp;"&amp;utm_content="&amp;I539</f>
        <v>https://ai-lens.eu/?utm_source=orcid&amp;utm_medium=referral&amp;utm_campaign=2610_ff_lansare&amp;utm_content=cald_general</v>
      </c>
    </row>
    <row r="540" customFormat="false" ht="15" hidden="false" customHeight="false" outlineLevel="0" collapsed="false">
      <c r="A540" s="10" t="s">
        <v>59</v>
      </c>
      <c r="B540" s="10" t="str">
        <f aca="false">INDEX('Site-uri'!$B$2:$B$20,MATCH(A540,'Site-uri'!$A$2:$A$20,0))</f>
        <v>ai-lens.eu</v>
      </c>
      <c r="C540" s="10" t="s">
        <v>173</v>
      </c>
      <c r="D540" s="10" t="s">
        <v>231</v>
      </c>
      <c r="E540" s="10" t="str">
        <f aca="false">INDEX(Canale!$C$2:$C$30,MATCH(C540,Canale!$A$2:$A$30,0))</f>
        <v>orcid</v>
      </c>
      <c r="F540" s="10" t="str">
        <f aca="false">INDEX(Canale!$D$2:$D$30,MATCH(C540,Canale!$A$2:$A$30,0))</f>
        <v>referral</v>
      </c>
      <c r="G540" s="10" t="str">
        <f aca="false">INDEX('Site-uri'!$C$2:$C$20,MATCH(A540,'Site-uri'!$A$2:$A$20,0))</f>
        <v>/</v>
      </c>
      <c r="H540" s="10" t="str">
        <f aca="false">Config!$B$3</f>
        <v>2610_ff_lansare</v>
      </c>
      <c r="I540" s="10" t="str">
        <f aca="false">D540&amp;"_"&amp;Config!$B$4</f>
        <v>fierbinte_general</v>
      </c>
      <c r="J540" s="10" t="str">
        <f aca="false">"https://"&amp;B540&amp;G540&amp;"?utm_source="&amp;E540&amp;"&amp;utm_medium="&amp;F540&amp;"&amp;utm_campaign="&amp;H540&amp;"&amp;utm_content="&amp;I540</f>
        <v>https://ai-lens.eu/?utm_source=orcid&amp;utm_medium=referral&amp;utm_campaign=2610_ff_lansare&amp;utm_content=fierbinte_general</v>
      </c>
    </row>
    <row r="541" customFormat="false" ht="15" hidden="false" customHeight="false" outlineLevel="0" collapsed="false">
      <c r="A541" s="10" t="s">
        <v>59</v>
      </c>
      <c r="B541" s="10" t="str">
        <f aca="false">INDEX('Site-uri'!$B$2:$B$20,MATCH(A541,'Site-uri'!$A$2:$A$20,0))</f>
        <v>ai-lens.eu</v>
      </c>
      <c r="C541" s="10" t="s">
        <v>173</v>
      </c>
      <c r="D541" s="10" t="s">
        <v>237</v>
      </c>
      <c r="E541" s="10" t="str">
        <f aca="false">INDEX(Canale!$C$2:$C$30,MATCH(C541,Canale!$A$2:$A$30,0))</f>
        <v>orcid</v>
      </c>
      <c r="F541" s="10" t="str">
        <f aca="false">INDEX(Canale!$D$2:$D$30,MATCH(C541,Canale!$A$2:$A$30,0))</f>
        <v>referral</v>
      </c>
      <c r="G541" s="10" t="str">
        <f aca="false">INDEX('Site-uri'!$C$2:$C$20,MATCH(A541,'Site-uri'!$A$2:$A$20,0))</f>
        <v>/</v>
      </c>
      <c r="H541" s="10" t="str">
        <f aca="false">Config!$B$3</f>
        <v>2610_ff_lansare</v>
      </c>
      <c r="I541" s="10" t="str">
        <f aca="false">D541&amp;"_"&amp;Config!$B$4</f>
        <v>client_general</v>
      </c>
      <c r="J541" s="10" t="str">
        <f aca="false">"https://"&amp;B541&amp;G541&amp;"?utm_source="&amp;E541&amp;"&amp;utm_medium="&amp;F541&amp;"&amp;utm_campaign="&amp;H541&amp;"&amp;utm_content="&amp;I541</f>
        <v>https://ai-lens.eu/?utm_source=orcid&amp;utm_medium=referral&amp;utm_campaign=2610_ff_lansare&amp;utm_content=client_general</v>
      </c>
    </row>
    <row r="542" customFormat="false" ht="15" hidden="false" customHeight="false" outlineLevel="0" collapsed="false">
      <c r="A542" s="10" t="s">
        <v>59</v>
      </c>
      <c r="B542" s="10" t="str">
        <f aca="false">INDEX('Site-uri'!$B$2:$B$20,MATCH(A542,'Site-uri'!$A$2:$A$20,0))</f>
        <v>ai-lens.eu</v>
      </c>
      <c r="C542" s="10" t="s">
        <v>176</v>
      </c>
      <c r="D542" s="10" t="s">
        <v>219</v>
      </c>
      <c r="E542" s="10" t="str">
        <f aca="false">INDEX(Canale!$C$2:$C$30,MATCH(C542,Canale!$A$2:$A$30,0))</f>
        <v>github</v>
      </c>
      <c r="F542" s="10" t="str">
        <f aca="false">INDEX(Canale!$D$2:$D$30,MATCH(C542,Canale!$A$2:$A$30,0))</f>
        <v>referral</v>
      </c>
      <c r="G542" s="10" t="str">
        <f aca="false">INDEX('Site-uri'!$C$2:$C$20,MATCH(A542,'Site-uri'!$A$2:$A$20,0))</f>
        <v>/</v>
      </c>
      <c r="H542" s="10" t="str">
        <f aca="false">Config!$B$3</f>
        <v>2610_ff_lansare</v>
      </c>
      <c r="I542" s="10" t="str">
        <f aca="false">D542&amp;"_"&amp;Config!$B$4</f>
        <v>rece_general</v>
      </c>
      <c r="J542" s="10" t="str">
        <f aca="false">"https://"&amp;B542&amp;G542&amp;"?utm_source="&amp;E542&amp;"&amp;utm_medium="&amp;F542&amp;"&amp;utm_campaign="&amp;H542&amp;"&amp;utm_content="&amp;I542</f>
        <v>https://ai-lens.eu/?utm_source=github&amp;utm_medium=referral&amp;utm_campaign=2610_ff_lansare&amp;utm_content=rece_general</v>
      </c>
    </row>
    <row r="543" customFormat="false" ht="15" hidden="false" customHeight="false" outlineLevel="0" collapsed="false">
      <c r="A543" s="10" t="s">
        <v>59</v>
      </c>
      <c r="B543" s="10" t="str">
        <f aca="false">INDEX('Site-uri'!$B$2:$B$20,MATCH(A543,'Site-uri'!$A$2:$A$20,0))</f>
        <v>ai-lens.eu</v>
      </c>
      <c r="C543" s="10" t="s">
        <v>176</v>
      </c>
      <c r="D543" s="10" t="s">
        <v>225</v>
      </c>
      <c r="E543" s="10" t="str">
        <f aca="false">INDEX(Canale!$C$2:$C$30,MATCH(C543,Canale!$A$2:$A$30,0))</f>
        <v>github</v>
      </c>
      <c r="F543" s="10" t="str">
        <f aca="false">INDEX(Canale!$D$2:$D$30,MATCH(C543,Canale!$A$2:$A$30,0))</f>
        <v>referral</v>
      </c>
      <c r="G543" s="10" t="str">
        <f aca="false">INDEX('Site-uri'!$C$2:$C$20,MATCH(A543,'Site-uri'!$A$2:$A$20,0))</f>
        <v>/</v>
      </c>
      <c r="H543" s="10" t="str">
        <f aca="false">Config!$B$3</f>
        <v>2610_ff_lansare</v>
      </c>
      <c r="I543" s="10" t="str">
        <f aca="false">D543&amp;"_"&amp;Config!$B$4</f>
        <v>cald_general</v>
      </c>
      <c r="J543" s="10" t="str">
        <f aca="false">"https://"&amp;B543&amp;G543&amp;"?utm_source="&amp;E543&amp;"&amp;utm_medium="&amp;F543&amp;"&amp;utm_campaign="&amp;H543&amp;"&amp;utm_content="&amp;I543</f>
        <v>https://ai-lens.eu/?utm_source=github&amp;utm_medium=referral&amp;utm_campaign=2610_ff_lansare&amp;utm_content=cald_general</v>
      </c>
    </row>
    <row r="544" customFormat="false" ht="15" hidden="false" customHeight="false" outlineLevel="0" collapsed="false">
      <c r="A544" s="10" t="s">
        <v>59</v>
      </c>
      <c r="B544" s="10" t="str">
        <f aca="false">INDEX('Site-uri'!$B$2:$B$20,MATCH(A544,'Site-uri'!$A$2:$A$20,0))</f>
        <v>ai-lens.eu</v>
      </c>
      <c r="C544" s="10" t="s">
        <v>176</v>
      </c>
      <c r="D544" s="10" t="s">
        <v>231</v>
      </c>
      <c r="E544" s="10" t="str">
        <f aca="false">INDEX(Canale!$C$2:$C$30,MATCH(C544,Canale!$A$2:$A$30,0))</f>
        <v>github</v>
      </c>
      <c r="F544" s="10" t="str">
        <f aca="false">INDEX(Canale!$D$2:$D$30,MATCH(C544,Canale!$A$2:$A$30,0))</f>
        <v>referral</v>
      </c>
      <c r="G544" s="10" t="str">
        <f aca="false">INDEX('Site-uri'!$C$2:$C$20,MATCH(A544,'Site-uri'!$A$2:$A$20,0))</f>
        <v>/</v>
      </c>
      <c r="H544" s="10" t="str">
        <f aca="false">Config!$B$3</f>
        <v>2610_ff_lansare</v>
      </c>
      <c r="I544" s="10" t="str">
        <f aca="false">D544&amp;"_"&amp;Config!$B$4</f>
        <v>fierbinte_general</v>
      </c>
      <c r="J544" s="10" t="str">
        <f aca="false">"https://"&amp;B544&amp;G544&amp;"?utm_source="&amp;E544&amp;"&amp;utm_medium="&amp;F544&amp;"&amp;utm_campaign="&amp;H544&amp;"&amp;utm_content="&amp;I544</f>
        <v>https://ai-lens.eu/?utm_source=github&amp;utm_medium=referral&amp;utm_campaign=2610_ff_lansare&amp;utm_content=fierbinte_general</v>
      </c>
    </row>
    <row r="545" customFormat="false" ht="15" hidden="false" customHeight="false" outlineLevel="0" collapsed="false">
      <c r="A545" s="10" t="s">
        <v>59</v>
      </c>
      <c r="B545" s="10" t="str">
        <f aca="false">INDEX('Site-uri'!$B$2:$B$20,MATCH(A545,'Site-uri'!$A$2:$A$20,0))</f>
        <v>ai-lens.eu</v>
      </c>
      <c r="C545" s="10" t="s">
        <v>176</v>
      </c>
      <c r="D545" s="10" t="s">
        <v>237</v>
      </c>
      <c r="E545" s="10" t="str">
        <f aca="false">INDEX(Canale!$C$2:$C$30,MATCH(C545,Canale!$A$2:$A$30,0))</f>
        <v>github</v>
      </c>
      <c r="F545" s="10" t="str">
        <f aca="false">INDEX(Canale!$D$2:$D$30,MATCH(C545,Canale!$A$2:$A$30,0))</f>
        <v>referral</v>
      </c>
      <c r="G545" s="10" t="str">
        <f aca="false">INDEX('Site-uri'!$C$2:$C$20,MATCH(A545,'Site-uri'!$A$2:$A$20,0))</f>
        <v>/</v>
      </c>
      <c r="H545" s="10" t="str">
        <f aca="false">Config!$B$3</f>
        <v>2610_ff_lansare</v>
      </c>
      <c r="I545" s="10" t="str">
        <f aca="false">D545&amp;"_"&amp;Config!$B$4</f>
        <v>client_general</v>
      </c>
      <c r="J545" s="10" t="str">
        <f aca="false">"https://"&amp;B545&amp;G545&amp;"?utm_source="&amp;E545&amp;"&amp;utm_medium="&amp;F545&amp;"&amp;utm_campaign="&amp;H545&amp;"&amp;utm_content="&amp;I545</f>
        <v>https://ai-lens.eu/?utm_source=github&amp;utm_medium=referral&amp;utm_campaign=2610_ff_lansare&amp;utm_content=client_general</v>
      </c>
    </row>
    <row r="546" customFormat="false" ht="15" hidden="false" customHeight="false" outlineLevel="0" collapsed="false">
      <c r="A546" s="10" t="s">
        <v>59</v>
      </c>
      <c r="B546" s="10" t="str">
        <f aca="false">INDEX('Site-uri'!$B$2:$B$20,MATCH(A546,'Site-uri'!$A$2:$A$20,0))</f>
        <v>ai-lens.eu</v>
      </c>
      <c r="C546" s="10" t="s">
        <v>179</v>
      </c>
      <c r="D546" s="10" t="s">
        <v>219</v>
      </c>
      <c r="E546" s="10" t="str">
        <f aca="false">INDEX(Canale!$C$2:$C$30,MATCH(C546,Canale!$A$2:$A$30,0))</f>
        <v>kdp_book</v>
      </c>
      <c r="F546" s="10" t="str">
        <f aca="false">INDEX(Canale!$D$2:$D$30,MATCH(C546,Canale!$A$2:$A$30,0))</f>
        <v>book</v>
      </c>
      <c r="G546" s="10" t="str">
        <f aca="false">INDEX('Site-uri'!$C$2:$C$20,MATCH(A546,'Site-uri'!$A$2:$A$20,0))</f>
        <v>/</v>
      </c>
      <c r="H546" s="10" t="str">
        <f aca="false">Config!$B$3</f>
        <v>2610_ff_lansare</v>
      </c>
      <c r="I546" s="10" t="str">
        <f aca="false">D546&amp;"_"&amp;Config!$B$4</f>
        <v>rece_general</v>
      </c>
      <c r="J546" s="10" t="str">
        <f aca="false">"https://"&amp;B546&amp;G546&amp;"?utm_source="&amp;E546&amp;"&amp;utm_medium="&amp;F546&amp;"&amp;utm_campaign="&amp;H546&amp;"&amp;utm_content="&amp;I546</f>
        <v>https://ai-lens.eu/?utm_source=kdp_book&amp;utm_medium=book&amp;utm_campaign=2610_ff_lansare&amp;utm_content=rece_general</v>
      </c>
    </row>
    <row r="547" customFormat="false" ht="15" hidden="false" customHeight="false" outlineLevel="0" collapsed="false">
      <c r="A547" s="10" t="s">
        <v>59</v>
      </c>
      <c r="B547" s="10" t="str">
        <f aca="false">INDEX('Site-uri'!$B$2:$B$20,MATCH(A547,'Site-uri'!$A$2:$A$20,0))</f>
        <v>ai-lens.eu</v>
      </c>
      <c r="C547" s="10" t="s">
        <v>179</v>
      </c>
      <c r="D547" s="10" t="s">
        <v>225</v>
      </c>
      <c r="E547" s="10" t="str">
        <f aca="false">INDEX(Canale!$C$2:$C$30,MATCH(C547,Canale!$A$2:$A$30,0))</f>
        <v>kdp_book</v>
      </c>
      <c r="F547" s="10" t="str">
        <f aca="false">INDEX(Canale!$D$2:$D$30,MATCH(C547,Canale!$A$2:$A$30,0))</f>
        <v>book</v>
      </c>
      <c r="G547" s="10" t="str">
        <f aca="false">INDEX('Site-uri'!$C$2:$C$20,MATCH(A547,'Site-uri'!$A$2:$A$20,0))</f>
        <v>/</v>
      </c>
      <c r="H547" s="10" t="str">
        <f aca="false">Config!$B$3</f>
        <v>2610_ff_lansare</v>
      </c>
      <c r="I547" s="10" t="str">
        <f aca="false">D547&amp;"_"&amp;Config!$B$4</f>
        <v>cald_general</v>
      </c>
      <c r="J547" s="10" t="str">
        <f aca="false">"https://"&amp;B547&amp;G547&amp;"?utm_source="&amp;E547&amp;"&amp;utm_medium="&amp;F547&amp;"&amp;utm_campaign="&amp;H547&amp;"&amp;utm_content="&amp;I547</f>
        <v>https://ai-lens.eu/?utm_source=kdp_book&amp;utm_medium=book&amp;utm_campaign=2610_ff_lansare&amp;utm_content=cald_general</v>
      </c>
    </row>
    <row r="548" customFormat="false" ht="15" hidden="false" customHeight="false" outlineLevel="0" collapsed="false">
      <c r="A548" s="10" t="s">
        <v>59</v>
      </c>
      <c r="B548" s="10" t="str">
        <f aca="false">INDEX('Site-uri'!$B$2:$B$20,MATCH(A548,'Site-uri'!$A$2:$A$20,0))</f>
        <v>ai-lens.eu</v>
      </c>
      <c r="C548" s="10" t="s">
        <v>179</v>
      </c>
      <c r="D548" s="10" t="s">
        <v>231</v>
      </c>
      <c r="E548" s="10" t="str">
        <f aca="false">INDEX(Canale!$C$2:$C$30,MATCH(C548,Canale!$A$2:$A$30,0))</f>
        <v>kdp_book</v>
      </c>
      <c r="F548" s="10" t="str">
        <f aca="false">INDEX(Canale!$D$2:$D$30,MATCH(C548,Canale!$A$2:$A$30,0))</f>
        <v>book</v>
      </c>
      <c r="G548" s="10" t="str">
        <f aca="false">INDEX('Site-uri'!$C$2:$C$20,MATCH(A548,'Site-uri'!$A$2:$A$20,0))</f>
        <v>/</v>
      </c>
      <c r="H548" s="10" t="str">
        <f aca="false">Config!$B$3</f>
        <v>2610_ff_lansare</v>
      </c>
      <c r="I548" s="10" t="str">
        <f aca="false">D548&amp;"_"&amp;Config!$B$4</f>
        <v>fierbinte_general</v>
      </c>
      <c r="J548" s="10" t="str">
        <f aca="false">"https://"&amp;B548&amp;G548&amp;"?utm_source="&amp;E548&amp;"&amp;utm_medium="&amp;F548&amp;"&amp;utm_campaign="&amp;H548&amp;"&amp;utm_content="&amp;I548</f>
        <v>https://ai-lens.eu/?utm_source=kdp_book&amp;utm_medium=book&amp;utm_campaign=2610_ff_lansare&amp;utm_content=fierbinte_general</v>
      </c>
    </row>
    <row r="549" customFormat="false" ht="15" hidden="false" customHeight="false" outlineLevel="0" collapsed="false">
      <c r="A549" s="10" t="s">
        <v>59</v>
      </c>
      <c r="B549" s="10" t="str">
        <f aca="false">INDEX('Site-uri'!$B$2:$B$20,MATCH(A549,'Site-uri'!$A$2:$A$20,0))</f>
        <v>ai-lens.eu</v>
      </c>
      <c r="C549" s="10" t="s">
        <v>179</v>
      </c>
      <c r="D549" s="10" t="s">
        <v>237</v>
      </c>
      <c r="E549" s="10" t="str">
        <f aca="false">INDEX(Canale!$C$2:$C$30,MATCH(C549,Canale!$A$2:$A$30,0))</f>
        <v>kdp_book</v>
      </c>
      <c r="F549" s="10" t="str">
        <f aca="false">INDEX(Canale!$D$2:$D$30,MATCH(C549,Canale!$A$2:$A$30,0))</f>
        <v>book</v>
      </c>
      <c r="G549" s="10" t="str">
        <f aca="false">INDEX('Site-uri'!$C$2:$C$20,MATCH(A549,'Site-uri'!$A$2:$A$20,0))</f>
        <v>/</v>
      </c>
      <c r="H549" s="10" t="str">
        <f aca="false">Config!$B$3</f>
        <v>2610_ff_lansare</v>
      </c>
      <c r="I549" s="10" t="str">
        <f aca="false">D549&amp;"_"&amp;Config!$B$4</f>
        <v>client_general</v>
      </c>
      <c r="J549" s="10" t="str">
        <f aca="false">"https://"&amp;B549&amp;G549&amp;"?utm_source="&amp;E549&amp;"&amp;utm_medium="&amp;F549&amp;"&amp;utm_campaign="&amp;H549&amp;"&amp;utm_content="&amp;I549</f>
        <v>https://ai-lens.eu/?utm_source=kdp_book&amp;utm_medium=book&amp;utm_campaign=2610_ff_lansare&amp;utm_content=client_general</v>
      </c>
    </row>
    <row r="550" customFormat="false" ht="15" hidden="false" customHeight="false" outlineLevel="0" collapsed="false">
      <c r="A550" s="10" t="s">
        <v>59</v>
      </c>
      <c r="B550" s="10" t="str">
        <f aca="false">INDEX('Site-uri'!$B$2:$B$20,MATCH(A550,'Site-uri'!$A$2:$A$20,0))</f>
        <v>ai-lens.eu</v>
      </c>
      <c r="C550" s="10" t="s">
        <v>184</v>
      </c>
      <c r="D550" s="10" t="s">
        <v>219</v>
      </c>
      <c r="E550" s="10" t="str">
        <f aca="false">INDEX(Canale!$C$2:$C$30,MATCH(C550,Canale!$A$2:$A$30,0))</f>
        <v>udemy</v>
      </c>
      <c r="F550" s="10" t="str">
        <f aca="false">INDEX(Canale!$D$2:$D$30,MATCH(C550,Canale!$A$2:$A$30,0))</f>
        <v>course</v>
      </c>
      <c r="G550" s="10" t="str">
        <f aca="false">INDEX('Site-uri'!$C$2:$C$20,MATCH(A550,'Site-uri'!$A$2:$A$20,0))</f>
        <v>/</v>
      </c>
      <c r="H550" s="10" t="str">
        <f aca="false">Config!$B$3</f>
        <v>2610_ff_lansare</v>
      </c>
      <c r="I550" s="10" t="str">
        <f aca="false">D550&amp;"_"&amp;Config!$B$4</f>
        <v>rece_general</v>
      </c>
      <c r="J550" s="10" t="str">
        <f aca="false">"https://"&amp;B550&amp;G550&amp;"?utm_source="&amp;E550&amp;"&amp;utm_medium="&amp;F550&amp;"&amp;utm_campaign="&amp;H550&amp;"&amp;utm_content="&amp;I550</f>
        <v>https://ai-lens.eu/?utm_source=udemy&amp;utm_medium=course&amp;utm_campaign=2610_ff_lansare&amp;utm_content=rece_general</v>
      </c>
    </row>
    <row r="551" customFormat="false" ht="15" hidden="false" customHeight="false" outlineLevel="0" collapsed="false">
      <c r="A551" s="10" t="s">
        <v>59</v>
      </c>
      <c r="B551" s="10" t="str">
        <f aca="false">INDEX('Site-uri'!$B$2:$B$20,MATCH(A551,'Site-uri'!$A$2:$A$20,0))</f>
        <v>ai-lens.eu</v>
      </c>
      <c r="C551" s="10" t="s">
        <v>184</v>
      </c>
      <c r="D551" s="10" t="s">
        <v>225</v>
      </c>
      <c r="E551" s="10" t="str">
        <f aca="false">INDEX(Canale!$C$2:$C$30,MATCH(C551,Canale!$A$2:$A$30,0))</f>
        <v>udemy</v>
      </c>
      <c r="F551" s="10" t="str">
        <f aca="false">INDEX(Canale!$D$2:$D$30,MATCH(C551,Canale!$A$2:$A$30,0))</f>
        <v>course</v>
      </c>
      <c r="G551" s="10" t="str">
        <f aca="false">INDEX('Site-uri'!$C$2:$C$20,MATCH(A551,'Site-uri'!$A$2:$A$20,0))</f>
        <v>/</v>
      </c>
      <c r="H551" s="10" t="str">
        <f aca="false">Config!$B$3</f>
        <v>2610_ff_lansare</v>
      </c>
      <c r="I551" s="10" t="str">
        <f aca="false">D551&amp;"_"&amp;Config!$B$4</f>
        <v>cald_general</v>
      </c>
      <c r="J551" s="10" t="str">
        <f aca="false">"https://"&amp;B551&amp;G551&amp;"?utm_source="&amp;E551&amp;"&amp;utm_medium="&amp;F551&amp;"&amp;utm_campaign="&amp;H551&amp;"&amp;utm_content="&amp;I551</f>
        <v>https://ai-lens.eu/?utm_source=udemy&amp;utm_medium=course&amp;utm_campaign=2610_ff_lansare&amp;utm_content=cald_general</v>
      </c>
    </row>
    <row r="552" customFormat="false" ht="15" hidden="false" customHeight="false" outlineLevel="0" collapsed="false">
      <c r="A552" s="10" t="s">
        <v>59</v>
      </c>
      <c r="B552" s="10" t="str">
        <f aca="false">INDEX('Site-uri'!$B$2:$B$20,MATCH(A552,'Site-uri'!$A$2:$A$20,0))</f>
        <v>ai-lens.eu</v>
      </c>
      <c r="C552" s="10" t="s">
        <v>184</v>
      </c>
      <c r="D552" s="10" t="s">
        <v>231</v>
      </c>
      <c r="E552" s="10" t="str">
        <f aca="false">INDEX(Canale!$C$2:$C$30,MATCH(C552,Canale!$A$2:$A$30,0))</f>
        <v>udemy</v>
      </c>
      <c r="F552" s="10" t="str">
        <f aca="false">INDEX(Canale!$D$2:$D$30,MATCH(C552,Canale!$A$2:$A$30,0))</f>
        <v>course</v>
      </c>
      <c r="G552" s="10" t="str">
        <f aca="false">INDEX('Site-uri'!$C$2:$C$20,MATCH(A552,'Site-uri'!$A$2:$A$20,0))</f>
        <v>/</v>
      </c>
      <c r="H552" s="10" t="str">
        <f aca="false">Config!$B$3</f>
        <v>2610_ff_lansare</v>
      </c>
      <c r="I552" s="10" t="str">
        <f aca="false">D552&amp;"_"&amp;Config!$B$4</f>
        <v>fierbinte_general</v>
      </c>
      <c r="J552" s="10" t="str">
        <f aca="false">"https://"&amp;B552&amp;G552&amp;"?utm_source="&amp;E552&amp;"&amp;utm_medium="&amp;F552&amp;"&amp;utm_campaign="&amp;H552&amp;"&amp;utm_content="&amp;I552</f>
        <v>https://ai-lens.eu/?utm_source=udemy&amp;utm_medium=course&amp;utm_campaign=2610_ff_lansare&amp;utm_content=fierbinte_general</v>
      </c>
    </row>
    <row r="553" customFormat="false" ht="15" hidden="false" customHeight="false" outlineLevel="0" collapsed="false">
      <c r="A553" s="10" t="s">
        <v>59</v>
      </c>
      <c r="B553" s="10" t="str">
        <f aca="false">INDEX('Site-uri'!$B$2:$B$20,MATCH(A553,'Site-uri'!$A$2:$A$20,0))</f>
        <v>ai-lens.eu</v>
      </c>
      <c r="C553" s="10" t="s">
        <v>184</v>
      </c>
      <c r="D553" s="10" t="s">
        <v>237</v>
      </c>
      <c r="E553" s="10" t="str">
        <f aca="false">INDEX(Canale!$C$2:$C$30,MATCH(C553,Canale!$A$2:$A$30,0))</f>
        <v>udemy</v>
      </c>
      <c r="F553" s="10" t="str">
        <f aca="false">INDEX(Canale!$D$2:$D$30,MATCH(C553,Canale!$A$2:$A$30,0))</f>
        <v>course</v>
      </c>
      <c r="G553" s="10" t="str">
        <f aca="false">INDEX('Site-uri'!$C$2:$C$20,MATCH(A553,'Site-uri'!$A$2:$A$20,0))</f>
        <v>/</v>
      </c>
      <c r="H553" s="10" t="str">
        <f aca="false">Config!$B$3</f>
        <v>2610_ff_lansare</v>
      </c>
      <c r="I553" s="10" t="str">
        <f aca="false">D553&amp;"_"&amp;Config!$B$4</f>
        <v>client_general</v>
      </c>
      <c r="J553" s="10" t="str">
        <f aca="false">"https://"&amp;B553&amp;G553&amp;"?utm_source="&amp;E553&amp;"&amp;utm_medium="&amp;F553&amp;"&amp;utm_campaign="&amp;H553&amp;"&amp;utm_content="&amp;I553</f>
        <v>https://ai-lens.eu/?utm_source=udemy&amp;utm_medium=course&amp;utm_campaign=2610_ff_lansare&amp;utm_content=client_general</v>
      </c>
    </row>
    <row r="554" customFormat="false" ht="15" hidden="false" customHeight="false" outlineLevel="0" collapsed="false">
      <c r="A554" s="10" t="s">
        <v>59</v>
      </c>
      <c r="B554" s="10" t="str">
        <f aca="false">INDEX('Site-uri'!$B$2:$B$20,MATCH(A554,'Site-uri'!$A$2:$A$20,0))</f>
        <v>ai-lens.eu</v>
      </c>
      <c r="C554" s="10" t="s">
        <v>187</v>
      </c>
      <c r="D554" s="10" t="s">
        <v>219</v>
      </c>
      <c r="E554" s="10" t="str">
        <f aca="false">INDEX(Canale!$C$2:$C$30,MATCH(C554,Canale!$A$2:$A$30,0))</f>
        <v>directory</v>
      </c>
      <c r="F554" s="10" t="str">
        <f aca="false">INDEX(Canale!$D$2:$D$30,MATCH(C554,Canale!$A$2:$A$30,0))</f>
        <v>referral</v>
      </c>
      <c r="G554" s="10" t="str">
        <f aca="false">INDEX('Site-uri'!$C$2:$C$20,MATCH(A554,'Site-uri'!$A$2:$A$20,0))</f>
        <v>/</v>
      </c>
      <c r="H554" s="10" t="str">
        <f aca="false">Config!$B$3</f>
        <v>2610_ff_lansare</v>
      </c>
      <c r="I554" s="10" t="str">
        <f aca="false">D554&amp;"_"&amp;Config!$B$4</f>
        <v>rece_general</v>
      </c>
      <c r="J554" s="10" t="str">
        <f aca="false">"https://"&amp;B554&amp;G554&amp;"?utm_source="&amp;E554&amp;"&amp;utm_medium="&amp;F554&amp;"&amp;utm_campaign="&amp;H554&amp;"&amp;utm_content="&amp;I554</f>
        <v>https://ai-lens.eu/?utm_source=directory&amp;utm_medium=referral&amp;utm_campaign=2610_ff_lansare&amp;utm_content=rece_general</v>
      </c>
    </row>
    <row r="555" customFormat="false" ht="15" hidden="false" customHeight="false" outlineLevel="0" collapsed="false">
      <c r="A555" s="10" t="s">
        <v>59</v>
      </c>
      <c r="B555" s="10" t="str">
        <f aca="false">INDEX('Site-uri'!$B$2:$B$20,MATCH(A555,'Site-uri'!$A$2:$A$20,0))</f>
        <v>ai-lens.eu</v>
      </c>
      <c r="C555" s="10" t="s">
        <v>187</v>
      </c>
      <c r="D555" s="10" t="s">
        <v>225</v>
      </c>
      <c r="E555" s="10" t="str">
        <f aca="false">INDEX(Canale!$C$2:$C$30,MATCH(C555,Canale!$A$2:$A$30,0))</f>
        <v>directory</v>
      </c>
      <c r="F555" s="10" t="str">
        <f aca="false">INDEX(Canale!$D$2:$D$30,MATCH(C555,Canale!$A$2:$A$30,0))</f>
        <v>referral</v>
      </c>
      <c r="G555" s="10" t="str">
        <f aca="false">INDEX('Site-uri'!$C$2:$C$20,MATCH(A555,'Site-uri'!$A$2:$A$20,0))</f>
        <v>/</v>
      </c>
      <c r="H555" s="10" t="str">
        <f aca="false">Config!$B$3</f>
        <v>2610_ff_lansare</v>
      </c>
      <c r="I555" s="10" t="str">
        <f aca="false">D555&amp;"_"&amp;Config!$B$4</f>
        <v>cald_general</v>
      </c>
      <c r="J555" s="10" t="str">
        <f aca="false">"https://"&amp;B555&amp;G555&amp;"?utm_source="&amp;E555&amp;"&amp;utm_medium="&amp;F555&amp;"&amp;utm_campaign="&amp;H555&amp;"&amp;utm_content="&amp;I555</f>
        <v>https://ai-lens.eu/?utm_source=directory&amp;utm_medium=referral&amp;utm_campaign=2610_ff_lansare&amp;utm_content=cald_general</v>
      </c>
    </row>
    <row r="556" customFormat="false" ht="15" hidden="false" customHeight="false" outlineLevel="0" collapsed="false">
      <c r="A556" s="10" t="s">
        <v>59</v>
      </c>
      <c r="B556" s="10" t="str">
        <f aca="false">INDEX('Site-uri'!$B$2:$B$20,MATCH(A556,'Site-uri'!$A$2:$A$20,0))</f>
        <v>ai-lens.eu</v>
      </c>
      <c r="C556" s="10" t="s">
        <v>187</v>
      </c>
      <c r="D556" s="10" t="s">
        <v>231</v>
      </c>
      <c r="E556" s="10" t="str">
        <f aca="false">INDEX(Canale!$C$2:$C$30,MATCH(C556,Canale!$A$2:$A$30,0))</f>
        <v>directory</v>
      </c>
      <c r="F556" s="10" t="str">
        <f aca="false">INDEX(Canale!$D$2:$D$30,MATCH(C556,Canale!$A$2:$A$30,0))</f>
        <v>referral</v>
      </c>
      <c r="G556" s="10" t="str">
        <f aca="false">INDEX('Site-uri'!$C$2:$C$20,MATCH(A556,'Site-uri'!$A$2:$A$20,0))</f>
        <v>/</v>
      </c>
      <c r="H556" s="10" t="str">
        <f aca="false">Config!$B$3</f>
        <v>2610_ff_lansare</v>
      </c>
      <c r="I556" s="10" t="str">
        <f aca="false">D556&amp;"_"&amp;Config!$B$4</f>
        <v>fierbinte_general</v>
      </c>
      <c r="J556" s="10" t="str">
        <f aca="false">"https://"&amp;B556&amp;G556&amp;"?utm_source="&amp;E556&amp;"&amp;utm_medium="&amp;F556&amp;"&amp;utm_campaign="&amp;H556&amp;"&amp;utm_content="&amp;I556</f>
        <v>https://ai-lens.eu/?utm_source=directory&amp;utm_medium=referral&amp;utm_campaign=2610_ff_lansare&amp;utm_content=fierbinte_general</v>
      </c>
    </row>
    <row r="557" customFormat="false" ht="15" hidden="false" customHeight="false" outlineLevel="0" collapsed="false">
      <c r="A557" s="10" t="s">
        <v>59</v>
      </c>
      <c r="B557" s="10" t="str">
        <f aca="false">INDEX('Site-uri'!$B$2:$B$20,MATCH(A557,'Site-uri'!$A$2:$A$20,0))</f>
        <v>ai-lens.eu</v>
      </c>
      <c r="C557" s="10" t="s">
        <v>187</v>
      </c>
      <c r="D557" s="10" t="s">
        <v>237</v>
      </c>
      <c r="E557" s="10" t="str">
        <f aca="false">INDEX(Canale!$C$2:$C$30,MATCH(C557,Canale!$A$2:$A$30,0))</f>
        <v>directory</v>
      </c>
      <c r="F557" s="10" t="str">
        <f aca="false">INDEX(Canale!$D$2:$D$30,MATCH(C557,Canale!$A$2:$A$30,0))</f>
        <v>referral</v>
      </c>
      <c r="G557" s="10" t="str">
        <f aca="false">INDEX('Site-uri'!$C$2:$C$20,MATCH(A557,'Site-uri'!$A$2:$A$20,0))</f>
        <v>/</v>
      </c>
      <c r="H557" s="10" t="str">
        <f aca="false">Config!$B$3</f>
        <v>2610_ff_lansare</v>
      </c>
      <c r="I557" s="10" t="str">
        <f aca="false">D557&amp;"_"&amp;Config!$B$4</f>
        <v>client_general</v>
      </c>
      <c r="J557" s="10" t="str">
        <f aca="false">"https://"&amp;B557&amp;G557&amp;"?utm_source="&amp;E557&amp;"&amp;utm_medium="&amp;F557&amp;"&amp;utm_campaign="&amp;H557&amp;"&amp;utm_content="&amp;I557</f>
        <v>https://ai-lens.eu/?utm_source=directory&amp;utm_medium=referral&amp;utm_campaign=2610_ff_lansare&amp;utm_content=client_general</v>
      </c>
    </row>
    <row r="558" customFormat="false" ht="15" hidden="false" customHeight="false" outlineLevel="0" collapsed="false">
      <c r="A558" s="10" t="s">
        <v>59</v>
      </c>
      <c r="B558" s="10" t="str">
        <f aca="false">INDEX('Site-uri'!$B$2:$B$20,MATCH(A558,'Site-uri'!$A$2:$A$20,0))</f>
        <v>ai-lens.eu</v>
      </c>
      <c r="C558" s="10" t="s">
        <v>191</v>
      </c>
      <c r="D558" s="10" t="s">
        <v>219</v>
      </c>
      <c r="E558" s="10" t="str">
        <f aca="false">INDEX(Canale!$C$2:$C$30,MATCH(C558,Canale!$A$2:$A$30,0))</f>
        <v>partner</v>
      </c>
      <c r="F558" s="10" t="str">
        <f aca="false">INDEX(Canale!$D$2:$D$30,MATCH(C558,Canale!$A$2:$A$30,0))</f>
        <v>partner</v>
      </c>
      <c r="G558" s="10" t="str">
        <f aca="false">INDEX('Site-uri'!$C$2:$C$20,MATCH(A558,'Site-uri'!$A$2:$A$20,0))</f>
        <v>/</v>
      </c>
      <c r="H558" s="10" t="str">
        <f aca="false">Config!$B$3</f>
        <v>2610_ff_lansare</v>
      </c>
      <c r="I558" s="10" t="str">
        <f aca="false">D558&amp;"_"&amp;Config!$B$4</f>
        <v>rece_general</v>
      </c>
      <c r="J558" s="10" t="str">
        <f aca="false">"https://"&amp;B558&amp;G558&amp;"?utm_source="&amp;E558&amp;"&amp;utm_medium="&amp;F558&amp;"&amp;utm_campaign="&amp;H558&amp;"&amp;utm_content="&amp;I558</f>
        <v>https://ai-lens.eu/?utm_source=partner&amp;utm_medium=partner&amp;utm_campaign=2610_ff_lansare&amp;utm_content=rece_general</v>
      </c>
    </row>
    <row r="559" customFormat="false" ht="15" hidden="false" customHeight="false" outlineLevel="0" collapsed="false">
      <c r="A559" s="10" t="s">
        <v>59</v>
      </c>
      <c r="B559" s="10" t="str">
        <f aca="false">INDEX('Site-uri'!$B$2:$B$20,MATCH(A559,'Site-uri'!$A$2:$A$20,0))</f>
        <v>ai-lens.eu</v>
      </c>
      <c r="C559" s="10" t="s">
        <v>191</v>
      </c>
      <c r="D559" s="10" t="s">
        <v>225</v>
      </c>
      <c r="E559" s="10" t="str">
        <f aca="false">INDEX(Canale!$C$2:$C$30,MATCH(C559,Canale!$A$2:$A$30,0))</f>
        <v>partner</v>
      </c>
      <c r="F559" s="10" t="str">
        <f aca="false">INDEX(Canale!$D$2:$D$30,MATCH(C559,Canale!$A$2:$A$30,0))</f>
        <v>partner</v>
      </c>
      <c r="G559" s="10" t="str">
        <f aca="false">INDEX('Site-uri'!$C$2:$C$20,MATCH(A559,'Site-uri'!$A$2:$A$20,0))</f>
        <v>/</v>
      </c>
      <c r="H559" s="10" t="str">
        <f aca="false">Config!$B$3</f>
        <v>2610_ff_lansare</v>
      </c>
      <c r="I559" s="10" t="str">
        <f aca="false">D559&amp;"_"&amp;Config!$B$4</f>
        <v>cald_general</v>
      </c>
      <c r="J559" s="10" t="str">
        <f aca="false">"https://"&amp;B559&amp;G559&amp;"?utm_source="&amp;E559&amp;"&amp;utm_medium="&amp;F559&amp;"&amp;utm_campaign="&amp;H559&amp;"&amp;utm_content="&amp;I559</f>
        <v>https://ai-lens.eu/?utm_source=partner&amp;utm_medium=partner&amp;utm_campaign=2610_ff_lansare&amp;utm_content=cald_general</v>
      </c>
    </row>
    <row r="560" customFormat="false" ht="15" hidden="false" customHeight="false" outlineLevel="0" collapsed="false">
      <c r="A560" s="10" t="s">
        <v>59</v>
      </c>
      <c r="B560" s="10" t="str">
        <f aca="false">INDEX('Site-uri'!$B$2:$B$20,MATCH(A560,'Site-uri'!$A$2:$A$20,0))</f>
        <v>ai-lens.eu</v>
      </c>
      <c r="C560" s="10" t="s">
        <v>191</v>
      </c>
      <c r="D560" s="10" t="s">
        <v>231</v>
      </c>
      <c r="E560" s="10" t="str">
        <f aca="false">INDEX(Canale!$C$2:$C$30,MATCH(C560,Canale!$A$2:$A$30,0))</f>
        <v>partner</v>
      </c>
      <c r="F560" s="10" t="str">
        <f aca="false">INDEX(Canale!$D$2:$D$30,MATCH(C560,Canale!$A$2:$A$30,0))</f>
        <v>partner</v>
      </c>
      <c r="G560" s="10" t="str">
        <f aca="false">INDEX('Site-uri'!$C$2:$C$20,MATCH(A560,'Site-uri'!$A$2:$A$20,0))</f>
        <v>/</v>
      </c>
      <c r="H560" s="10" t="str">
        <f aca="false">Config!$B$3</f>
        <v>2610_ff_lansare</v>
      </c>
      <c r="I560" s="10" t="str">
        <f aca="false">D560&amp;"_"&amp;Config!$B$4</f>
        <v>fierbinte_general</v>
      </c>
      <c r="J560" s="10" t="str">
        <f aca="false">"https://"&amp;B560&amp;G560&amp;"?utm_source="&amp;E560&amp;"&amp;utm_medium="&amp;F560&amp;"&amp;utm_campaign="&amp;H560&amp;"&amp;utm_content="&amp;I560</f>
        <v>https://ai-lens.eu/?utm_source=partner&amp;utm_medium=partner&amp;utm_campaign=2610_ff_lansare&amp;utm_content=fierbinte_general</v>
      </c>
    </row>
    <row r="561" customFormat="false" ht="15" hidden="false" customHeight="false" outlineLevel="0" collapsed="false">
      <c r="A561" s="10" t="s">
        <v>59</v>
      </c>
      <c r="B561" s="10" t="str">
        <f aca="false">INDEX('Site-uri'!$B$2:$B$20,MATCH(A561,'Site-uri'!$A$2:$A$20,0))</f>
        <v>ai-lens.eu</v>
      </c>
      <c r="C561" s="10" t="s">
        <v>191</v>
      </c>
      <c r="D561" s="10" t="s">
        <v>237</v>
      </c>
      <c r="E561" s="10" t="str">
        <f aca="false">INDEX(Canale!$C$2:$C$30,MATCH(C561,Canale!$A$2:$A$30,0))</f>
        <v>partner</v>
      </c>
      <c r="F561" s="10" t="str">
        <f aca="false">INDEX(Canale!$D$2:$D$30,MATCH(C561,Canale!$A$2:$A$30,0))</f>
        <v>partner</v>
      </c>
      <c r="G561" s="10" t="str">
        <f aca="false">INDEX('Site-uri'!$C$2:$C$20,MATCH(A561,'Site-uri'!$A$2:$A$20,0))</f>
        <v>/</v>
      </c>
      <c r="H561" s="10" t="str">
        <f aca="false">Config!$B$3</f>
        <v>2610_ff_lansare</v>
      </c>
      <c r="I561" s="10" t="str">
        <f aca="false">D561&amp;"_"&amp;Config!$B$4</f>
        <v>client_general</v>
      </c>
      <c r="J561" s="10" t="str">
        <f aca="false">"https://"&amp;B561&amp;G561&amp;"?utm_source="&amp;E561&amp;"&amp;utm_medium="&amp;F561&amp;"&amp;utm_campaign="&amp;H561&amp;"&amp;utm_content="&amp;I561</f>
        <v>https://ai-lens.eu/?utm_source=partner&amp;utm_medium=partner&amp;utm_campaign=2610_ff_lansare&amp;utm_content=client_general</v>
      </c>
    </row>
    <row r="562" customFormat="false" ht="15" hidden="false" customHeight="false" outlineLevel="0" collapsed="false">
      <c r="A562" s="10" t="s">
        <v>59</v>
      </c>
      <c r="B562" s="10" t="str">
        <f aca="false">INDEX('Site-uri'!$B$2:$B$20,MATCH(A562,'Site-uri'!$A$2:$A$20,0))</f>
        <v>ai-lens.eu</v>
      </c>
      <c r="C562" s="10" t="s">
        <v>193</v>
      </c>
      <c r="D562" s="10" t="s">
        <v>219</v>
      </c>
      <c r="E562" s="10" t="str">
        <f aca="false">INDEX(Canale!$C$2:$C$30,MATCH(C562,Canale!$A$2:$A$30,0))</f>
        <v>pdf_proposal</v>
      </c>
      <c r="F562" s="10" t="str">
        <f aca="false">INDEX(Canale!$D$2:$D$30,MATCH(C562,Canale!$A$2:$A$30,0))</f>
        <v>document</v>
      </c>
      <c r="G562" s="10" t="str">
        <f aca="false">INDEX('Site-uri'!$C$2:$C$20,MATCH(A562,'Site-uri'!$A$2:$A$20,0))</f>
        <v>/</v>
      </c>
      <c r="H562" s="10" t="str">
        <f aca="false">Config!$B$3</f>
        <v>2610_ff_lansare</v>
      </c>
      <c r="I562" s="10" t="str">
        <f aca="false">D562&amp;"_"&amp;Config!$B$4</f>
        <v>rece_general</v>
      </c>
      <c r="J562" s="10" t="str">
        <f aca="false">"https://"&amp;B562&amp;G562&amp;"?utm_source="&amp;E562&amp;"&amp;utm_medium="&amp;F562&amp;"&amp;utm_campaign="&amp;H562&amp;"&amp;utm_content="&amp;I562</f>
        <v>https://ai-lens.eu/?utm_source=pdf_proposal&amp;utm_medium=document&amp;utm_campaign=2610_ff_lansare&amp;utm_content=rece_general</v>
      </c>
    </row>
    <row r="563" customFormat="false" ht="15" hidden="false" customHeight="false" outlineLevel="0" collapsed="false">
      <c r="A563" s="10" t="s">
        <v>59</v>
      </c>
      <c r="B563" s="10" t="str">
        <f aca="false">INDEX('Site-uri'!$B$2:$B$20,MATCH(A563,'Site-uri'!$A$2:$A$20,0))</f>
        <v>ai-lens.eu</v>
      </c>
      <c r="C563" s="10" t="s">
        <v>193</v>
      </c>
      <c r="D563" s="10" t="s">
        <v>225</v>
      </c>
      <c r="E563" s="10" t="str">
        <f aca="false">INDEX(Canale!$C$2:$C$30,MATCH(C563,Canale!$A$2:$A$30,0))</f>
        <v>pdf_proposal</v>
      </c>
      <c r="F563" s="10" t="str">
        <f aca="false">INDEX(Canale!$D$2:$D$30,MATCH(C563,Canale!$A$2:$A$30,0))</f>
        <v>document</v>
      </c>
      <c r="G563" s="10" t="str">
        <f aca="false">INDEX('Site-uri'!$C$2:$C$20,MATCH(A563,'Site-uri'!$A$2:$A$20,0))</f>
        <v>/</v>
      </c>
      <c r="H563" s="10" t="str">
        <f aca="false">Config!$B$3</f>
        <v>2610_ff_lansare</v>
      </c>
      <c r="I563" s="10" t="str">
        <f aca="false">D563&amp;"_"&amp;Config!$B$4</f>
        <v>cald_general</v>
      </c>
      <c r="J563" s="10" t="str">
        <f aca="false">"https://"&amp;B563&amp;G563&amp;"?utm_source="&amp;E563&amp;"&amp;utm_medium="&amp;F563&amp;"&amp;utm_campaign="&amp;H563&amp;"&amp;utm_content="&amp;I563</f>
        <v>https://ai-lens.eu/?utm_source=pdf_proposal&amp;utm_medium=document&amp;utm_campaign=2610_ff_lansare&amp;utm_content=cald_general</v>
      </c>
    </row>
    <row r="564" customFormat="false" ht="15" hidden="false" customHeight="false" outlineLevel="0" collapsed="false">
      <c r="A564" s="10" t="s">
        <v>59</v>
      </c>
      <c r="B564" s="10" t="str">
        <f aca="false">INDEX('Site-uri'!$B$2:$B$20,MATCH(A564,'Site-uri'!$A$2:$A$20,0))</f>
        <v>ai-lens.eu</v>
      </c>
      <c r="C564" s="10" t="s">
        <v>193</v>
      </c>
      <c r="D564" s="10" t="s">
        <v>231</v>
      </c>
      <c r="E564" s="10" t="str">
        <f aca="false">INDEX(Canale!$C$2:$C$30,MATCH(C564,Canale!$A$2:$A$30,0))</f>
        <v>pdf_proposal</v>
      </c>
      <c r="F564" s="10" t="str">
        <f aca="false">INDEX(Canale!$D$2:$D$30,MATCH(C564,Canale!$A$2:$A$30,0))</f>
        <v>document</v>
      </c>
      <c r="G564" s="10" t="str">
        <f aca="false">INDEX('Site-uri'!$C$2:$C$20,MATCH(A564,'Site-uri'!$A$2:$A$20,0))</f>
        <v>/</v>
      </c>
      <c r="H564" s="10" t="str">
        <f aca="false">Config!$B$3</f>
        <v>2610_ff_lansare</v>
      </c>
      <c r="I564" s="10" t="str">
        <f aca="false">D564&amp;"_"&amp;Config!$B$4</f>
        <v>fierbinte_general</v>
      </c>
      <c r="J564" s="10" t="str">
        <f aca="false">"https://"&amp;B564&amp;G564&amp;"?utm_source="&amp;E564&amp;"&amp;utm_medium="&amp;F564&amp;"&amp;utm_campaign="&amp;H564&amp;"&amp;utm_content="&amp;I564</f>
        <v>https://ai-lens.eu/?utm_source=pdf_proposal&amp;utm_medium=document&amp;utm_campaign=2610_ff_lansare&amp;utm_content=fierbinte_general</v>
      </c>
    </row>
    <row r="565" customFormat="false" ht="15" hidden="false" customHeight="false" outlineLevel="0" collapsed="false">
      <c r="A565" s="10" t="s">
        <v>59</v>
      </c>
      <c r="B565" s="10" t="str">
        <f aca="false">INDEX('Site-uri'!$B$2:$B$20,MATCH(A565,'Site-uri'!$A$2:$A$20,0))</f>
        <v>ai-lens.eu</v>
      </c>
      <c r="C565" s="10" t="s">
        <v>193</v>
      </c>
      <c r="D565" s="10" t="s">
        <v>237</v>
      </c>
      <c r="E565" s="10" t="str">
        <f aca="false">INDEX(Canale!$C$2:$C$30,MATCH(C565,Canale!$A$2:$A$30,0))</f>
        <v>pdf_proposal</v>
      </c>
      <c r="F565" s="10" t="str">
        <f aca="false">INDEX(Canale!$D$2:$D$30,MATCH(C565,Canale!$A$2:$A$30,0))</f>
        <v>document</v>
      </c>
      <c r="G565" s="10" t="str">
        <f aca="false">INDEX('Site-uri'!$C$2:$C$20,MATCH(A565,'Site-uri'!$A$2:$A$20,0))</f>
        <v>/</v>
      </c>
      <c r="H565" s="10" t="str">
        <f aca="false">Config!$B$3</f>
        <v>2610_ff_lansare</v>
      </c>
      <c r="I565" s="10" t="str">
        <f aca="false">D565&amp;"_"&amp;Config!$B$4</f>
        <v>client_general</v>
      </c>
      <c r="J565" s="10" t="str">
        <f aca="false">"https://"&amp;B565&amp;G565&amp;"?utm_source="&amp;E565&amp;"&amp;utm_medium="&amp;F565&amp;"&amp;utm_campaign="&amp;H565&amp;"&amp;utm_content="&amp;I565</f>
        <v>https://ai-lens.eu/?utm_source=pdf_proposal&amp;utm_medium=document&amp;utm_campaign=2610_ff_lansare&amp;utm_content=client_general</v>
      </c>
    </row>
    <row r="566" customFormat="false" ht="15" hidden="false" customHeight="false" outlineLevel="0" collapsed="false">
      <c r="A566" s="10" t="s">
        <v>59</v>
      </c>
      <c r="B566" s="10" t="str">
        <f aca="false">INDEX('Site-uri'!$B$2:$B$20,MATCH(A566,'Site-uri'!$A$2:$A$20,0))</f>
        <v>ai-lens.eu</v>
      </c>
      <c r="C566" s="10" t="s">
        <v>198</v>
      </c>
      <c r="D566" s="10" t="s">
        <v>219</v>
      </c>
      <c r="E566" s="10" t="str">
        <f aca="false">INDEX(Canale!$C$2:$C$30,MATCH(C566,Canale!$A$2:$A$30,0))</f>
        <v>qr_print</v>
      </c>
      <c r="F566" s="10" t="str">
        <f aca="false">INDEX(Canale!$D$2:$D$30,MATCH(C566,Canale!$A$2:$A$30,0))</f>
        <v>qr</v>
      </c>
      <c r="G566" s="10" t="str">
        <f aca="false">INDEX('Site-uri'!$C$2:$C$20,MATCH(A566,'Site-uri'!$A$2:$A$20,0))</f>
        <v>/</v>
      </c>
      <c r="H566" s="10" t="str">
        <f aca="false">Config!$B$3</f>
        <v>2610_ff_lansare</v>
      </c>
      <c r="I566" s="10" t="str">
        <f aca="false">D566&amp;"_"&amp;Config!$B$4</f>
        <v>rece_general</v>
      </c>
      <c r="J566" s="10" t="str">
        <f aca="false">"https://"&amp;B566&amp;G566&amp;"?utm_source="&amp;E566&amp;"&amp;utm_medium="&amp;F566&amp;"&amp;utm_campaign="&amp;H566&amp;"&amp;utm_content="&amp;I566</f>
        <v>https://ai-lens.eu/?utm_source=qr_print&amp;utm_medium=qr&amp;utm_campaign=2610_ff_lansare&amp;utm_content=rece_general</v>
      </c>
    </row>
    <row r="567" customFormat="false" ht="15" hidden="false" customHeight="false" outlineLevel="0" collapsed="false">
      <c r="A567" s="10" t="s">
        <v>59</v>
      </c>
      <c r="B567" s="10" t="str">
        <f aca="false">INDEX('Site-uri'!$B$2:$B$20,MATCH(A567,'Site-uri'!$A$2:$A$20,0))</f>
        <v>ai-lens.eu</v>
      </c>
      <c r="C567" s="10" t="s">
        <v>198</v>
      </c>
      <c r="D567" s="10" t="s">
        <v>225</v>
      </c>
      <c r="E567" s="10" t="str">
        <f aca="false">INDEX(Canale!$C$2:$C$30,MATCH(C567,Canale!$A$2:$A$30,0))</f>
        <v>qr_print</v>
      </c>
      <c r="F567" s="10" t="str">
        <f aca="false">INDEX(Canale!$D$2:$D$30,MATCH(C567,Canale!$A$2:$A$30,0))</f>
        <v>qr</v>
      </c>
      <c r="G567" s="10" t="str">
        <f aca="false">INDEX('Site-uri'!$C$2:$C$20,MATCH(A567,'Site-uri'!$A$2:$A$20,0))</f>
        <v>/</v>
      </c>
      <c r="H567" s="10" t="str">
        <f aca="false">Config!$B$3</f>
        <v>2610_ff_lansare</v>
      </c>
      <c r="I567" s="10" t="str">
        <f aca="false">D567&amp;"_"&amp;Config!$B$4</f>
        <v>cald_general</v>
      </c>
      <c r="J567" s="10" t="str">
        <f aca="false">"https://"&amp;B567&amp;G567&amp;"?utm_source="&amp;E567&amp;"&amp;utm_medium="&amp;F567&amp;"&amp;utm_campaign="&amp;H567&amp;"&amp;utm_content="&amp;I567</f>
        <v>https://ai-lens.eu/?utm_source=qr_print&amp;utm_medium=qr&amp;utm_campaign=2610_ff_lansare&amp;utm_content=cald_general</v>
      </c>
    </row>
    <row r="568" customFormat="false" ht="15" hidden="false" customHeight="false" outlineLevel="0" collapsed="false">
      <c r="A568" s="10" t="s">
        <v>59</v>
      </c>
      <c r="B568" s="10" t="str">
        <f aca="false">INDEX('Site-uri'!$B$2:$B$20,MATCH(A568,'Site-uri'!$A$2:$A$20,0))</f>
        <v>ai-lens.eu</v>
      </c>
      <c r="C568" s="10" t="s">
        <v>198</v>
      </c>
      <c r="D568" s="10" t="s">
        <v>231</v>
      </c>
      <c r="E568" s="10" t="str">
        <f aca="false">INDEX(Canale!$C$2:$C$30,MATCH(C568,Canale!$A$2:$A$30,0))</f>
        <v>qr_print</v>
      </c>
      <c r="F568" s="10" t="str">
        <f aca="false">INDEX(Canale!$D$2:$D$30,MATCH(C568,Canale!$A$2:$A$30,0))</f>
        <v>qr</v>
      </c>
      <c r="G568" s="10" t="str">
        <f aca="false">INDEX('Site-uri'!$C$2:$C$20,MATCH(A568,'Site-uri'!$A$2:$A$20,0))</f>
        <v>/</v>
      </c>
      <c r="H568" s="10" t="str">
        <f aca="false">Config!$B$3</f>
        <v>2610_ff_lansare</v>
      </c>
      <c r="I568" s="10" t="str">
        <f aca="false">D568&amp;"_"&amp;Config!$B$4</f>
        <v>fierbinte_general</v>
      </c>
      <c r="J568" s="10" t="str">
        <f aca="false">"https://"&amp;B568&amp;G568&amp;"?utm_source="&amp;E568&amp;"&amp;utm_medium="&amp;F568&amp;"&amp;utm_campaign="&amp;H568&amp;"&amp;utm_content="&amp;I568</f>
        <v>https://ai-lens.eu/?utm_source=qr_print&amp;utm_medium=qr&amp;utm_campaign=2610_ff_lansare&amp;utm_content=fierbinte_general</v>
      </c>
    </row>
    <row r="569" customFormat="false" ht="15" hidden="false" customHeight="false" outlineLevel="0" collapsed="false">
      <c r="A569" s="10" t="s">
        <v>59</v>
      </c>
      <c r="B569" s="10" t="str">
        <f aca="false">INDEX('Site-uri'!$B$2:$B$20,MATCH(A569,'Site-uri'!$A$2:$A$20,0))</f>
        <v>ai-lens.eu</v>
      </c>
      <c r="C569" s="10" t="s">
        <v>198</v>
      </c>
      <c r="D569" s="10" t="s">
        <v>237</v>
      </c>
      <c r="E569" s="10" t="str">
        <f aca="false">INDEX(Canale!$C$2:$C$30,MATCH(C569,Canale!$A$2:$A$30,0))</f>
        <v>qr_print</v>
      </c>
      <c r="F569" s="10" t="str">
        <f aca="false">INDEX(Canale!$D$2:$D$30,MATCH(C569,Canale!$A$2:$A$30,0))</f>
        <v>qr</v>
      </c>
      <c r="G569" s="10" t="str">
        <f aca="false">INDEX('Site-uri'!$C$2:$C$20,MATCH(A569,'Site-uri'!$A$2:$A$20,0))</f>
        <v>/</v>
      </c>
      <c r="H569" s="10" t="str">
        <f aca="false">Config!$B$3</f>
        <v>2610_ff_lansare</v>
      </c>
      <c r="I569" s="10" t="str">
        <f aca="false">D569&amp;"_"&amp;Config!$B$4</f>
        <v>client_general</v>
      </c>
      <c r="J569" s="10" t="str">
        <f aca="false">"https://"&amp;B569&amp;G569&amp;"?utm_source="&amp;E569&amp;"&amp;utm_medium="&amp;F569&amp;"&amp;utm_campaign="&amp;H569&amp;"&amp;utm_content="&amp;I569</f>
        <v>https://ai-lens.eu/?utm_source=qr_print&amp;utm_medium=qr&amp;utm_campaign=2610_ff_lansare&amp;utm_content=client_general</v>
      </c>
    </row>
    <row r="570" customFormat="false" ht="15" hidden="false" customHeight="false" outlineLevel="0" collapsed="false">
      <c r="A570" s="10" t="s">
        <v>59</v>
      </c>
      <c r="B570" s="10" t="str">
        <f aca="false">INDEX('Site-uri'!$B$2:$B$20,MATCH(A570,'Site-uri'!$A$2:$A$20,0))</f>
        <v>ai-lens.eu</v>
      </c>
      <c r="C570" s="10" t="s">
        <v>202</v>
      </c>
      <c r="D570" s="10" t="s">
        <v>219</v>
      </c>
      <c r="E570" s="10" t="str">
        <f aca="false">INDEX(Canale!$C$2:$C$30,MATCH(C570,Canale!$A$2:$A$30,0))</f>
        <v>event</v>
      </c>
      <c r="F570" s="10" t="str">
        <f aca="false">INDEX(Canale!$D$2:$D$30,MATCH(C570,Canale!$A$2:$A$30,0))</f>
        <v>event</v>
      </c>
      <c r="G570" s="10" t="str">
        <f aca="false">INDEX('Site-uri'!$C$2:$C$20,MATCH(A570,'Site-uri'!$A$2:$A$20,0))</f>
        <v>/</v>
      </c>
      <c r="H570" s="10" t="str">
        <f aca="false">Config!$B$3</f>
        <v>2610_ff_lansare</v>
      </c>
      <c r="I570" s="10" t="str">
        <f aca="false">D570&amp;"_"&amp;Config!$B$4</f>
        <v>rece_general</v>
      </c>
      <c r="J570" s="10" t="str">
        <f aca="false">"https://"&amp;B570&amp;G570&amp;"?utm_source="&amp;E570&amp;"&amp;utm_medium="&amp;F570&amp;"&amp;utm_campaign="&amp;H570&amp;"&amp;utm_content="&amp;I570</f>
        <v>https://ai-lens.eu/?utm_source=event&amp;utm_medium=event&amp;utm_campaign=2610_ff_lansare&amp;utm_content=rece_general</v>
      </c>
    </row>
    <row r="571" customFormat="false" ht="15" hidden="false" customHeight="false" outlineLevel="0" collapsed="false">
      <c r="A571" s="10" t="s">
        <v>59</v>
      </c>
      <c r="B571" s="10" t="str">
        <f aca="false">INDEX('Site-uri'!$B$2:$B$20,MATCH(A571,'Site-uri'!$A$2:$A$20,0))</f>
        <v>ai-lens.eu</v>
      </c>
      <c r="C571" s="10" t="s">
        <v>202</v>
      </c>
      <c r="D571" s="10" t="s">
        <v>225</v>
      </c>
      <c r="E571" s="10" t="str">
        <f aca="false">INDEX(Canale!$C$2:$C$30,MATCH(C571,Canale!$A$2:$A$30,0))</f>
        <v>event</v>
      </c>
      <c r="F571" s="10" t="str">
        <f aca="false">INDEX(Canale!$D$2:$D$30,MATCH(C571,Canale!$A$2:$A$30,0))</f>
        <v>event</v>
      </c>
      <c r="G571" s="10" t="str">
        <f aca="false">INDEX('Site-uri'!$C$2:$C$20,MATCH(A571,'Site-uri'!$A$2:$A$20,0))</f>
        <v>/</v>
      </c>
      <c r="H571" s="10" t="str">
        <f aca="false">Config!$B$3</f>
        <v>2610_ff_lansare</v>
      </c>
      <c r="I571" s="10" t="str">
        <f aca="false">D571&amp;"_"&amp;Config!$B$4</f>
        <v>cald_general</v>
      </c>
      <c r="J571" s="10" t="str">
        <f aca="false">"https://"&amp;B571&amp;G571&amp;"?utm_source="&amp;E571&amp;"&amp;utm_medium="&amp;F571&amp;"&amp;utm_campaign="&amp;H571&amp;"&amp;utm_content="&amp;I571</f>
        <v>https://ai-lens.eu/?utm_source=event&amp;utm_medium=event&amp;utm_campaign=2610_ff_lansare&amp;utm_content=cald_general</v>
      </c>
    </row>
    <row r="572" customFormat="false" ht="15" hidden="false" customHeight="false" outlineLevel="0" collapsed="false">
      <c r="A572" s="10" t="s">
        <v>59</v>
      </c>
      <c r="B572" s="10" t="str">
        <f aca="false">INDEX('Site-uri'!$B$2:$B$20,MATCH(A572,'Site-uri'!$A$2:$A$20,0))</f>
        <v>ai-lens.eu</v>
      </c>
      <c r="C572" s="10" t="s">
        <v>202</v>
      </c>
      <c r="D572" s="10" t="s">
        <v>231</v>
      </c>
      <c r="E572" s="10" t="str">
        <f aca="false">INDEX(Canale!$C$2:$C$30,MATCH(C572,Canale!$A$2:$A$30,0))</f>
        <v>event</v>
      </c>
      <c r="F572" s="10" t="str">
        <f aca="false">INDEX(Canale!$D$2:$D$30,MATCH(C572,Canale!$A$2:$A$30,0))</f>
        <v>event</v>
      </c>
      <c r="G572" s="10" t="str">
        <f aca="false">INDEX('Site-uri'!$C$2:$C$20,MATCH(A572,'Site-uri'!$A$2:$A$20,0))</f>
        <v>/</v>
      </c>
      <c r="H572" s="10" t="str">
        <f aca="false">Config!$B$3</f>
        <v>2610_ff_lansare</v>
      </c>
      <c r="I572" s="10" t="str">
        <f aca="false">D572&amp;"_"&amp;Config!$B$4</f>
        <v>fierbinte_general</v>
      </c>
      <c r="J572" s="10" t="str">
        <f aca="false">"https://"&amp;B572&amp;G572&amp;"?utm_source="&amp;E572&amp;"&amp;utm_medium="&amp;F572&amp;"&amp;utm_campaign="&amp;H572&amp;"&amp;utm_content="&amp;I572</f>
        <v>https://ai-lens.eu/?utm_source=event&amp;utm_medium=event&amp;utm_campaign=2610_ff_lansare&amp;utm_content=fierbinte_general</v>
      </c>
    </row>
    <row r="573" customFormat="false" ht="15" hidden="false" customHeight="false" outlineLevel="0" collapsed="false">
      <c r="A573" s="10" t="s">
        <v>59</v>
      </c>
      <c r="B573" s="10" t="str">
        <f aca="false">INDEX('Site-uri'!$B$2:$B$20,MATCH(A573,'Site-uri'!$A$2:$A$20,0))</f>
        <v>ai-lens.eu</v>
      </c>
      <c r="C573" s="10" t="s">
        <v>202</v>
      </c>
      <c r="D573" s="10" t="s">
        <v>237</v>
      </c>
      <c r="E573" s="10" t="str">
        <f aca="false">INDEX(Canale!$C$2:$C$30,MATCH(C573,Canale!$A$2:$A$30,0))</f>
        <v>event</v>
      </c>
      <c r="F573" s="10" t="str">
        <f aca="false">INDEX(Canale!$D$2:$D$30,MATCH(C573,Canale!$A$2:$A$30,0))</f>
        <v>event</v>
      </c>
      <c r="G573" s="10" t="str">
        <f aca="false">INDEX('Site-uri'!$C$2:$C$20,MATCH(A573,'Site-uri'!$A$2:$A$20,0))</f>
        <v>/</v>
      </c>
      <c r="H573" s="10" t="str">
        <f aca="false">Config!$B$3</f>
        <v>2610_ff_lansare</v>
      </c>
      <c r="I573" s="10" t="str">
        <f aca="false">D573&amp;"_"&amp;Config!$B$4</f>
        <v>client_general</v>
      </c>
      <c r="J573" s="10" t="str">
        <f aca="false">"https://"&amp;B573&amp;G573&amp;"?utm_source="&amp;E573&amp;"&amp;utm_medium="&amp;F573&amp;"&amp;utm_campaign="&amp;H573&amp;"&amp;utm_content="&amp;I573</f>
        <v>https://ai-lens.eu/?utm_source=event&amp;utm_medium=event&amp;utm_campaign=2610_ff_lansare&amp;utm_content=client_general</v>
      </c>
    </row>
    <row r="574" customFormat="false" ht="15" hidden="false" customHeight="false" outlineLevel="0" collapsed="false">
      <c r="A574" s="10" t="s">
        <v>59</v>
      </c>
      <c r="B574" s="10" t="str">
        <f aca="false">INDEX('Site-uri'!$B$2:$B$20,MATCH(A574,'Site-uri'!$A$2:$A$20,0))</f>
        <v>ai-lens.eu</v>
      </c>
      <c r="C574" s="10" t="s">
        <v>204</v>
      </c>
      <c r="D574" s="10" t="s">
        <v>219</v>
      </c>
      <c r="E574" s="10" t="str">
        <f aca="false">INDEX(Canale!$C$2:$C$30,MATCH(C574,Canale!$A$2:$A$30,0))</f>
        <v>a2a_agent_card</v>
      </c>
      <c r="F574" s="10" t="str">
        <f aca="false">INDEX(Canale!$D$2:$D$30,MATCH(C574,Canale!$A$2:$A$30,0))</f>
        <v>agent</v>
      </c>
      <c r="G574" s="10" t="str">
        <f aca="false">INDEX('Site-uri'!$C$2:$C$20,MATCH(A574,'Site-uri'!$A$2:$A$20,0))</f>
        <v>/</v>
      </c>
      <c r="H574" s="10" t="str">
        <f aca="false">Config!$B$3</f>
        <v>2610_ff_lansare</v>
      </c>
      <c r="I574" s="10" t="str">
        <f aca="false">D574&amp;"_"&amp;Config!$B$4</f>
        <v>rece_general</v>
      </c>
      <c r="J574" s="10" t="str">
        <f aca="false">"https://"&amp;B574&amp;G574&amp;"?utm_source="&amp;E574&amp;"&amp;utm_medium="&amp;F574&amp;"&amp;utm_campaign="&amp;H574&amp;"&amp;utm_content="&amp;I574</f>
        <v>https://ai-lens.eu/?utm_source=a2a_agent_card&amp;utm_medium=agent&amp;utm_campaign=2610_ff_lansare&amp;utm_content=rece_general</v>
      </c>
    </row>
    <row r="575" customFormat="false" ht="15" hidden="false" customHeight="false" outlineLevel="0" collapsed="false">
      <c r="A575" s="10" t="s">
        <v>59</v>
      </c>
      <c r="B575" s="10" t="str">
        <f aca="false">INDEX('Site-uri'!$B$2:$B$20,MATCH(A575,'Site-uri'!$A$2:$A$20,0))</f>
        <v>ai-lens.eu</v>
      </c>
      <c r="C575" s="10" t="s">
        <v>204</v>
      </c>
      <c r="D575" s="10" t="s">
        <v>225</v>
      </c>
      <c r="E575" s="10" t="str">
        <f aca="false">INDEX(Canale!$C$2:$C$30,MATCH(C575,Canale!$A$2:$A$30,0))</f>
        <v>a2a_agent_card</v>
      </c>
      <c r="F575" s="10" t="str">
        <f aca="false">INDEX(Canale!$D$2:$D$30,MATCH(C575,Canale!$A$2:$A$30,0))</f>
        <v>agent</v>
      </c>
      <c r="G575" s="10" t="str">
        <f aca="false">INDEX('Site-uri'!$C$2:$C$20,MATCH(A575,'Site-uri'!$A$2:$A$20,0))</f>
        <v>/</v>
      </c>
      <c r="H575" s="10" t="str">
        <f aca="false">Config!$B$3</f>
        <v>2610_ff_lansare</v>
      </c>
      <c r="I575" s="10" t="str">
        <f aca="false">D575&amp;"_"&amp;Config!$B$4</f>
        <v>cald_general</v>
      </c>
      <c r="J575" s="10" t="str">
        <f aca="false">"https://"&amp;B575&amp;G575&amp;"?utm_source="&amp;E575&amp;"&amp;utm_medium="&amp;F575&amp;"&amp;utm_campaign="&amp;H575&amp;"&amp;utm_content="&amp;I575</f>
        <v>https://ai-lens.eu/?utm_source=a2a_agent_card&amp;utm_medium=agent&amp;utm_campaign=2610_ff_lansare&amp;utm_content=cald_general</v>
      </c>
    </row>
    <row r="576" customFormat="false" ht="15" hidden="false" customHeight="false" outlineLevel="0" collapsed="false">
      <c r="A576" s="10" t="s">
        <v>59</v>
      </c>
      <c r="B576" s="10" t="str">
        <f aca="false">INDEX('Site-uri'!$B$2:$B$20,MATCH(A576,'Site-uri'!$A$2:$A$20,0))</f>
        <v>ai-lens.eu</v>
      </c>
      <c r="C576" s="10" t="s">
        <v>204</v>
      </c>
      <c r="D576" s="10" t="s">
        <v>231</v>
      </c>
      <c r="E576" s="10" t="str">
        <f aca="false">INDEX(Canale!$C$2:$C$30,MATCH(C576,Canale!$A$2:$A$30,0))</f>
        <v>a2a_agent_card</v>
      </c>
      <c r="F576" s="10" t="str">
        <f aca="false">INDEX(Canale!$D$2:$D$30,MATCH(C576,Canale!$A$2:$A$30,0))</f>
        <v>agent</v>
      </c>
      <c r="G576" s="10" t="str">
        <f aca="false">INDEX('Site-uri'!$C$2:$C$20,MATCH(A576,'Site-uri'!$A$2:$A$20,0))</f>
        <v>/</v>
      </c>
      <c r="H576" s="10" t="str">
        <f aca="false">Config!$B$3</f>
        <v>2610_ff_lansare</v>
      </c>
      <c r="I576" s="10" t="str">
        <f aca="false">D576&amp;"_"&amp;Config!$B$4</f>
        <v>fierbinte_general</v>
      </c>
      <c r="J576" s="10" t="str">
        <f aca="false">"https://"&amp;B576&amp;G576&amp;"?utm_source="&amp;E576&amp;"&amp;utm_medium="&amp;F576&amp;"&amp;utm_campaign="&amp;H576&amp;"&amp;utm_content="&amp;I576</f>
        <v>https://ai-lens.eu/?utm_source=a2a_agent_card&amp;utm_medium=agent&amp;utm_campaign=2610_ff_lansare&amp;utm_content=fierbinte_general</v>
      </c>
    </row>
    <row r="577" customFormat="false" ht="15" hidden="false" customHeight="false" outlineLevel="0" collapsed="false">
      <c r="A577" s="10" t="s">
        <v>59</v>
      </c>
      <c r="B577" s="10" t="str">
        <f aca="false">INDEX('Site-uri'!$B$2:$B$20,MATCH(A577,'Site-uri'!$A$2:$A$20,0))</f>
        <v>ai-lens.eu</v>
      </c>
      <c r="C577" s="10" t="s">
        <v>204</v>
      </c>
      <c r="D577" s="10" t="s">
        <v>237</v>
      </c>
      <c r="E577" s="10" t="str">
        <f aca="false">INDEX(Canale!$C$2:$C$30,MATCH(C577,Canale!$A$2:$A$30,0))</f>
        <v>a2a_agent_card</v>
      </c>
      <c r="F577" s="10" t="str">
        <f aca="false">INDEX(Canale!$D$2:$D$30,MATCH(C577,Canale!$A$2:$A$30,0))</f>
        <v>agent</v>
      </c>
      <c r="G577" s="10" t="str">
        <f aca="false">INDEX('Site-uri'!$C$2:$C$20,MATCH(A577,'Site-uri'!$A$2:$A$20,0))</f>
        <v>/</v>
      </c>
      <c r="H577" s="10" t="str">
        <f aca="false">Config!$B$3</f>
        <v>2610_ff_lansare</v>
      </c>
      <c r="I577" s="10" t="str">
        <f aca="false">D577&amp;"_"&amp;Config!$B$4</f>
        <v>client_general</v>
      </c>
      <c r="J577" s="10" t="str">
        <f aca="false">"https://"&amp;B577&amp;G577&amp;"?utm_source="&amp;E577&amp;"&amp;utm_medium="&amp;F577&amp;"&amp;utm_campaign="&amp;H577&amp;"&amp;utm_content="&amp;I577</f>
        <v>https://ai-lens.eu/?utm_source=a2a_agent_card&amp;utm_medium=agent&amp;utm_campaign=2610_ff_lansare&amp;utm_content=client_general</v>
      </c>
    </row>
    <row r="578" customFormat="false" ht="15" hidden="false" customHeight="false" outlineLevel="0" collapsed="false">
      <c r="A578" s="10" t="s">
        <v>59</v>
      </c>
      <c r="B578" s="10" t="str">
        <f aca="false">INDEX('Site-uri'!$B$2:$B$20,MATCH(A578,'Site-uri'!$A$2:$A$20,0))</f>
        <v>ai-lens.eu</v>
      </c>
      <c r="C578" s="10" t="s">
        <v>209</v>
      </c>
      <c r="D578" s="10" t="s">
        <v>219</v>
      </c>
      <c r="E578" s="10" t="str">
        <f aca="false">INDEX(Canale!$C$2:$C$30,MATCH(C578,Canale!$A$2:$A$30,0))</f>
        <v>llms_txt</v>
      </c>
      <c r="F578" s="10" t="str">
        <f aca="false">INDEX(Canale!$D$2:$D$30,MATCH(C578,Canale!$A$2:$A$30,0))</f>
        <v>ai_web</v>
      </c>
      <c r="G578" s="10" t="str">
        <f aca="false">INDEX('Site-uri'!$C$2:$C$20,MATCH(A578,'Site-uri'!$A$2:$A$20,0))</f>
        <v>/</v>
      </c>
      <c r="H578" s="10" t="str">
        <f aca="false">Config!$B$3</f>
        <v>2610_ff_lansare</v>
      </c>
      <c r="I578" s="10" t="str">
        <f aca="false">D578&amp;"_"&amp;Config!$B$4</f>
        <v>rece_general</v>
      </c>
      <c r="J578" s="10" t="str">
        <f aca="false">"https://"&amp;B578&amp;G578&amp;"?utm_source="&amp;E578&amp;"&amp;utm_medium="&amp;F578&amp;"&amp;utm_campaign="&amp;H578&amp;"&amp;utm_content="&amp;I578</f>
        <v>https://ai-lens.eu/?utm_source=llms_txt&amp;utm_medium=ai_web&amp;utm_campaign=2610_ff_lansare&amp;utm_content=rece_general</v>
      </c>
    </row>
    <row r="579" customFormat="false" ht="15" hidden="false" customHeight="false" outlineLevel="0" collapsed="false">
      <c r="A579" s="10" t="s">
        <v>59</v>
      </c>
      <c r="B579" s="10" t="str">
        <f aca="false">INDEX('Site-uri'!$B$2:$B$20,MATCH(A579,'Site-uri'!$A$2:$A$20,0))</f>
        <v>ai-lens.eu</v>
      </c>
      <c r="C579" s="10" t="s">
        <v>209</v>
      </c>
      <c r="D579" s="10" t="s">
        <v>225</v>
      </c>
      <c r="E579" s="10" t="str">
        <f aca="false">INDEX(Canale!$C$2:$C$30,MATCH(C579,Canale!$A$2:$A$30,0))</f>
        <v>llms_txt</v>
      </c>
      <c r="F579" s="10" t="str">
        <f aca="false">INDEX(Canale!$D$2:$D$30,MATCH(C579,Canale!$A$2:$A$30,0))</f>
        <v>ai_web</v>
      </c>
      <c r="G579" s="10" t="str">
        <f aca="false">INDEX('Site-uri'!$C$2:$C$20,MATCH(A579,'Site-uri'!$A$2:$A$20,0))</f>
        <v>/</v>
      </c>
      <c r="H579" s="10" t="str">
        <f aca="false">Config!$B$3</f>
        <v>2610_ff_lansare</v>
      </c>
      <c r="I579" s="10" t="str">
        <f aca="false">D579&amp;"_"&amp;Config!$B$4</f>
        <v>cald_general</v>
      </c>
      <c r="J579" s="10" t="str">
        <f aca="false">"https://"&amp;B579&amp;G579&amp;"?utm_source="&amp;E579&amp;"&amp;utm_medium="&amp;F579&amp;"&amp;utm_campaign="&amp;H579&amp;"&amp;utm_content="&amp;I579</f>
        <v>https://ai-lens.eu/?utm_source=llms_txt&amp;utm_medium=ai_web&amp;utm_campaign=2610_ff_lansare&amp;utm_content=cald_general</v>
      </c>
    </row>
    <row r="580" customFormat="false" ht="15" hidden="false" customHeight="false" outlineLevel="0" collapsed="false">
      <c r="A580" s="10" t="s">
        <v>59</v>
      </c>
      <c r="B580" s="10" t="str">
        <f aca="false">INDEX('Site-uri'!$B$2:$B$20,MATCH(A580,'Site-uri'!$A$2:$A$20,0))</f>
        <v>ai-lens.eu</v>
      </c>
      <c r="C580" s="10" t="s">
        <v>209</v>
      </c>
      <c r="D580" s="10" t="s">
        <v>231</v>
      </c>
      <c r="E580" s="10" t="str">
        <f aca="false">INDEX(Canale!$C$2:$C$30,MATCH(C580,Canale!$A$2:$A$30,0))</f>
        <v>llms_txt</v>
      </c>
      <c r="F580" s="10" t="str">
        <f aca="false">INDEX(Canale!$D$2:$D$30,MATCH(C580,Canale!$A$2:$A$30,0))</f>
        <v>ai_web</v>
      </c>
      <c r="G580" s="10" t="str">
        <f aca="false">INDEX('Site-uri'!$C$2:$C$20,MATCH(A580,'Site-uri'!$A$2:$A$20,0))</f>
        <v>/</v>
      </c>
      <c r="H580" s="10" t="str">
        <f aca="false">Config!$B$3</f>
        <v>2610_ff_lansare</v>
      </c>
      <c r="I580" s="10" t="str">
        <f aca="false">D580&amp;"_"&amp;Config!$B$4</f>
        <v>fierbinte_general</v>
      </c>
      <c r="J580" s="10" t="str">
        <f aca="false">"https://"&amp;B580&amp;G580&amp;"?utm_source="&amp;E580&amp;"&amp;utm_medium="&amp;F580&amp;"&amp;utm_campaign="&amp;H580&amp;"&amp;utm_content="&amp;I580</f>
        <v>https://ai-lens.eu/?utm_source=llms_txt&amp;utm_medium=ai_web&amp;utm_campaign=2610_ff_lansare&amp;utm_content=fierbinte_general</v>
      </c>
    </row>
    <row r="581" customFormat="false" ht="15" hidden="false" customHeight="false" outlineLevel="0" collapsed="false">
      <c r="A581" s="10" t="s">
        <v>59</v>
      </c>
      <c r="B581" s="10" t="str">
        <f aca="false">INDEX('Site-uri'!$B$2:$B$20,MATCH(A581,'Site-uri'!$A$2:$A$20,0))</f>
        <v>ai-lens.eu</v>
      </c>
      <c r="C581" s="10" t="s">
        <v>209</v>
      </c>
      <c r="D581" s="10" t="s">
        <v>237</v>
      </c>
      <c r="E581" s="10" t="str">
        <f aca="false">INDEX(Canale!$C$2:$C$30,MATCH(C581,Canale!$A$2:$A$30,0))</f>
        <v>llms_txt</v>
      </c>
      <c r="F581" s="10" t="str">
        <f aca="false">INDEX(Canale!$D$2:$D$30,MATCH(C581,Canale!$A$2:$A$30,0))</f>
        <v>ai_web</v>
      </c>
      <c r="G581" s="10" t="str">
        <f aca="false">INDEX('Site-uri'!$C$2:$C$20,MATCH(A581,'Site-uri'!$A$2:$A$20,0))</f>
        <v>/</v>
      </c>
      <c r="H581" s="10" t="str">
        <f aca="false">Config!$B$3</f>
        <v>2610_ff_lansare</v>
      </c>
      <c r="I581" s="10" t="str">
        <f aca="false">D581&amp;"_"&amp;Config!$B$4</f>
        <v>client_general</v>
      </c>
      <c r="J581" s="10" t="str">
        <f aca="false">"https://"&amp;B581&amp;G581&amp;"?utm_source="&amp;E581&amp;"&amp;utm_medium="&amp;F581&amp;"&amp;utm_campaign="&amp;H581&amp;"&amp;utm_content="&amp;I581</f>
        <v>https://ai-lens.eu/?utm_source=llms_txt&amp;utm_medium=ai_web&amp;utm_campaign=2610_ff_lansare&amp;utm_content=client_general</v>
      </c>
    </row>
    <row r="582" customFormat="false" ht="15" hidden="false" customHeight="false" outlineLevel="0" collapsed="false">
      <c r="A582" s="10" t="s">
        <v>62</v>
      </c>
      <c r="B582" s="10" t="str">
        <f aca="false">INDEX('Site-uri'!$B$2:$B$20,MATCH(A582,'Site-uri'!$A$2:$A$20,0))</f>
        <v>aireadyinjector.com</v>
      </c>
      <c r="C582" s="10" t="s">
        <v>104</v>
      </c>
      <c r="D582" s="10" t="s">
        <v>219</v>
      </c>
      <c r="E582" s="10" t="str">
        <f aca="false">INDEX(Canale!$C$2:$C$30,MATCH(C582,Canale!$A$2:$A$30,0))</f>
        <v>linkedin_personal</v>
      </c>
      <c r="F582" s="10" t="str">
        <f aca="false">INDEX(Canale!$D$2:$D$30,MATCH(C582,Canale!$A$2:$A$30,0))</f>
        <v>social</v>
      </c>
      <c r="G582" s="10" t="str">
        <f aca="false">INDEX('Site-uri'!$C$2:$C$20,MATCH(A582,'Site-uri'!$A$2:$A$20,0))</f>
        <v>/</v>
      </c>
      <c r="H582" s="10" t="str">
        <f aca="false">Config!$B$3</f>
        <v>2610_ff_lansare</v>
      </c>
      <c r="I582" s="10" t="str">
        <f aca="false">D582&amp;"_"&amp;Config!$B$4</f>
        <v>rece_general</v>
      </c>
      <c r="J582" s="10" t="str">
        <f aca="false">"https://"&amp;B582&amp;G582&amp;"?utm_source="&amp;E582&amp;"&amp;utm_medium="&amp;F582&amp;"&amp;utm_campaign="&amp;H582&amp;"&amp;utm_content="&amp;I582</f>
        <v>https://aireadyinjector.com/?utm_source=linkedin_personal&amp;utm_medium=social&amp;utm_campaign=2610_ff_lansare&amp;utm_content=rece_general</v>
      </c>
    </row>
    <row r="583" customFormat="false" ht="15" hidden="false" customHeight="false" outlineLevel="0" collapsed="false">
      <c r="A583" s="10" t="s">
        <v>62</v>
      </c>
      <c r="B583" s="10" t="str">
        <f aca="false">INDEX('Site-uri'!$B$2:$B$20,MATCH(A583,'Site-uri'!$A$2:$A$20,0))</f>
        <v>aireadyinjector.com</v>
      </c>
      <c r="C583" s="10" t="s">
        <v>104</v>
      </c>
      <c r="D583" s="10" t="s">
        <v>225</v>
      </c>
      <c r="E583" s="10" t="str">
        <f aca="false">INDEX(Canale!$C$2:$C$30,MATCH(C583,Canale!$A$2:$A$30,0))</f>
        <v>linkedin_personal</v>
      </c>
      <c r="F583" s="10" t="str">
        <f aca="false">INDEX(Canale!$D$2:$D$30,MATCH(C583,Canale!$A$2:$A$30,0))</f>
        <v>social</v>
      </c>
      <c r="G583" s="10" t="str">
        <f aca="false">INDEX('Site-uri'!$C$2:$C$20,MATCH(A583,'Site-uri'!$A$2:$A$20,0))</f>
        <v>/</v>
      </c>
      <c r="H583" s="10" t="str">
        <f aca="false">Config!$B$3</f>
        <v>2610_ff_lansare</v>
      </c>
      <c r="I583" s="10" t="str">
        <f aca="false">D583&amp;"_"&amp;Config!$B$4</f>
        <v>cald_general</v>
      </c>
      <c r="J583" s="10" t="str">
        <f aca="false">"https://"&amp;B583&amp;G583&amp;"?utm_source="&amp;E583&amp;"&amp;utm_medium="&amp;F583&amp;"&amp;utm_campaign="&amp;H583&amp;"&amp;utm_content="&amp;I583</f>
        <v>https://aireadyinjector.com/?utm_source=linkedin_personal&amp;utm_medium=social&amp;utm_campaign=2610_ff_lansare&amp;utm_content=cald_general</v>
      </c>
    </row>
    <row r="584" customFormat="false" ht="15" hidden="false" customHeight="false" outlineLevel="0" collapsed="false">
      <c r="A584" s="10" t="s">
        <v>62</v>
      </c>
      <c r="B584" s="10" t="str">
        <f aca="false">INDEX('Site-uri'!$B$2:$B$20,MATCH(A584,'Site-uri'!$A$2:$A$20,0))</f>
        <v>aireadyinjector.com</v>
      </c>
      <c r="C584" s="10" t="s">
        <v>104</v>
      </c>
      <c r="D584" s="10" t="s">
        <v>231</v>
      </c>
      <c r="E584" s="10" t="str">
        <f aca="false">INDEX(Canale!$C$2:$C$30,MATCH(C584,Canale!$A$2:$A$30,0))</f>
        <v>linkedin_personal</v>
      </c>
      <c r="F584" s="10" t="str">
        <f aca="false">INDEX(Canale!$D$2:$D$30,MATCH(C584,Canale!$A$2:$A$30,0))</f>
        <v>social</v>
      </c>
      <c r="G584" s="10" t="str">
        <f aca="false">INDEX('Site-uri'!$C$2:$C$20,MATCH(A584,'Site-uri'!$A$2:$A$20,0))</f>
        <v>/</v>
      </c>
      <c r="H584" s="10" t="str">
        <f aca="false">Config!$B$3</f>
        <v>2610_ff_lansare</v>
      </c>
      <c r="I584" s="10" t="str">
        <f aca="false">D584&amp;"_"&amp;Config!$B$4</f>
        <v>fierbinte_general</v>
      </c>
      <c r="J584" s="10" t="str">
        <f aca="false">"https://"&amp;B584&amp;G584&amp;"?utm_source="&amp;E584&amp;"&amp;utm_medium="&amp;F584&amp;"&amp;utm_campaign="&amp;H584&amp;"&amp;utm_content="&amp;I584</f>
        <v>https://aireadyinjector.com/?utm_source=linkedin_personal&amp;utm_medium=social&amp;utm_campaign=2610_ff_lansare&amp;utm_content=fierbinte_general</v>
      </c>
    </row>
    <row r="585" customFormat="false" ht="15" hidden="false" customHeight="false" outlineLevel="0" collapsed="false">
      <c r="A585" s="10" t="s">
        <v>62</v>
      </c>
      <c r="B585" s="10" t="str">
        <f aca="false">INDEX('Site-uri'!$B$2:$B$20,MATCH(A585,'Site-uri'!$A$2:$A$20,0))</f>
        <v>aireadyinjector.com</v>
      </c>
      <c r="C585" s="10" t="s">
        <v>104</v>
      </c>
      <c r="D585" s="10" t="s">
        <v>237</v>
      </c>
      <c r="E585" s="10" t="str">
        <f aca="false">INDEX(Canale!$C$2:$C$30,MATCH(C585,Canale!$A$2:$A$30,0))</f>
        <v>linkedin_personal</v>
      </c>
      <c r="F585" s="10" t="str">
        <f aca="false">INDEX(Canale!$D$2:$D$30,MATCH(C585,Canale!$A$2:$A$30,0))</f>
        <v>social</v>
      </c>
      <c r="G585" s="10" t="str">
        <f aca="false">INDEX('Site-uri'!$C$2:$C$20,MATCH(A585,'Site-uri'!$A$2:$A$20,0))</f>
        <v>/</v>
      </c>
      <c r="H585" s="10" t="str">
        <f aca="false">Config!$B$3</f>
        <v>2610_ff_lansare</v>
      </c>
      <c r="I585" s="10" t="str">
        <f aca="false">D585&amp;"_"&amp;Config!$B$4</f>
        <v>client_general</v>
      </c>
      <c r="J585" s="10" t="str">
        <f aca="false">"https://"&amp;B585&amp;G585&amp;"?utm_source="&amp;E585&amp;"&amp;utm_medium="&amp;F585&amp;"&amp;utm_campaign="&amp;H585&amp;"&amp;utm_content="&amp;I585</f>
        <v>https://aireadyinjector.com/?utm_source=linkedin_personal&amp;utm_medium=social&amp;utm_campaign=2610_ff_lansare&amp;utm_content=client_general</v>
      </c>
    </row>
    <row r="586" customFormat="false" ht="15" hidden="false" customHeight="false" outlineLevel="0" collapsed="false">
      <c r="A586" s="10" t="s">
        <v>62</v>
      </c>
      <c r="B586" s="10" t="str">
        <f aca="false">INDEX('Site-uri'!$B$2:$B$20,MATCH(A586,'Site-uri'!$A$2:$A$20,0))</f>
        <v>aireadyinjector.com</v>
      </c>
      <c r="C586" s="10" t="s">
        <v>109</v>
      </c>
      <c r="D586" s="10" t="s">
        <v>219</v>
      </c>
      <c r="E586" s="10" t="str">
        <f aca="false">INDEX(Canale!$C$2:$C$30,MATCH(C586,Canale!$A$2:$A$30,0))</f>
        <v>linkedin_company</v>
      </c>
      <c r="F586" s="10" t="str">
        <f aca="false">INDEX(Canale!$D$2:$D$30,MATCH(C586,Canale!$A$2:$A$30,0))</f>
        <v>social</v>
      </c>
      <c r="G586" s="10" t="str">
        <f aca="false">INDEX('Site-uri'!$C$2:$C$20,MATCH(A586,'Site-uri'!$A$2:$A$20,0))</f>
        <v>/</v>
      </c>
      <c r="H586" s="10" t="str">
        <f aca="false">Config!$B$3</f>
        <v>2610_ff_lansare</v>
      </c>
      <c r="I586" s="10" t="str">
        <f aca="false">D586&amp;"_"&amp;Config!$B$4</f>
        <v>rece_general</v>
      </c>
      <c r="J586" s="10" t="str">
        <f aca="false">"https://"&amp;B586&amp;G586&amp;"?utm_source="&amp;E586&amp;"&amp;utm_medium="&amp;F586&amp;"&amp;utm_campaign="&amp;H586&amp;"&amp;utm_content="&amp;I586</f>
        <v>https://aireadyinjector.com/?utm_source=linkedin_company&amp;utm_medium=social&amp;utm_campaign=2610_ff_lansare&amp;utm_content=rece_general</v>
      </c>
    </row>
    <row r="587" customFormat="false" ht="15" hidden="false" customHeight="false" outlineLevel="0" collapsed="false">
      <c r="A587" s="10" t="s">
        <v>62</v>
      </c>
      <c r="B587" s="10" t="str">
        <f aca="false">INDEX('Site-uri'!$B$2:$B$20,MATCH(A587,'Site-uri'!$A$2:$A$20,0))</f>
        <v>aireadyinjector.com</v>
      </c>
      <c r="C587" s="10" t="s">
        <v>109</v>
      </c>
      <c r="D587" s="10" t="s">
        <v>225</v>
      </c>
      <c r="E587" s="10" t="str">
        <f aca="false">INDEX(Canale!$C$2:$C$30,MATCH(C587,Canale!$A$2:$A$30,0))</f>
        <v>linkedin_company</v>
      </c>
      <c r="F587" s="10" t="str">
        <f aca="false">INDEX(Canale!$D$2:$D$30,MATCH(C587,Canale!$A$2:$A$30,0))</f>
        <v>social</v>
      </c>
      <c r="G587" s="10" t="str">
        <f aca="false">INDEX('Site-uri'!$C$2:$C$20,MATCH(A587,'Site-uri'!$A$2:$A$20,0))</f>
        <v>/</v>
      </c>
      <c r="H587" s="10" t="str">
        <f aca="false">Config!$B$3</f>
        <v>2610_ff_lansare</v>
      </c>
      <c r="I587" s="10" t="str">
        <f aca="false">D587&amp;"_"&amp;Config!$B$4</f>
        <v>cald_general</v>
      </c>
      <c r="J587" s="10" t="str">
        <f aca="false">"https://"&amp;B587&amp;G587&amp;"?utm_source="&amp;E587&amp;"&amp;utm_medium="&amp;F587&amp;"&amp;utm_campaign="&amp;H587&amp;"&amp;utm_content="&amp;I587</f>
        <v>https://aireadyinjector.com/?utm_source=linkedin_company&amp;utm_medium=social&amp;utm_campaign=2610_ff_lansare&amp;utm_content=cald_general</v>
      </c>
    </row>
    <row r="588" customFormat="false" ht="15" hidden="false" customHeight="false" outlineLevel="0" collapsed="false">
      <c r="A588" s="10" t="s">
        <v>62</v>
      </c>
      <c r="B588" s="10" t="str">
        <f aca="false">INDEX('Site-uri'!$B$2:$B$20,MATCH(A588,'Site-uri'!$A$2:$A$20,0))</f>
        <v>aireadyinjector.com</v>
      </c>
      <c r="C588" s="10" t="s">
        <v>109</v>
      </c>
      <c r="D588" s="10" t="s">
        <v>231</v>
      </c>
      <c r="E588" s="10" t="str">
        <f aca="false">INDEX(Canale!$C$2:$C$30,MATCH(C588,Canale!$A$2:$A$30,0))</f>
        <v>linkedin_company</v>
      </c>
      <c r="F588" s="10" t="str">
        <f aca="false">INDEX(Canale!$D$2:$D$30,MATCH(C588,Canale!$A$2:$A$30,0))</f>
        <v>social</v>
      </c>
      <c r="G588" s="10" t="str">
        <f aca="false">INDEX('Site-uri'!$C$2:$C$20,MATCH(A588,'Site-uri'!$A$2:$A$20,0))</f>
        <v>/</v>
      </c>
      <c r="H588" s="10" t="str">
        <f aca="false">Config!$B$3</f>
        <v>2610_ff_lansare</v>
      </c>
      <c r="I588" s="10" t="str">
        <f aca="false">D588&amp;"_"&amp;Config!$B$4</f>
        <v>fierbinte_general</v>
      </c>
      <c r="J588" s="10" t="str">
        <f aca="false">"https://"&amp;B588&amp;G588&amp;"?utm_source="&amp;E588&amp;"&amp;utm_medium="&amp;F588&amp;"&amp;utm_campaign="&amp;H588&amp;"&amp;utm_content="&amp;I588</f>
        <v>https://aireadyinjector.com/?utm_source=linkedin_company&amp;utm_medium=social&amp;utm_campaign=2610_ff_lansare&amp;utm_content=fierbinte_general</v>
      </c>
    </row>
    <row r="589" customFormat="false" ht="15" hidden="false" customHeight="false" outlineLevel="0" collapsed="false">
      <c r="A589" s="10" t="s">
        <v>62</v>
      </c>
      <c r="B589" s="10" t="str">
        <f aca="false">INDEX('Site-uri'!$B$2:$B$20,MATCH(A589,'Site-uri'!$A$2:$A$20,0))</f>
        <v>aireadyinjector.com</v>
      </c>
      <c r="C589" s="10" t="s">
        <v>109</v>
      </c>
      <c r="D589" s="10" t="s">
        <v>237</v>
      </c>
      <c r="E589" s="10" t="str">
        <f aca="false">INDEX(Canale!$C$2:$C$30,MATCH(C589,Canale!$A$2:$A$30,0))</f>
        <v>linkedin_company</v>
      </c>
      <c r="F589" s="10" t="str">
        <f aca="false">INDEX(Canale!$D$2:$D$30,MATCH(C589,Canale!$A$2:$A$30,0))</f>
        <v>social</v>
      </c>
      <c r="G589" s="10" t="str">
        <f aca="false">INDEX('Site-uri'!$C$2:$C$20,MATCH(A589,'Site-uri'!$A$2:$A$20,0))</f>
        <v>/</v>
      </c>
      <c r="H589" s="10" t="str">
        <f aca="false">Config!$B$3</f>
        <v>2610_ff_lansare</v>
      </c>
      <c r="I589" s="10" t="str">
        <f aca="false">D589&amp;"_"&amp;Config!$B$4</f>
        <v>client_general</v>
      </c>
      <c r="J589" s="10" t="str">
        <f aca="false">"https://"&amp;B589&amp;G589&amp;"?utm_source="&amp;E589&amp;"&amp;utm_medium="&amp;F589&amp;"&amp;utm_campaign="&amp;H589&amp;"&amp;utm_content="&amp;I589</f>
        <v>https://aireadyinjector.com/?utm_source=linkedin_company&amp;utm_medium=social&amp;utm_campaign=2610_ff_lansare&amp;utm_content=client_general</v>
      </c>
    </row>
    <row r="590" customFormat="false" ht="15" hidden="false" customHeight="false" outlineLevel="0" collapsed="false">
      <c r="A590" s="10" t="s">
        <v>62</v>
      </c>
      <c r="B590" s="10" t="str">
        <f aca="false">INDEX('Site-uri'!$B$2:$B$20,MATCH(A590,'Site-uri'!$A$2:$A$20,0))</f>
        <v>aireadyinjector.com</v>
      </c>
      <c r="C590" s="10" t="s">
        <v>112</v>
      </c>
      <c r="D590" s="10" t="s">
        <v>219</v>
      </c>
      <c r="E590" s="10" t="str">
        <f aca="false">INDEX(Canale!$C$2:$C$30,MATCH(C590,Canale!$A$2:$A$30,0))</f>
        <v>linkedin_showcase</v>
      </c>
      <c r="F590" s="10" t="str">
        <f aca="false">INDEX(Canale!$D$2:$D$30,MATCH(C590,Canale!$A$2:$A$30,0))</f>
        <v>social</v>
      </c>
      <c r="G590" s="10" t="str">
        <f aca="false">INDEX('Site-uri'!$C$2:$C$20,MATCH(A590,'Site-uri'!$A$2:$A$20,0))</f>
        <v>/</v>
      </c>
      <c r="H590" s="10" t="str">
        <f aca="false">Config!$B$3</f>
        <v>2610_ff_lansare</v>
      </c>
      <c r="I590" s="10" t="str">
        <f aca="false">D590&amp;"_"&amp;Config!$B$4</f>
        <v>rece_general</v>
      </c>
      <c r="J590" s="10" t="str">
        <f aca="false">"https://"&amp;B590&amp;G590&amp;"?utm_source="&amp;E590&amp;"&amp;utm_medium="&amp;F590&amp;"&amp;utm_campaign="&amp;H590&amp;"&amp;utm_content="&amp;I590</f>
        <v>https://aireadyinjector.com/?utm_source=linkedin_showcase&amp;utm_medium=social&amp;utm_campaign=2610_ff_lansare&amp;utm_content=rece_general</v>
      </c>
    </row>
    <row r="591" customFormat="false" ht="15" hidden="false" customHeight="false" outlineLevel="0" collapsed="false">
      <c r="A591" s="10" t="s">
        <v>62</v>
      </c>
      <c r="B591" s="10" t="str">
        <f aca="false">INDEX('Site-uri'!$B$2:$B$20,MATCH(A591,'Site-uri'!$A$2:$A$20,0))</f>
        <v>aireadyinjector.com</v>
      </c>
      <c r="C591" s="10" t="s">
        <v>112</v>
      </c>
      <c r="D591" s="10" t="s">
        <v>225</v>
      </c>
      <c r="E591" s="10" t="str">
        <f aca="false">INDEX(Canale!$C$2:$C$30,MATCH(C591,Canale!$A$2:$A$30,0))</f>
        <v>linkedin_showcase</v>
      </c>
      <c r="F591" s="10" t="str">
        <f aca="false">INDEX(Canale!$D$2:$D$30,MATCH(C591,Canale!$A$2:$A$30,0))</f>
        <v>social</v>
      </c>
      <c r="G591" s="10" t="str">
        <f aca="false">INDEX('Site-uri'!$C$2:$C$20,MATCH(A591,'Site-uri'!$A$2:$A$20,0))</f>
        <v>/</v>
      </c>
      <c r="H591" s="10" t="str">
        <f aca="false">Config!$B$3</f>
        <v>2610_ff_lansare</v>
      </c>
      <c r="I591" s="10" t="str">
        <f aca="false">D591&amp;"_"&amp;Config!$B$4</f>
        <v>cald_general</v>
      </c>
      <c r="J591" s="10" t="str">
        <f aca="false">"https://"&amp;B591&amp;G591&amp;"?utm_source="&amp;E591&amp;"&amp;utm_medium="&amp;F591&amp;"&amp;utm_campaign="&amp;H591&amp;"&amp;utm_content="&amp;I591</f>
        <v>https://aireadyinjector.com/?utm_source=linkedin_showcase&amp;utm_medium=social&amp;utm_campaign=2610_ff_lansare&amp;utm_content=cald_general</v>
      </c>
    </row>
    <row r="592" customFormat="false" ht="15" hidden="false" customHeight="false" outlineLevel="0" collapsed="false">
      <c r="A592" s="10" t="s">
        <v>62</v>
      </c>
      <c r="B592" s="10" t="str">
        <f aca="false">INDEX('Site-uri'!$B$2:$B$20,MATCH(A592,'Site-uri'!$A$2:$A$20,0))</f>
        <v>aireadyinjector.com</v>
      </c>
      <c r="C592" s="10" t="s">
        <v>112</v>
      </c>
      <c r="D592" s="10" t="s">
        <v>231</v>
      </c>
      <c r="E592" s="10" t="str">
        <f aca="false">INDEX(Canale!$C$2:$C$30,MATCH(C592,Canale!$A$2:$A$30,0))</f>
        <v>linkedin_showcase</v>
      </c>
      <c r="F592" s="10" t="str">
        <f aca="false">INDEX(Canale!$D$2:$D$30,MATCH(C592,Canale!$A$2:$A$30,0))</f>
        <v>social</v>
      </c>
      <c r="G592" s="10" t="str">
        <f aca="false">INDEX('Site-uri'!$C$2:$C$20,MATCH(A592,'Site-uri'!$A$2:$A$20,0))</f>
        <v>/</v>
      </c>
      <c r="H592" s="10" t="str">
        <f aca="false">Config!$B$3</f>
        <v>2610_ff_lansare</v>
      </c>
      <c r="I592" s="10" t="str">
        <f aca="false">D592&amp;"_"&amp;Config!$B$4</f>
        <v>fierbinte_general</v>
      </c>
      <c r="J592" s="10" t="str">
        <f aca="false">"https://"&amp;B592&amp;G592&amp;"?utm_source="&amp;E592&amp;"&amp;utm_medium="&amp;F592&amp;"&amp;utm_campaign="&amp;H592&amp;"&amp;utm_content="&amp;I592</f>
        <v>https://aireadyinjector.com/?utm_source=linkedin_showcase&amp;utm_medium=social&amp;utm_campaign=2610_ff_lansare&amp;utm_content=fierbinte_general</v>
      </c>
    </row>
    <row r="593" customFormat="false" ht="15" hidden="false" customHeight="false" outlineLevel="0" collapsed="false">
      <c r="A593" s="10" t="s">
        <v>62</v>
      </c>
      <c r="B593" s="10" t="str">
        <f aca="false">INDEX('Site-uri'!$B$2:$B$20,MATCH(A593,'Site-uri'!$A$2:$A$20,0))</f>
        <v>aireadyinjector.com</v>
      </c>
      <c r="C593" s="10" t="s">
        <v>112</v>
      </c>
      <c r="D593" s="10" t="s">
        <v>237</v>
      </c>
      <c r="E593" s="10" t="str">
        <f aca="false">INDEX(Canale!$C$2:$C$30,MATCH(C593,Canale!$A$2:$A$30,0))</f>
        <v>linkedin_showcase</v>
      </c>
      <c r="F593" s="10" t="str">
        <f aca="false">INDEX(Canale!$D$2:$D$30,MATCH(C593,Canale!$A$2:$A$30,0))</f>
        <v>social</v>
      </c>
      <c r="G593" s="10" t="str">
        <f aca="false">INDEX('Site-uri'!$C$2:$C$20,MATCH(A593,'Site-uri'!$A$2:$A$20,0))</f>
        <v>/</v>
      </c>
      <c r="H593" s="10" t="str">
        <f aca="false">Config!$B$3</f>
        <v>2610_ff_lansare</v>
      </c>
      <c r="I593" s="10" t="str">
        <f aca="false">D593&amp;"_"&amp;Config!$B$4</f>
        <v>client_general</v>
      </c>
      <c r="J593" s="10" t="str">
        <f aca="false">"https://"&amp;B593&amp;G593&amp;"?utm_source="&amp;E593&amp;"&amp;utm_medium="&amp;F593&amp;"&amp;utm_campaign="&amp;H593&amp;"&amp;utm_content="&amp;I593</f>
        <v>https://aireadyinjector.com/?utm_source=linkedin_showcase&amp;utm_medium=social&amp;utm_campaign=2610_ff_lansare&amp;utm_content=client_general</v>
      </c>
    </row>
    <row r="594" customFormat="false" ht="15" hidden="false" customHeight="false" outlineLevel="0" collapsed="false">
      <c r="A594" s="10" t="s">
        <v>62</v>
      </c>
      <c r="B594" s="10" t="str">
        <f aca="false">INDEX('Site-uri'!$B$2:$B$20,MATCH(A594,'Site-uri'!$A$2:$A$20,0))</f>
        <v>aireadyinjector.com</v>
      </c>
      <c r="C594" s="10" t="s">
        <v>115</v>
      </c>
      <c r="D594" s="10" t="s">
        <v>219</v>
      </c>
      <c r="E594" s="10" t="str">
        <f aca="false">INDEX(Canale!$C$2:$C$30,MATCH(C594,Canale!$A$2:$A$30,0))</f>
        <v>linkedin_newsletter</v>
      </c>
      <c r="F594" s="10" t="str">
        <f aca="false">INDEX(Canale!$D$2:$D$30,MATCH(C594,Canale!$A$2:$A$30,0))</f>
        <v>social</v>
      </c>
      <c r="G594" s="10" t="str">
        <f aca="false">INDEX('Site-uri'!$C$2:$C$20,MATCH(A594,'Site-uri'!$A$2:$A$20,0))</f>
        <v>/</v>
      </c>
      <c r="H594" s="10" t="str">
        <f aca="false">Config!$B$3</f>
        <v>2610_ff_lansare</v>
      </c>
      <c r="I594" s="10" t="str">
        <f aca="false">D594&amp;"_"&amp;Config!$B$4</f>
        <v>rece_general</v>
      </c>
      <c r="J594" s="10" t="str">
        <f aca="false">"https://"&amp;B594&amp;G594&amp;"?utm_source="&amp;E594&amp;"&amp;utm_medium="&amp;F594&amp;"&amp;utm_campaign="&amp;H594&amp;"&amp;utm_content="&amp;I594</f>
        <v>https://aireadyinjector.com/?utm_source=linkedin_newsletter&amp;utm_medium=social&amp;utm_campaign=2610_ff_lansare&amp;utm_content=rece_general</v>
      </c>
    </row>
    <row r="595" customFormat="false" ht="15" hidden="false" customHeight="false" outlineLevel="0" collapsed="false">
      <c r="A595" s="10" t="s">
        <v>62</v>
      </c>
      <c r="B595" s="10" t="str">
        <f aca="false">INDEX('Site-uri'!$B$2:$B$20,MATCH(A595,'Site-uri'!$A$2:$A$20,0))</f>
        <v>aireadyinjector.com</v>
      </c>
      <c r="C595" s="10" t="s">
        <v>115</v>
      </c>
      <c r="D595" s="10" t="s">
        <v>225</v>
      </c>
      <c r="E595" s="10" t="str">
        <f aca="false">INDEX(Canale!$C$2:$C$30,MATCH(C595,Canale!$A$2:$A$30,0))</f>
        <v>linkedin_newsletter</v>
      </c>
      <c r="F595" s="10" t="str">
        <f aca="false">INDEX(Canale!$D$2:$D$30,MATCH(C595,Canale!$A$2:$A$30,0))</f>
        <v>social</v>
      </c>
      <c r="G595" s="10" t="str">
        <f aca="false">INDEX('Site-uri'!$C$2:$C$20,MATCH(A595,'Site-uri'!$A$2:$A$20,0))</f>
        <v>/</v>
      </c>
      <c r="H595" s="10" t="str">
        <f aca="false">Config!$B$3</f>
        <v>2610_ff_lansare</v>
      </c>
      <c r="I595" s="10" t="str">
        <f aca="false">D595&amp;"_"&amp;Config!$B$4</f>
        <v>cald_general</v>
      </c>
      <c r="J595" s="10" t="str">
        <f aca="false">"https://"&amp;B595&amp;G595&amp;"?utm_source="&amp;E595&amp;"&amp;utm_medium="&amp;F595&amp;"&amp;utm_campaign="&amp;H595&amp;"&amp;utm_content="&amp;I595</f>
        <v>https://aireadyinjector.com/?utm_source=linkedin_newsletter&amp;utm_medium=social&amp;utm_campaign=2610_ff_lansare&amp;utm_content=cald_general</v>
      </c>
    </row>
    <row r="596" customFormat="false" ht="15" hidden="false" customHeight="false" outlineLevel="0" collapsed="false">
      <c r="A596" s="10" t="s">
        <v>62</v>
      </c>
      <c r="B596" s="10" t="str">
        <f aca="false">INDEX('Site-uri'!$B$2:$B$20,MATCH(A596,'Site-uri'!$A$2:$A$20,0))</f>
        <v>aireadyinjector.com</v>
      </c>
      <c r="C596" s="10" t="s">
        <v>115</v>
      </c>
      <c r="D596" s="10" t="s">
        <v>231</v>
      </c>
      <c r="E596" s="10" t="str">
        <f aca="false">INDEX(Canale!$C$2:$C$30,MATCH(C596,Canale!$A$2:$A$30,0))</f>
        <v>linkedin_newsletter</v>
      </c>
      <c r="F596" s="10" t="str">
        <f aca="false">INDEX(Canale!$D$2:$D$30,MATCH(C596,Canale!$A$2:$A$30,0))</f>
        <v>social</v>
      </c>
      <c r="G596" s="10" t="str">
        <f aca="false">INDEX('Site-uri'!$C$2:$C$20,MATCH(A596,'Site-uri'!$A$2:$A$20,0))</f>
        <v>/</v>
      </c>
      <c r="H596" s="10" t="str">
        <f aca="false">Config!$B$3</f>
        <v>2610_ff_lansare</v>
      </c>
      <c r="I596" s="10" t="str">
        <f aca="false">D596&amp;"_"&amp;Config!$B$4</f>
        <v>fierbinte_general</v>
      </c>
      <c r="J596" s="10" t="str">
        <f aca="false">"https://"&amp;B596&amp;G596&amp;"?utm_source="&amp;E596&amp;"&amp;utm_medium="&amp;F596&amp;"&amp;utm_campaign="&amp;H596&amp;"&amp;utm_content="&amp;I596</f>
        <v>https://aireadyinjector.com/?utm_source=linkedin_newsletter&amp;utm_medium=social&amp;utm_campaign=2610_ff_lansare&amp;utm_content=fierbinte_general</v>
      </c>
    </row>
    <row r="597" customFormat="false" ht="15" hidden="false" customHeight="false" outlineLevel="0" collapsed="false">
      <c r="A597" s="10" t="s">
        <v>62</v>
      </c>
      <c r="B597" s="10" t="str">
        <f aca="false">INDEX('Site-uri'!$B$2:$B$20,MATCH(A597,'Site-uri'!$A$2:$A$20,0))</f>
        <v>aireadyinjector.com</v>
      </c>
      <c r="C597" s="10" t="s">
        <v>115</v>
      </c>
      <c r="D597" s="10" t="s">
        <v>237</v>
      </c>
      <c r="E597" s="10" t="str">
        <f aca="false">INDEX(Canale!$C$2:$C$30,MATCH(C597,Canale!$A$2:$A$30,0))</f>
        <v>linkedin_newsletter</v>
      </c>
      <c r="F597" s="10" t="str">
        <f aca="false">INDEX(Canale!$D$2:$D$30,MATCH(C597,Canale!$A$2:$A$30,0))</f>
        <v>social</v>
      </c>
      <c r="G597" s="10" t="str">
        <f aca="false">INDEX('Site-uri'!$C$2:$C$20,MATCH(A597,'Site-uri'!$A$2:$A$20,0))</f>
        <v>/</v>
      </c>
      <c r="H597" s="10" t="str">
        <f aca="false">Config!$B$3</f>
        <v>2610_ff_lansare</v>
      </c>
      <c r="I597" s="10" t="str">
        <f aca="false">D597&amp;"_"&amp;Config!$B$4</f>
        <v>client_general</v>
      </c>
      <c r="J597" s="10" t="str">
        <f aca="false">"https://"&amp;B597&amp;G597&amp;"?utm_source="&amp;E597&amp;"&amp;utm_medium="&amp;F597&amp;"&amp;utm_campaign="&amp;H597&amp;"&amp;utm_content="&amp;I597</f>
        <v>https://aireadyinjector.com/?utm_source=linkedin_newsletter&amp;utm_medium=social&amp;utm_campaign=2610_ff_lansare&amp;utm_content=client_general</v>
      </c>
    </row>
    <row r="598" customFormat="false" ht="15" hidden="false" customHeight="false" outlineLevel="0" collapsed="false">
      <c r="A598" s="10" t="s">
        <v>62</v>
      </c>
      <c r="B598" s="10" t="str">
        <f aca="false">INDEX('Site-uri'!$B$2:$B$20,MATCH(A598,'Site-uri'!$A$2:$A$20,0))</f>
        <v>aireadyinjector.com</v>
      </c>
      <c r="C598" s="10" t="s">
        <v>118</v>
      </c>
      <c r="D598" s="10" t="s">
        <v>219</v>
      </c>
      <c r="E598" s="10" t="str">
        <f aca="false">INDEX(Canale!$C$2:$C$30,MATCH(C598,Canale!$A$2:$A$30,0))</f>
        <v>linkedin_ads</v>
      </c>
      <c r="F598" s="10" t="str">
        <f aca="false">INDEX(Canale!$D$2:$D$30,MATCH(C598,Canale!$A$2:$A$30,0))</f>
        <v>paid_social</v>
      </c>
      <c r="G598" s="10" t="str">
        <f aca="false">INDEX('Site-uri'!$C$2:$C$20,MATCH(A598,'Site-uri'!$A$2:$A$20,0))</f>
        <v>/</v>
      </c>
      <c r="H598" s="10" t="str">
        <f aca="false">Config!$B$3</f>
        <v>2610_ff_lansare</v>
      </c>
      <c r="I598" s="10" t="str">
        <f aca="false">D598&amp;"_"&amp;Config!$B$4</f>
        <v>rece_general</v>
      </c>
      <c r="J598" s="10" t="str">
        <f aca="false">"https://"&amp;B598&amp;G598&amp;"?utm_source="&amp;E598&amp;"&amp;utm_medium="&amp;F598&amp;"&amp;utm_campaign="&amp;H598&amp;"&amp;utm_content="&amp;I598</f>
        <v>https://aireadyinjector.com/?utm_source=linkedin_ads&amp;utm_medium=paid_social&amp;utm_campaign=2610_ff_lansare&amp;utm_content=rece_general</v>
      </c>
    </row>
    <row r="599" customFormat="false" ht="15" hidden="false" customHeight="false" outlineLevel="0" collapsed="false">
      <c r="A599" s="10" t="s">
        <v>62</v>
      </c>
      <c r="B599" s="10" t="str">
        <f aca="false">INDEX('Site-uri'!$B$2:$B$20,MATCH(A599,'Site-uri'!$A$2:$A$20,0))</f>
        <v>aireadyinjector.com</v>
      </c>
      <c r="C599" s="10" t="s">
        <v>118</v>
      </c>
      <c r="D599" s="10" t="s">
        <v>225</v>
      </c>
      <c r="E599" s="10" t="str">
        <f aca="false">INDEX(Canale!$C$2:$C$30,MATCH(C599,Canale!$A$2:$A$30,0))</f>
        <v>linkedin_ads</v>
      </c>
      <c r="F599" s="10" t="str">
        <f aca="false">INDEX(Canale!$D$2:$D$30,MATCH(C599,Canale!$A$2:$A$30,0))</f>
        <v>paid_social</v>
      </c>
      <c r="G599" s="10" t="str">
        <f aca="false">INDEX('Site-uri'!$C$2:$C$20,MATCH(A599,'Site-uri'!$A$2:$A$20,0))</f>
        <v>/</v>
      </c>
      <c r="H599" s="10" t="str">
        <f aca="false">Config!$B$3</f>
        <v>2610_ff_lansare</v>
      </c>
      <c r="I599" s="10" t="str">
        <f aca="false">D599&amp;"_"&amp;Config!$B$4</f>
        <v>cald_general</v>
      </c>
      <c r="J599" s="10" t="str">
        <f aca="false">"https://"&amp;B599&amp;G599&amp;"?utm_source="&amp;E599&amp;"&amp;utm_medium="&amp;F599&amp;"&amp;utm_campaign="&amp;H599&amp;"&amp;utm_content="&amp;I599</f>
        <v>https://aireadyinjector.com/?utm_source=linkedin_ads&amp;utm_medium=paid_social&amp;utm_campaign=2610_ff_lansare&amp;utm_content=cald_general</v>
      </c>
    </row>
    <row r="600" customFormat="false" ht="15" hidden="false" customHeight="false" outlineLevel="0" collapsed="false">
      <c r="A600" s="10" t="s">
        <v>62</v>
      </c>
      <c r="B600" s="10" t="str">
        <f aca="false">INDEX('Site-uri'!$B$2:$B$20,MATCH(A600,'Site-uri'!$A$2:$A$20,0))</f>
        <v>aireadyinjector.com</v>
      </c>
      <c r="C600" s="10" t="s">
        <v>118</v>
      </c>
      <c r="D600" s="10" t="s">
        <v>231</v>
      </c>
      <c r="E600" s="10" t="str">
        <f aca="false">INDEX(Canale!$C$2:$C$30,MATCH(C600,Canale!$A$2:$A$30,0))</f>
        <v>linkedin_ads</v>
      </c>
      <c r="F600" s="10" t="str">
        <f aca="false">INDEX(Canale!$D$2:$D$30,MATCH(C600,Canale!$A$2:$A$30,0))</f>
        <v>paid_social</v>
      </c>
      <c r="G600" s="10" t="str">
        <f aca="false">INDEX('Site-uri'!$C$2:$C$20,MATCH(A600,'Site-uri'!$A$2:$A$20,0))</f>
        <v>/</v>
      </c>
      <c r="H600" s="10" t="str">
        <f aca="false">Config!$B$3</f>
        <v>2610_ff_lansare</v>
      </c>
      <c r="I600" s="10" t="str">
        <f aca="false">D600&amp;"_"&amp;Config!$B$4</f>
        <v>fierbinte_general</v>
      </c>
      <c r="J600" s="10" t="str">
        <f aca="false">"https://"&amp;B600&amp;G600&amp;"?utm_source="&amp;E600&amp;"&amp;utm_medium="&amp;F600&amp;"&amp;utm_campaign="&amp;H600&amp;"&amp;utm_content="&amp;I600</f>
        <v>https://aireadyinjector.com/?utm_source=linkedin_ads&amp;utm_medium=paid_social&amp;utm_campaign=2610_ff_lansare&amp;utm_content=fierbinte_general</v>
      </c>
    </row>
    <row r="601" customFormat="false" ht="15" hidden="false" customHeight="false" outlineLevel="0" collapsed="false">
      <c r="A601" s="10" t="s">
        <v>62</v>
      </c>
      <c r="B601" s="10" t="str">
        <f aca="false">INDEX('Site-uri'!$B$2:$B$20,MATCH(A601,'Site-uri'!$A$2:$A$20,0))</f>
        <v>aireadyinjector.com</v>
      </c>
      <c r="C601" s="10" t="s">
        <v>118</v>
      </c>
      <c r="D601" s="10" t="s">
        <v>237</v>
      </c>
      <c r="E601" s="10" t="str">
        <f aca="false">INDEX(Canale!$C$2:$C$30,MATCH(C601,Canale!$A$2:$A$30,0))</f>
        <v>linkedin_ads</v>
      </c>
      <c r="F601" s="10" t="str">
        <f aca="false">INDEX(Canale!$D$2:$D$30,MATCH(C601,Canale!$A$2:$A$30,0))</f>
        <v>paid_social</v>
      </c>
      <c r="G601" s="10" t="str">
        <f aca="false">INDEX('Site-uri'!$C$2:$C$20,MATCH(A601,'Site-uri'!$A$2:$A$20,0))</f>
        <v>/</v>
      </c>
      <c r="H601" s="10" t="str">
        <f aca="false">Config!$B$3</f>
        <v>2610_ff_lansare</v>
      </c>
      <c r="I601" s="10" t="str">
        <f aca="false">D601&amp;"_"&amp;Config!$B$4</f>
        <v>client_general</v>
      </c>
      <c r="J601" s="10" t="str">
        <f aca="false">"https://"&amp;B601&amp;G601&amp;"?utm_source="&amp;E601&amp;"&amp;utm_medium="&amp;F601&amp;"&amp;utm_campaign="&amp;H601&amp;"&amp;utm_content="&amp;I601</f>
        <v>https://aireadyinjector.com/?utm_source=linkedin_ads&amp;utm_medium=paid_social&amp;utm_campaign=2610_ff_lansare&amp;utm_content=client_general</v>
      </c>
    </row>
    <row r="602" customFormat="false" ht="15" hidden="false" customHeight="false" outlineLevel="0" collapsed="false">
      <c r="A602" s="10" t="s">
        <v>62</v>
      </c>
      <c r="B602" s="10" t="str">
        <f aca="false">INDEX('Site-uri'!$B$2:$B$20,MATCH(A602,'Site-uri'!$A$2:$A$20,0))</f>
        <v>aireadyinjector.com</v>
      </c>
      <c r="C602" s="10" t="s">
        <v>122</v>
      </c>
      <c r="D602" s="10" t="s">
        <v>219</v>
      </c>
      <c r="E602" s="10" t="str">
        <f aca="false">INDEX(Canale!$C$2:$C$30,MATCH(C602,Canale!$A$2:$A$30,0))</f>
        <v>linkedin_dm</v>
      </c>
      <c r="F602" s="10" t="str">
        <f aca="false">INDEX(Canale!$D$2:$D$30,MATCH(C602,Canale!$A$2:$A$30,0))</f>
        <v>dm</v>
      </c>
      <c r="G602" s="10" t="str">
        <f aca="false">INDEX('Site-uri'!$C$2:$C$20,MATCH(A602,'Site-uri'!$A$2:$A$20,0))</f>
        <v>/</v>
      </c>
      <c r="H602" s="10" t="str">
        <f aca="false">Config!$B$3</f>
        <v>2610_ff_lansare</v>
      </c>
      <c r="I602" s="10" t="str">
        <f aca="false">D602&amp;"_"&amp;Config!$B$4</f>
        <v>rece_general</v>
      </c>
      <c r="J602" s="10" t="str">
        <f aca="false">"https://"&amp;B602&amp;G602&amp;"?utm_source="&amp;E602&amp;"&amp;utm_medium="&amp;F602&amp;"&amp;utm_campaign="&amp;H602&amp;"&amp;utm_content="&amp;I602</f>
        <v>https://aireadyinjector.com/?utm_source=linkedin_dm&amp;utm_medium=dm&amp;utm_campaign=2610_ff_lansare&amp;utm_content=rece_general</v>
      </c>
    </row>
    <row r="603" customFormat="false" ht="15" hidden="false" customHeight="false" outlineLevel="0" collapsed="false">
      <c r="A603" s="10" t="s">
        <v>62</v>
      </c>
      <c r="B603" s="10" t="str">
        <f aca="false">INDEX('Site-uri'!$B$2:$B$20,MATCH(A603,'Site-uri'!$A$2:$A$20,0))</f>
        <v>aireadyinjector.com</v>
      </c>
      <c r="C603" s="10" t="s">
        <v>122</v>
      </c>
      <c r="D603" s="10" t="s">
        <v>225</v>
      </c>
      <c r="E603" s="10" t="str">
        <f aca="false">INDEX(Canale!$C$2:$C$30,MATCH(C603,Canale!$A$2:$A$30,0))</f>
        <v>linkedin_dm</v>
      </c>
      <c r="F603" s="10" t="str">
        <f aca="false">INDEX(Canale!$D$2:$D$30,MATCH(C603,Canale!$A$2:$A$30,0))</f>
        <v>dm</v>
      </c>
      <c r="G603" s="10" t="str">
        <f aca="false">INDEX('Site-uri'!$C$2:$C$20,MATCH(A603,'Site-uri'!$A$2:$A$20,0))</f>
        <v>/</v>
      </c>
      <c r="H603" s="10" t="str">
        <f aca="false">Config!$B$3</f>
        <v>2610_ff_lansare</v>
      </c>
      <c r="I603" s="10" t="str">
        <f aca="false">D603&amp;"_"&amp;Config!$B$4</f>
        <v>cald_general</v>
      </c>
      <c r="J603" s="10" t="str">
        <f aca="false">"https://"&amp;B603&amp;G603&amp;"?utm_source="&amp;E603&amp;"&amp;utm_medium="&amp;F603&amp;"&amp;utm_campaign="&amp;H603&amp;"&amp;utm_content="&amp;I603</f>
        <v>https://aireadyinjector.com/?utm_source=linkedin_dm&amp;utm_medium=dm&amp;utm_campaign=2610_ff_lansare&amp;utm_content=cald_general</v>
      </c>
    </row>
    <row r="604" customFormat="false" ht="15" hidden="false" customHeight="false" outlineLevel="0" collapsed="false">
      <c r="A604" s="10" t="s">
        <v>62</v>
      </c>
      <c r="B604" s="10" t="str">
        <f aca="false">INDEX('Site-uri'!$B$2:$B$20,MATCH(A604,'Site-uri'!$A$2:$A$20,0))</f>
        <v>aireadyinjector.com</v>
      </c>
      <c r="C604" s="10" t="s">
        <v>122</v>
      </c>
      <c r="D604" s="10" t="s">
        <v>231</v>
      </c>
      <c r="E604" s="10" t="str">
        <f aca="false">INDEX(Canale!$C$2:$C$30,MATCH(C604,Canale!$A$2:$A$30,0))</f>
        <v>linkedin_dm</v>
      </c>
      <c r="F604" s="10" t="str">
        <f aca="false">INDEX(Canale!$D$2:$D$30,MATCH(C604,Canale!$A$2:$A$30,0))</f>
        <v>dm</v>
      </c>
      <c r="G604" s="10" t="str">
        <f aca="false">INDEX('Site-uri'!$C$2:$C$20,MATCH(A604,'Site-uri'!$A$2:$A$20,0))</f>
        <v>/</v>
      </c>
      <c r="H604" s="10" t="str">
        <f aca="false">Config!$B$3</f>
        <v>2610_ff_lansare</v>
      </c>
      <c r="I604" s="10" t="str">
        <f aca="false">D604&amp;"_"&amp;Config!$B$4</f>
        <v>fierbinte_general</v>
      </c>
      <c r="J604" s="10" t="str">
        <f aca="false">"https://"&amp;B604&amp;G604&amp;"?utm_source="&amp;E604&amp;"&amp;utm_medium="&amp;F604&amp;"&amp;utm_campaign="&amp;H604&amp;"&amp;utm_content="&amp;I604</f>
        <v>https://aireadyinjector.com/?utm_source=linkedin_dm&amp;utm_medium=dm&amp;utm_campaign=2610_ff_lansare&amp;utm_content=fierbinte_general</v>
      </c>
    </row>
    <row r="605" customFormat="false" ht="15" hidden="false" customHeight="false" outlineLevel="0" collapsed="false">
      <c r="A605" s="10" t="s">
        <v>62</v>
      </c>
      <c r="B605" s="10" t="str">
        <f aca="false">INDEX('Site-uri'!$B$2:$B$20,MATCH(A605,'Site-uri'!$A$2:$A$20,0))</f>
        <v>aireadyinjector.com</v>
      </c>
      <c r="C605" s="10" t="s">
        <v>122</v>
      </c>
      <c r="D605" s="10" t="s">
        <v>237</v>
      </c>
      <c r="E605" s="10" t="str">
        <f aca="false">INDEX(Canale!$C$2:$C$30,MATCH(C605,Canale!$A$2:$A$30,0))</f>
        <v>linkedin_dm</v>
      </c>
      <c r="F605" s="10" t="str">
        <f aca="false">INDEX(Canale!$D$2:$D$30,MATCH(C605,Canale!$A$2:$A$30,0))</f>
        <v>dm</v>
      </c>
      <c r="G605" s="10" t="str">
        <f aca="false">INDEX('Site-uri'!$C$2:$C$20,MATCH(A605,'Site-uri'!$A$2:$A$20,0))</f>
        <v>/</v>
      </c>
      <c r="H605" s="10" t="str">
        <f aca="false">Config!$B$3</f>
        <v>2610_ff_lansare</v>
      </c>
      <c r="I605" s="10" t="str">
        <f aca="false">D605&amp;"_"&amp;Config!$B$4</f>
        <v>client_general</v>
      </c>
      <c r="J605" s="10" t="str">
        <f aca="false">"https://"&amp;B605&amp;G605&amp;"?utm_source="&amp;E605&amp;"&amp;utm_medium="&amp;F605&amp;"&amp;utm_campaign="&amp;H605&amp;"&amp;utm_content="&amp;I605</f>
        <v>https://aireadyinjector.com/?utm_source=linkedin_dm&amp;utm_medium=dm&amp;utm_campaign=2610_ff_lansare&amp;utm_content=client_general</v>
      </c>
    </row>
    <row r="606" customFormat="false" ht="15" hidden="false" customHeight="false" outlineLevel="0" collapsed="false">
      <c r="A606" s="10" t="s">
        <v>62</v>
      </c>
      <c r="B606" s="10" t="str">
        <f aca="false">INDEX('Site-uri'!$B$2:$B$20,MATCH(A606,'Site-uri'!$A$2:$A$20,0))</f>
        <v>aireadyinjector.com</v>
      </c>
      <c r="C606" s="10" t="s">
        <v>126</v>
      </c>
      <c r="D606" s="10" t="s">
        <v>219</v>
      </c>
      <c r="E606" s="10" t="str">
        <f aca="false">INDEX(Canale!$C$2:$C$30,MATCH(C606,Canale!$A$2:$A$30,0))</f>
        <v>email_outreach</v>
      </c>
      <c r="F606" s="10" t="str">
        <f aca="false">INDEX(Canale!$D$2:$D$30,MATCH(C606,Canale!$A$2:$A$30,0))</f>
        <v>email</v>
      </c>
      <c r="G606" s="10" t="str">
        <f aca="false">INDEX('Site-uri'!$C$2:$C$20,MATCH(A606,'Site-uri'!$A$2:$A$20,0))</f>
        <v>/</v>
      </c>
      <c r="H606" s="10" t="str">
        <f aca="false">Config!$B$3</f>
        <v>2610_ff_lansare</v>
      </c>
      <c r="I606" s="10" t="str">
        <f aca="false">D606&amp;"_"&amp;Config!$B$4</f>
        <v>rece_general</v>
      </c>
      <c r="J606" s="10" t="str">
        <f aca="false">"https://"&amp;B606&amp;G606&amp;"?utm_source="&amp;E606&amp;"&amp;utm_medium="&amp;F606&amp;"&amp;utm_campaign="&amp;H606&amp;"&amp;utm_content="&amp;I606</f>
        <v>https://aireadyinjector.com/?utm_source=email_outreach&amp;utm_medium=email&amp;utm_campaign=2610_ff_lansare&amp;utm_content=rece_general</v>
      </c>
    </row>
    <row r="607" customFormat="false" ht="15" hidden="false" customHeight="false" outlineLevel="0" collapsed="false">
      <c r="A607" s="10" t="s">
        <v>62</v>
      </c>
      <c r="B607" s="10" t="str">
        <f aca="false">INDEX('Site-uri'!$B$2:$B$20,MATCH(A607,'Site-uri'!$A$2:$A$20,0))</f>
        <v>aireadyinjector.com</v>
      </c>
      <c r="C607" s="10" t="s">
        <v>126</v>
      </c>
      <c r="D607" s="10" t="s">
        <v>225</v>
      </c>
      <c r="E607" s="10" t="str">
        <f aca="false">INDEX(Canale!$C$2:$C$30,MATCH(C607,Canale!$A$2:$A$30,0))</f>
        <v>email_outreach</v>
      </c>
      <c r="F607" s="10" t="str">
        <f aca="false">INDEX(Canale!$D$2:$D$30,MATCH(C607,Canale!$A$2:$A$30,0))</f>
        <v>email</v>
      </c>
      <c r="G607" s="10" t="str">
        <f aca="false">INDEX('Site-uri'!$C$2:$C$20,MATCH(A607,'Site-uri'!$A$2:$A$20,0))</f>
        <v>/</v>
      </c>
      <c r="H607" s="10" t="str">
        <f aca="false">Config!$B$3</f>
        <v>2610_ff_lansare</v>
      </c>
      <c r="I607" s="10" t="str">
        <f aca="false">D607&amp;"_"&amp;Config!$B$4</f>
        <v>cald_general</v>
      </c>
      <c r="J607" s="10" t="str">
        <f aca="false">"https://"&amp;B607&amp;G607&amp;"?utm_source="&amp;E607&amp;"&amp;utm_medium="&amp;F607&amp;"&amp;utm_campaign="&amp;H607&amp;"&amp;utm_content="&amp;I607</f>
        <v>https://aireadyinjector.com/?utm_source=email_outreach&amp;utm_medium=email&amp;utm_campaign=2610_ff_lansare&amp;utm_content=cald_general</v>
      </c>
    </row>
    <row r="608" customFormat="false" ht="15" hidden="false" customHeight="false" outlineLevel="0" collapsed="false">
      <c r="A608" s="10" t="s">
        <v>62</v>
      </c>
      <c r="B608" s="10" t="str">
        <f aca="false">INDEX('Site-uri'!$B$2:$B$20,MATCH(A608,'Site-uri'!$A$2:$A$20,0))</f>
        <v>aireadyinjector.com</v>
      </c>
      <c r="C608" s="10" t="s">
        <v>126</v>
      </c>
      <c r="D608" s="10" t="s">
        <v>231</v>
      </c>
      <c r="E608" s="10" t="str">
        <f aca="false">INDEX(Canale!$C$2:$C$30,MATCH(C608,Canale!$A$2:$A$30,0))</f>
        <v>email_outreach</v>
      </c>
      <c r="F608" s="10" t="str">
        <f aca="false">INDEX(Canale!$D$2:$D$30,MATCH(C608,Canale!$A$2:$A$30,0))</f>
        <v>email</v>
      </c>
      <c r="G608" s="10" t="str">
        <f aca="false">INDEX('Site-uri'!$C$2:$C$20,MATCH(A608,'Site-uri'!$A$2:$A$20,0))</f>
        <v>/</v>
      </c>
      <c r="H608" s="10" t="str">
        <f aca="false">Config!$B$3</f>
        <v>2610_ff_lansare</v>
      </c>
      <c r="I608" s="10" t="str">
        <f aca="false">D608&amp;"_"&amp;Config!$B$4</f>
        <v>fierbinte_general</v>
      </c>
      <c r="J608" s="10" t="str">
        <f aca="false">"https://"&amp;B608&amp;G608&amp;"?utm_source="&amp;E608&amp;"&amp;utm_medium="&amp;F608&amp;"&amp;utm_campaign="&amp;H608&amp;"&amp;utm_content="&amp;I608</f>
        <v>https://aireadyinjector.com/?utm_source=email_outreach&amp;utm_medium=email&amp;utm_campaign=2610_ff_lansare&amp;utm_content=fierbinte_general</v>
      </c>
    </row>
    <row r="609" customFormat="false" ht="15" hidden="false" customHeight="false" outlineLevel="0" collapsed="false">
      <c r="A609" s="10" t="s">
        <v>62</v>
      </c>
      <c r="B609" s="10" t="str">
        <f aca="false">INDEX('Site-uri'!$B$2:$B$20,MATCH(A609,'Site-uri'!$A$2:$A$20,0))</f>
        <v>aireadyinjector.com</v>
      </c>
      <c r="C609" s="10" t="s">
        <v>126</v>
      </c>
      <c r="D609" s="10" t="s">
        <v>237</v>
      </c>
      <c r="E609" s="10" t="str">
        <f aca="false">INDEX(Canale!$C$2:$C$30,MATCH(C609,Canale!$A$2:$A$30,0))</f>
        <v>email_outreach</v>
      </c>
      <c r="F609" s="10" t="str">
        <f aca="false">INDEX(Canale!$D$2:$D$30,MATCH(C609,Canale!$A$2:$A$30,0))</f>
        <v>email</v>
      </c>
      <c r="G609" s="10" t="str">
        <f aca="false">INDEX('Site-uri'!$C$2:$C$20,MATCH(A609,'Site-uri'!$A$2:$A$20,0))</f>
        <v>/</v>
      </c>
      <c r="H609" s="10" t="str">
        <f aca="false">Config!$B$3</f>
        <v>2610_ff_lansare</v>
      </c>
      <c r="I609" s="10" t="str">
        <f aca="false">D609&amp;"_"&amp;Config!$B$4</f>
        <v>client_general</v>
      </c>
      <c r="J609" s="10" t="str">
        <f aca="false">"https://"&amp;B609&amp;G609&amp;"?utm_source="&amp;E609&amp;"&amp;utm_medium="&amp;F609&amp;"&amp;utm_campaign="&amp;H609&amp;"&amp;utm_content="&amp;I609</f>
        <v>https://aireadyinjector.com/?utm_source=email_outreach&amp;utm_medium=email&amp;utm_campaign=2610_ff_lansare&amp;utm_content=client_general</v>
      </c>
    </row>
    <row r="610" customFormat="false" ht="15" hidden="false" customHeight="false" outlineLevel="0" collapsed="false">
      <c r="A610" s="10" t="s">
        <v>62</v>
      </c>
      <c r="B610" s="10" t="str">
        <f aca="false">INDEX('Site-uri'!$B$2:$B$20,MATCH(A610,'Site-uri'!$A$2:$A$20,0))</f>
        <v>aireadyinjector.com</v>
      </c>
      <c r="C610" s="10" t="s">
        <v>131</v>
      </c>
      <c r="D610" s="10" t="s">
        <v>219</v>
      </c>
      <c r="E610" s="10" t="str">
        <f aca="false">INDEX(Canale!$C$2:$C$30,MATCH(C610,Canale!$A$2:$A$30,0))</f>
        <v>newsletter</v>
      </c>
      <c r="F610" s="10" t="str">
        <f aca="false">INDEX(Canale!$D$2:$D$30,MATCH(C610,Canale!$A$2:$A$30,0))</f>
        <v>email</v>
      </c>
      <c r="G610" s="10" t="str">
        <f aca="false">INDEX('Site-uri'!$C$2:$C$20,MATCH(A610,'Site-uri'!$A$2:$A$20,0))</f>
        <v>/</v>
      </c>
      <c r="H610" s="10" t="str">
        <f aca="false">Config!$B$3</f>
        <v>2610_ff_lansare</v>
      </c>
      <c r="I610" s="10" t="str">
        <f aca="false">D610&amp;"_"&amp;Config!$B$4</f>
        <v>rece_general</v>
      </c>
      <c r="J610" s="10" t="str">
        <f aca="false">"https://"&amp;B610&amp;G610&amp;"?utm_source="&amp;E610&amp;"&amp;utm_medium="&amp;F610&amp;"&amp;utm_campaign="&amp;H610&amp;"&amp;utm_content="&amp;I610</f>
        <v>https://aireadyinjector.com/?utm_source=newsletter&amp;utm_medium=email&amp;utm_campaign=2610_ff_lansare&amp;utm_content=rece_general</v>
      </c>
    </row>
    <row r="611" customFormat="false" ht="15" hidden="false" customHeight="false" outlineLevel="0" collapsed="false">
      <c r="A611" s="10" t="s">
        <v>62</v>
      </c>
      <c r="B611" s="10" t="str">
        <f aca="false">INDEX('Site-uri'!$B$2:$B$20,MATCH(A611,'Site-uri'!$A$2:$A$20,0))</f>
        <v>aireadyinjector.com</v>
      </c>
      <c r="C611" s="10" t="s">
        <v>131</v>
      </c>
      <c r="D611" s="10" t="s">
        <v>225</v>
      </c>
      <c r="E611" s="10" t="str">
        <f aca="false">INDEX(Canale!$C$2:$C$30,MATCH(C611,Canale!$A$2:$A$30,0))</f>
        <v>newsletter</v>
      </c>
      <c r="F611" s="10" t="str">
        <f aca="false">INDEX(Canale!$D$2:$D$30,MATCH(C611,Canale!$A$2:$A$30,0))</f>
        <v>email</v>
      </c>
      <c r="G611" s="10" t="str">
        <f aca="false">INDEX('Site-uri'!$C$2:$C$20,MATCH(A611,'Site-uri'!$A$2:$A$20,0))</f>
        <v>/</v>
      </c>
      <c r="H611" s="10" t="str">
        <f aca="false">Config!$B$3</f>
        <v>2610_ff_lansare</v>
      </c>
      <c r="I611" s="10" t="str">
        <f aca="false">D611&amp;"_"&amp;Config!$B$4</f>
        <v>cald_general</v>
      </c>
      <c r="J611" s="10" t="str">
        <f aca="false">"https://"&amp;B611&amp;G611&amp;"?utm_source="&amp;E611&amp;"&amp;utm_medium="&amp;F611&amp;"&amp;utm_campaign="&amp;H611&amp;"&amp;utm_content="&amp;I611</f>
        <v>https://aireadyinjector.com/?utm_source=newsletter&amp;utm_medium=email&amp;utm_campaign=2610_ff_lansare&amp;utm_content=cald_general</v>
      </c>
    </row>
    <row r="612" customFormat="false" ht="15" hidden="false" customHeight="false" outlineLevel="0" collapsed="false">
      <c r="A612" s="10" t="s">
        <v>62</v>
      </c>
      <c r="B612" s="10" t="str">
        <f aca="false">INDEX('Site-uri'!$B$2:$B$20,MATCH(A612,'Site-uri'!$A$2:$A$20,0))</f>
        <v>aireadyinjector.com</v>
      </c>
      <c r="C612" s="10" t="s">
        <v>131</v>
      </c>
      <c r="D612" s="10" t="s">
        <v>231</v>
      </c>
      <c r="E612" s="10" t="str">
        <f aca="false">INDEX(Canale!$C$2:$C$30,MATCH(C612,Canale!$A$2:$A$30,0))</f>
        <v>newsletter</v>
      </c>
      <c r="F612" s="10" t="str">
        <f aca="false">INDEX(Canale!$D$2:$D$30,MATCH(C612,Canale!$A$2:$A$30,0))</f>
        <v>email</v>
      </c>
      <c r="G612" s="10" t="str">
        <f aca="false">INDEX('Site-uri'!$C$2:$C$20,MATCH(A612,'Site-uri'!$A$2:$A$20,0))</f>
        <v>/</v>
      </c>
      <c r="H612" s="10" t="str">
        <f aca="false">Config!$B$3</f>
        <v>2610_ff_lansare</v>
      </c>
      <c r="I612" s="10" t="str">
        <f aca="false">D612&amp;"_"&amp;Config!$B$4</f>
        <v>fierbinte_general</v>
      </c>
      <c r="J612" s="10" t="str">
        <f aca="false">"https://"&amp;B612&amp;G612&amp;"?utm_source="&amp;E612&amp;"&amp;utm_medium="&amp;F612&amp;"&amp;utm_campaign="&amp;H612&amp;"&amp;utm_content="&amp;I612</f>
        <v>https://aireadyinjector.com/?utm_source=newsletter&amp;utm_medium=email&amp;utm_campaign=2610_ff_lansare&amp;utm_content=fierbinte_general</v>
      </c>
    </row>
    <row r="613" customFormat="false" ht="15" hidden="false" customHeight="false" outlineLevel="0" collapsed="false">
      <c r="A613" s="10" t="s">
        <v>62</v>
      </c>
      <c r="B613" s="10" t="str">
        <f aca="false">INDEX('Site-uri'!$B$2:$B$20,MATCH(A613,'Site-uri'!$A$2:$A$20,0))</f>
        <v>aireadyinjector.com</v>
      </c>
      <c r="C613" s="10" t="s">
        <v>131</v>
      </c>
      <c r="D613" s="10" t="s">
        <v>237</v>
      </c>
      <c r="E613" s="10" t="str">
        <f aca="false">INDEX(Canale!$C$2:$C$30,MATCH(C613,Canale!$A$2:$A$30,0))</f>
        <v>newsletter</v>
      </c>
      <c r="F613" s="10" t="str">
        <f aca="false">INDEX(Canale!$D$2:$D$30,MATCH(C613,Canale!$A$2:$A$30,0))</f>
        <v>email</v>
      </c>
      <c r="G613" s="10" t="str">
        <f aca="false">INDEX('Site-uri'!$C$2:$C$20,MATCH(A613,'Site-uri'!$A$2:$A$20,0))</f>
        <v>/</v>
      </c>
      <c r="H613" s="10" t="str">
        <f aca="false">Config!$B$3</f>
        <v>2610_ff_lansare</v>
      </c>
      <c r="I613" s="10" t="str">
        <f aca="false">D613&amp;"_"&amp;Config!$B$4</f>
        <v>client_general</v>
      </c>
      <c r="J613" s="10" t="str">
        <f aca="false">"https://"&amp;B613&amp;G613&amp;"?utm_source="&amp;E613&amp;"&amp;utm_medium="&amp;F613&amp;"&amp;utm_campaign="&amp;H613&amp;"&amp;utm_content="&amp;I613</f>
        <v>https://aireadyinjector.com/?utm_source=newsletter&amp;utm_medium=email&amp;utm_campaign=2610_ff_lansare&amp;utm_content=client_general</v>
      </c>
    </row>
    <row r="614" customFormat="false" ht="15" hidden="false" customHeight="false" outlineLevel="0" collapsed="false">
      <c r="A614" s="10" t="s">
        <v>62</v>
      </c>
      <c r="B614" s="10" t="str">
        <f aca="false">INDEX('Site-uri'!$B$2:$B$20,MATCH(A614,'Site-uri'!$A$2:$A$20,0))</f>
        <v>aireadyinjector.com</v>
      </c>
      <c r="C614" s="10" t="s">
        <v>134</v>
      </c>
      <c r="D614" s="10" t="s">
        <v>219</v>
      </c>
      <c r="E614" s="10" t="str">
        <f aca="false">INDEX(Canale!$C$2:$C$30,MATCH(C614,Canale!$A$2:$A$30,0))</f>
        <v>email_signature</v>
      </c>
      <c r="F614" s="10" t="str">
        <f aca="false">INDEX(Canale!$D$2:$D$30,MATCH(C614,Canale!$A$2:$A$30,0))</f>
        <v>email</v>
      </c>
      <c r="G614" s="10" t="str">
        <f aca="false">INDEX('Site-uri'!$C$2:$C$20,MATCH(A614,'Site-uri'!$A$2:$A$20,0))</f>
        <v>/</v>
      </c>
      <c r="H614" s="10" t="str">
        <f aca="false">Config!$B$3</f>
        <v>2610_ff_lansare</v>
      </c>
      <c r="I614" s="10" t="str">
        <f aca="false">D614&amp;"_"&amp;Config!$B$4</f>
        <v>rece_general</v>
      </c>
      <c r="J614" s="10" t="str">
        <f aca="false">"https://"&amp;B614&amp;G614&amp;"?utm_source="&amp;E614&amp;"&amp;utm_medium="&amp;F614&amp;"&amp;utm_campaign="&amp;H614&amp;"&amp;utm_content="&amp;I614</f>
        <v>https://aireadyinjector.com/?utm_source=email_signature&amp;utm_medium=email&amp;utm_campaign=2610_ff_lansare&amp;utm_content=rece_general</v>
      </c>
    </row>
    <row r="615" customFormat="false" ht="15" hidden="false" customHeight="false" outlineLevel="0" collapsed="false">
      <c r="A615" s="10" t="s">
        <v>62</v>
      </c>
      <c r="B615" s="10" t="str">
        <f aca="false">INDEX('Site-uri'!$B$2:$B$20,MATCH(A615,'Site-uri'!$A$2:$A$20,0))</f>
        <v>aireadyinjector.com</v>
      </c>
      <c r="C615" s="10" t="s">
        <v>134</v>
      </c>
      <c r="D615" s="10" t="s">
        <v>225</v>
      </c>
      <c r="E615" s="10" t="str">
        <f aca="false">INDEX(Canale!$C$2:$C$30,MATCH(C615,Canale!$A$2:$A$30,0))</f>
        <v>email_signature</v>
      </c>
      <c r="F615" s="10" t="str">
        <f aca="false">INDEX(Canale!$D$2:$D$30,MATCH(C615,Canale!$A$2:$A$30,0))</f>
        <v>email</v>
      </c>
      <c r="G615" s="10" t="str">
        <f aca="false">INDEX('Site-uri'!$C$2:$C$20,MATCH(A615,'Site-uri'!$A$2:$A$20,0))</f>
        <v>/</v>
      </c>
      <c r="H615" s="10" t="str">
        <f aca="false">Config!$B$3</f>
        <v>2610_ff_lansare</v>
      </c>
      <c r="I615" s="10" t="str">
        <f aca="false">D615&amp;"_"&amp;Config!$B$4</f>
        <v>cald_general</v>
      </c>
      <c r="J615" s="10" t="str">
        <f aca="false">"https://"&amp;B615&amp;G615&amp;"?utm_source="&amp;E615&amp;"&amp;utm_medium="&amp;F615&amp;"&amp;utm_campaign="&amp;H615&amp;"&amp;utm_content="&amp;I615</f>
        <v>https://aireadyinjector.com/?utm_source=email_signature&amp;utm_medium=email&amp;utm_campaign=2610_ff_lansare&amp;utm_content=cald_general</v>
      </c>
    </row>
    <row r="616" customFormat="false" ht="15" hidden="false" customHeight="false" outlineLevel="0" collapsed="false">
      <c r="A616" s="10" t="s">
        <v>62</v>
      </c>
      <c r="B616" s="10" t="str">
        <f aca="false">INDEX('Site-uri'!$B$2:$B$20,MATCH(A616,'Site-uri'!$A$2:$A$20,0))</f>
        <v>aireadyinjector.com</v>
      </c>
      <c r="C616" s="10" t="s">
        <v>134</v>
      </c>
      <c r="D616" s="10" t="s">
        <v>231</v>
      </c>
      <c r="E616" s="10" t="str">
        <f aca="false">INDEX(Canale!$C$2:$C$30,MATCH(C616,Canale!$A$2:$A$30,0))</f>
        <v>email_signature</v>
      </c>
      <c r="F616" s="10" t="str">
        <f aca="false">INDEX(Canale!$D$2:$D$30,MATCH(C616,Canale!$A$2:$A$30,0))</f>
        <v>email</v>
      </c>
      <c r="G616" s="10" t="str">
        <f aca="false">INDEX('Site-uri'!$C$2:$C$20,MATCH(A616,'Site-uri'!$A$2:$A$20,0))</f>
        <v>/</v>
      </c>
      <c r="H616" s="10" t="str">
        <f aca="false">Config!$B$3</f>
        <v>2610_ff_lansare</v>
      </c>
      <c r="I616" s="10" t="str">
        <f aca="false">D616&amp;"_"&amp;Config!$B$4</f>
        <v>fierbinte_general</v>
      </c>
      <c r="J616" s="10" t="str">
        <f aca="false">"https://"&amp;B616&amp;G616&amp;"?utm_source="&amp;E616&amp;"&amp;utm_medium="&amp;F616&amp;"&amp;utm_campaign="&amp;H616&amp;"&amp;utm_content="&amp;I616</f>
        <v>https://aireadyinjector.com/?utm_source=email_signature&amp;utm_medium=email&amp;utm_campaign=2610_ff_lansare&amp;utm_content=fierbinte_general</v>
      </c>
    </row>
    <row r="617" customFormat="false" ht="15" hidden="false" customHeight="false" outlineLevel="0" collapsed="false">
      <c r="A617" s="10" t="s">
        <v>62</v>
      </c>
      <c r="B617" s="10" t="str">
        <f aca="false">INDEX('Site-uri'!$B$2:$B$20,MATCH(A617,'Site-uri'!$A$2:$A$20,0))</f>
        <v>aireadyinjector.com</v>
      </c>
      <c r="C617" s="10" t="s">
        <v>134</v>
      </c>
      <c r="D617" s="10" t="s">
        <v>237</v>
      </c>
      <c r="E617" s="10" t="str">
        <f aca="false">INDEX(Canale!$C$2:$C$30,MATCH(C617,Canale!$A$2:$A$30,0))</f>
        <v>email_signature</v>
      </c>
      <c r="F617" s="10" t="str">
        <f aca="false">INDEX(Canale!$D$2:$D$30,MATCH(C617,Canale!$A$2:$A$30,0))</f>
        <v>email</v>
      </c>
      <c r="G617" s="10" t="str">
        <f aca="false">INDEX('Site-uri'!$C$2:$C$20,MATCH(A617,'Site-uri'!$A$2:$A$20,0))</f>
        <v>/</v>
      </c>
      <c r="H617" s="10" t="str">
        <f aca="false">Config!$B$3</f>
        <v>2610_ff_lansare</v>
      </c>
      <c r="I617" s="10" t="str">
        <f aca="false">D617&amp;"_"&amp;Config!$B$4</f>
        <v>client_general</v>
      </c>
      <c r="J617" s="10" t="str">
        <f aca="false">"https://"&amp;B617&amp;G617&amp;"?utm_source="&amp;E617&amp;"&amp;utm_medium="&amp;F617&amp;"&amp;utm_campaign="&amp;H617&amp;"&amp;utm_content="&amp;I617</f>
        <v>https://aireadyinjector.com/?utm_source=email_signature&amp;utm_medium=email&amp;utm_campaign=2610_ff_lansare&amp;utm_content=client_general</v>
      </c>
    </row>
    <row r="618" customFormat="false" ht="15" hidden="false" customHeight="false" outlineLevel="0" collapsed="false">
      <c r="A618" s="10" t="s">
        <v>62</v>
      </c>
      <c r="B618" s="10" t="str">
        <f aca="false">INDEX('Site-uri'!$B$2:$B$20,MATCH(A618,'Site-uri'!$A$2:$A$20,0))</f>
        <v>aireadyinjector.com</v>
      </c>
      <c r="C618" s="10" t="s">
        <v>137</v>
      </c>
      <c r="D618" s="10" t="s">
        <v>219</v>
      </c>
      <c r="E618" s="10" t="str">
        <f aca="false">INDEX(Canale!$C$2:$C$30,MATCH(C618,Canale!$A$2:$A$30,0))</f>
        <v>whatsapp</v>
      </c>
      <c r="F618" s="10" t="str">
        <f aca="false">INDEX(Canale!$D$2:$D$30,MATCH(C618,Canale!$A$2:$A$30,0))</f>
        <v>dm</v>
      </c>
      <c r="G618" s="10" t="str">
        <f aca="false">INDEX('Site-uri'!$C$2:$C$20,MATCH(A618,'Site-uri'!$A$2:$A$20,0))</f>
        <v>/</v>
      </c>
      <c r="H618" s="10" t="str">
        <f aca="false">Config!$B$3</f>
        <v>2610_ff_lansare</v>
      </c>
      <c r="I618" s="10" t="str">
        <f aca="false">D618&amp;"_"&amp;Config!$B$4</f>
        <v>rece_general</v>
      </c>
      <c r="J618" s="10" t="str">
        <f aca="false">"https://"&amp;B618&amp;G618&amp;"?utm_source="&amp;E618&amp;"&amp;utm_medium="&amp;F618&amp;"&amp;utm_campaign="&amp;H618&amp;"&amp;utm_content="&amp;I618</f>
        <v>https://aireadyinjector.com/?utm_source=whatsapp&amp;utm_medium=dm&amp;utm_campaign=2610_ff_lansare&amp;utm_content=rece_general</v>
      </c>
    </row>
    <row r="619" customFormat="false" ht="15" hidden="false" customHeight="false" outlineLevel="0" collapsed="false">
      <c r="A619" s="10" t="s">
        <v>62</v>
      </c>
      <c r="B619" s="10" t="str">
        <f aca="false">INDEX('Site-uri'!$B$2:$B$20,MATCH(A619,'Site-uri'!$A$2:$A$20,0))</f>
        <v>aireadyinjector.com</v>
      </c>
      <c r="C619" s="10" t="s">
        <v>137</v>
      </c>
      <c r="D619" s="10" t="s">
        <v>225</v>
      </c>
      <c r="E619" s="10" t="str">
        <f aca="false">INDEX(Canale!$C$2:$C$30,MATCH(C619,Canale!$A$2:$A$30,0))</f>
        <v>whatsapp</v>
      </c>
      <c r="F619" s="10" t="str">
        <f aca="false">INDEX(Canale!$D$2:$D$30,MATCH(C619,Canale!$A$2:$A$30,0))</f>
        <v>dm</v>
      </c>
      <c r="G619" s="10" t="str">
        <f aca="false">INDEX('Site-uri'!$C$2:$C$20,MATCH(A619,'Site-uri'!$A$2:$A$20,0))</f>
        <v>/</v>
      </c>
      <c r="H619" s="10" t="str">
        <f aca="false">Config!$B$3</f>
        <v>2610_ff_lansare</v>
      </c>
      <c r="I619" s="10" t="str">
        <f aca="false">D619&amp;"_"&amp;Config!$B$4</f>
        <v>cald_general</v>
      </c>
      <c r="J619" s="10" t="str">
        <f aca="false">"https://"&amp;B619&amp;G619&amp;"?utm_source="&amp;E619&amp;"&amp;utm_medium="&amp;F619&amp;"&amp;utm_campaign="&amp;H619&amp;"&amp;utm_content="&amp;I619</f>
        <v>https://aireadyinjector.com/?utm_source=whatsapp&amp;utm_medium=dm&amp;utm_campaign=2610_ff_lansare&amp;utm_content=cald_general</v>
      </c>
    </row>
    <row r="620" customFormat="false" ht="15" hidden="false" customHeight="false" outlineLevel="0" collapsed="false">
      <c r="A620" s="10" t="s">
        <v>62</v>
      </c>
      <c r="B620" s="10" t="str">
        <f aca="false">INDEX('Site-uri'!$B$2:$B$20,MATCH(A620,'Site-uri'!$A$2:$A$20,0))</f>
        <v>aireadyinjector.com</v>
      </c>
      <c r="C620" s="10" t="s">
        <v>137</v>
      </c>
      <c r="D620" s="10" t="s">
        <v>231</v>
      </c>
      <c r="E620" s="10" t="str">
        <f aca="false">INDEX(Canale!$C$2:$C$30,MATCH(C620,Canale!$A$2:$A$30,0))</f>
        <v>whatsapp</v>
      </c>
      <c r="F620" s="10" t="str">
        <f aca="false">INDEX(Canale!$D$2:$D$30,MATCH(C620,Canale!$A$2:$A$30,0))</f>
        <v>dm</v>
      </c>
      <c r="G620" s="10" t="str">
        <f aca="false">INDEX('Site-uri'!$C$2:$C$20,MATCH(A620,'Site-uri'!$A$2:$A$20,0))</f>
        <v>/</v>
      </c>
      <c r="H620" s="10" t="str">
        <f aca="false">Config!$B$3</f>
        <v>2610_ff_lansare</v>
      </c>
      <c r="I620" s="10" t="str">
        <f aca="false">D620&amp;"_"&amp;Config!$B$4</f>
        <v>fierbinte_general</v>
      </c>
      <c r="J620" s="10" t="str">
        <f aca="false">"https://"&amp;B620&amp;G620&amp;"?utm_source="&amp;E620&amp;"&amp;utm_medium="&amp;F620&amp;"&amp;utm_campaign="&amp;H620&amp;"&amp;utm_content="&amp;I620</f>
        <v>https://aireadyinjector.com/?utm_source=whatsapp&amp;utm_medium=dm&amp;utm_campaign=2610_ff_lansare&amp;utm_content=fierbinte_general</v>
      </c>
    </row>
    <row r="621" customFormat="false" ht="15" hidden="false" customHeight="false" outlineLevel="0" collapsed="false">
      <c r="A621" s="10" t="s">
        <v>62</v>
      </c>
      <c r="B621" s="10" t="str">
        <f aca="false">INDEX('Site-uri'!$B$2:$B$20,MATCH(A621,'Site-uri'!$A$2:$A$20,0))</f>
        <v>aireadyinjector.com</v>
      </c>
      <c r="C621" s="10" t="s">
        <v>137</v>
      </c>
      <c r="D621" s="10" t="s">
        <v>237</v>
      </c>
      <c r="E621" s="10" t="str">
        <f aca="false">INDEX(Canale!$C$2:$C$30,MATCH(C621,Canale!$A$2:$A$30,0))</f>
        <v>whatsapp</v>
      </c>
      <c r="F621" s="10" t="str">
        <f aca="false">INDEX(Canale!$D$2:$D$30,MATCH(C621,Canale!$A$2:$A$30,0))</f>
        <v>dm</v>
      </c>
      <c r="G621" s="10" t="str">
        <f aca="false">INDEX('Site-uri'!$C$2:$C$20,MATCH(A621,'Site-uri'!$A$2:$A$20,0))</f>
        <v>/</v>
      </c>
      <c r="H621" s="10" t="str">
        <f aca="false">Config!$B$3</f>
        <v>2610_ff_lansare</v>
      </c>
      <c r="I621" s="10" t="str">
        <f aca="false">D621&amp;"_"&amp;Config!$B$4</f>
        <v>client_general</v>
      </c>
      <c r="J621" s="10" t="str">
        <f aca="false">"https://"&amp;B621&amp;G621&amp;"?utm_source="&amp;E621&amp;"&amp;utm_medium="&amp;F621&amp;"&amp;utm_campaign="&amp;H621&amp;"&amp;utm_content="&amp;I621</f>
        <v>https://aireadyinjector.com/?utm_source=whatsapp&amp;utm_medium=dm&amp;utm_campaign=2610_ff_lansare&amp;utm_content=client_general</v>
      </c>
    </row>
    <row r="622" customFormat="false" ht="15" hidden="false" customHeight="false" outlineLevel="0" collapsed="false">
      <c r="A622" s="10" t="s">
        <v>62</v>
      </c>
      <c r="B622" s="10" t="str">
        <f aca="false">INDEX('Site-uri'!$B$2:$B$20,MATCH(A622,'Site-uri'!$A$2:$A$20,0))</f>
        <v>aireadyinjector.com</v>
      </c>
      <c r="C622" s="10" t="s">
        <v>141</v>
      </c>
      <c r="D622" s="10" t="s">
        <v>219</v>
      </c>
      <c r="E622" s="10" t="str">
        <f aca="false">INDEX(Canale!$C$2:$C$30,MATCH(C622,Canale!$A$2:$A$30,0))</f>
        <v>google</v>
      </c>
      <c r="F622" s="10" t="str">
        <f aca="false">INDEX(Canale!$D$2:$D$30,MATCH(C622,Canale!$A$2:$A$30,0))</f>
        <v>cpc</v>
      </c>
      <c r="G622" s="10" t="str">
        <f aca="false">INDEX('Site-uri'!$C$2:$C$20,MATCH(A622,'Site-uri'!$A$2:$A$20,0))</f>
        <v>/</v>
      </c>
      <c r="H622" s="10" t="str">
        <f aca="false">Config!$B$3</f>
        <v>2610_ff_lansare</v>
      </c>
      <c r="I622" s="10" t="str">
        <f aca="false">D622&amp;"_"&amp;Config!$B$4</f>
        <v>rece_general</v>
      </c>
      <c r="J622" s="10" t="str">
        <f aca="false">"https://"&amp;B622&amp;G622&amp;"?utm_source="&amp;E622&amp;"&amp;utm_medium="&amp;F622&amp;"&amp;utm_campaign="&amp;H622&amp;"&amp;utm_content="&amp;I622</f>
        <v>https://aireadyinjector.com/?utm_source=google&amp;utm_medium=cpc&amp;utm_campaign=2610_ff_lansare&amp;utm_content=rece_general</v>
      </c>
    </row>
    <row r="623" customFormat="false" ht="15" hidden="false" customHeight="false" outlineLevel="0" collapsed="false">
      <c r="A623" s="10" t="s">
        <v>62</v>
      </c>
      <c r="B623" s="10" t="str">
        <f aca="false">INDEX('Site-uri'!$B$2:$B$20,MATCH(A623,'Site-uri'!$A$2:$A$20,0))</f>
        <v>aireadyinjector.com</v>
      </c>
      <c r="C623" s="10" t="s">
        <v>141</v>
      </c>
      <c r="D623" s="10" t="s">
        <v>225</v>
      </c>
      <c r="E623" s="10" t="str">
        <f aca="false">INDEX(Canale!$C$2:$C$30,MATCH(C623,Canale!$A$2:$A$30,0))</f>
        <v>google</v>
      </c>
      <c r="F623" s="10" t="str">
        <f aca="false">INDEX(Canale!$D$2:$D$30,MATCH(C623,Canale!$A$2:$A$30,0))</f>
        <v>cpc</v>
      </c>
      <c r="G623" s="10" t="str">
        <f aca="false">INDEX('Site-uri'!$C$2:$C$20,MATCH(A623,'Site-uri'!$A$2:$A$20,0))</f>
        <v>/</v>
      </c>
      <c r="H623" s="10" t="str">
        <f aca="false">Config!$B$3</f>
        <v>2610_ff_lansare</v>
      </c>
      <c r="I623" s="10" t="str">
        <f aca="false">D623&amp;"_"&amp;Config!$B$4</f>
        <v>cald_general</v>
      </c>
      <c r="J623" s="10" t="str">
        <f aca="false">"https://"&amp;B623&amp;G623&amp;"?utm_source="&amp;E623&amp;"&amp;utm_medium="&amp;F623&amp;"&amp;utm_campaign="&amp;H623&amp;"&amp;utm_content="&amp;I623</f>
        <v>https://aireadyinjector.com/?utm_source=google&amp;utm_medium=cpc&amp;utm_campaign=2610_ff_lansare&amp;utm_content=cald_general</v>
      </c>
    </row>
    <row r="624" customFormat="false" ht="15" hidden="false" customHeight="false" outlineLevel="0" collapsed="false">
      <c r="A624" s="10" t="s">
        <v>62</v>
      </c>
      <c r="B624" s="10" t="str">
        <f aca="false">INDEX('Site-uri'!$B$2:$B$20,MATCH(A624,'Site-uri'!$A$2:$A$20,0))</f>
        <v>aireadyinjector.com</v>
      </c>
      <c r="C624" s="10" t="s">
        <v>141</v>
      </c>
      <c r="D624" s="10" t="s">
        <v>231</v>
      </c>
      <c r="E624" s="10" t="str">
        <f aca="false">INDEX(Canale!$C$2:$C$30,MATCH(C624,Canale!$A$2:$A$30,0))</f>
        <v>google</v>
      </c>
      <c r="F624" s="10" t="str">
        <f aca="false">INDEX(Canale!$D$2:$D$30,MATCH(C624,Canale!$A$2:$A$30,0))</f>
        <v>cpc</v>
      </c>
      <c r="G624" s="10" t="str">
        <f aca="false">INDEX('Site-uri'!$C$2:$C$20,MATCH(A624,'Site-uri'!$A$2:$A$20,0))</f>
        <v>/</v>
      </c>
      <c r="H624" s="10" t="str">
        <f aca="false">Config!$B$3</f>
        <v>2610_ff_lansare</v>
      </c>
      <c r="I624" s="10" t="str">
        <f aca="false">D624&amp;"_"&amp;Config!$B$4</f>
        <v>fierbinte_general</v>
      </c>
      <c r="J624" s="10" t="str">
        <f aca="false">"https://"&amp;B624&amp;G624&amp;"?utm_source="&amp;E624&amp;"&amp;utm_medium="&amp;F624&amp;"&amp;utm_campaign="&amp;H624&amp;"&amp;utm_content="&amp;I624</f>
        <v>https://aireadyinjector.com/?utm_source=google&amp;utm_medium=cpc&amp;utm_campaign=2610_ff_lansare&amp;utm_content=fierbinte_general</v>
      </c>
    </row>
    <row r="625" customFormat="false" ht="15" hidden="false" customHeight="false" outlineLevel="0" collapsed="false">
      <c r="A625" s="10" t="s">
        <v>62</v>
      </c>
      <c r="B625" s="10" t="str">
        <f aca="false">INDEX('Site-uri'!$B$2:$B$20,MATCH(A625,'Site-uri'!$A$2:$A$20,0))</f>
        <v>aireadyinjector.com</v>
      </c>
      <c r="C625" s="10" t="s">
        <v>141</v>
      </c>
      <c r="D625" s="10" t="s">
        <v>237</v>
      </c>
      <c r="E625" s="10" t="str">
        <f aca="false">INDEX(Canale!$C$2:$C$30,MATCH(C625,Canale!$A$2:$A$30,0))</f>
        <v>google</v>
      </c>
      <c r="F625" s="10" t="str">
        <f aca="false">INDEX(Canale!$D$2:$D$30,MATCH(C625,Canale!$A$2:$A$30,0))</f>
        <v>cpc</v>
      </c>
      <c r="G625" s="10" t="str">
        <f aca="false">INDEX('Site-uri'!$C$2:$C$20,MATCH(A625,'Site-uri'!$A$2:$A$20,0))</f>
        <v>/</v>
      </c>
      <c r="H625" s="10" t="str">
        <f aca="false">Config!$B$3</f>
        <v>2610_ff_lansare</v>
      </c>
      <c r="I625" s="10" t="str">
        <f aca="false">D625&amp;"_"&amp;Config!$B$4</f>
        <v>client_general</v>
      </c>
      <c r="J625" s="10" t="str">
        <f aca="false">"https://"&amp;B625&amp;G625&amp;"?utm_source="&amp;E625&amp;"&amp;utm_medium="&amp;F625&amp;"&amp;utm_campaign="&amp;H625&amp;"&amp;utm_content="&amp;I625</f>
        <v>https://aireadyinjector.com/?utm_source=google&amp;utm_medium=cpc&amp;utm_campaign=2610_ff_lansare&amp;utm_content=client_general</v>
      </c>
    </row>
    <row r="626" customFormat="false" ht="15" hidden="false" customHeight="false" outlineLevel="0" collapsed="false">
      <c r="A626" s="10" t="s">
        <v>62</v>
      </c>
      <c r="B626" s="10" t="str">
        <f aca="false">INDEX('Site-uri'!$B$2:$B$20,MATCH(A626,'Site-uri'!$A$2:$A$20,0))</f>
        <v>aireadyinjector.com</v>
      </c>
      <c r="C626" s="10" t="s">
        <v>146</v>
      </c>
      <c r="D626" s="10" t="s">
        <v>219</v>
      </c>
      <c r="E626" s="10" t="str">
        <f aca="false">INDEX(Canale!$C$2:$C$30,MATCH(C626,Canale!$A$2:$A$30,0))</f>
        <v>bing</v>
      </c>
      <c r="F626" s="10" t="str">
        <f aca="false">INDEX(Canale!$D$2:$D$30,MATCH(C626,Canale!$A$2:$A$30,0))</f>
        <v>cpc</v>
      </c>
      <c r="G626" s="10" t="str">
        <f aca="false">INDEX('Site-uri'!$C$2:$C$20,MATCH(A626,'Site-uri'!$A$2:$A$20,0))</f>
        <v>/</v>
      </c>
      <c r="H626" s="10" t="str">
        <f aca="false">Config!$B$3</f>
        <v>2610_ff_lansare</v>
      </c>
      <c r="I626" s="10" t="str">
        <f aca="false">D626&amp;"_"&amp;Config!$B$4</f>
        <v>rece_general</v>
      </c>
      <c r="J626" s="10" t="str">
        <f aca="false">"https://"&amp;B626&amp;G626&amp;"?utm_source="&amp;E626&amp;"&amp;utm_medium="&amp;F626&amp;"&amp;utm_campaign="&amp;H626&amp;"&amp;utm_content="&amp;I626</f>
        <v>https://aireadyinjector.com/?utm_source=bing&amp;utm_medium=cpc&amp;utm_campaign=2610_ff_lansare&amp;utm_content=rece_general</v>
      </c>
    </row>
    <row r="627" customFormat="false" ht="15" hidden="false" customHeight="false" outlineLevel="0" collapsed="false">
      <c r="A627" s="10" t="s">
        <v>62</v>
      </c>
      <c r="B627" s="10" t="str">
        <f aca="false">INDEX('Site-uri'!$B$2:$B$20,MATCH(A627,'Site-uri'!$A$2:$A$20,0))</f>
        <v>aireadyinjector.com</v>
      </c>
      <c r="C627" s="10" t="s">
        <v>146</v>
      </c>
      <c r="D627" s="10" t="s">
        <v>225</v>
      </c>
      <c r="E627" s="10" t="str">
        <f aca="false">INDEX(Canale!$C$2:$C$30,MATCH(C627,Canale!$A$2:$A$30,0))</f>
        <v>bing</v>
      </c>
      <c r="F627" s="10" t="str">
        <f aca="false">INDEX(Canale!$D$2:$D$30,MATCH(C627,Canale!$A$2:$A$30,0))</f>
        <v>cpc</v>
      </c>
      <c r="G627" s="10" t="str">
        <f aca="false">INDEX('Site-uri'!$C$2:$C$20,MATCH(A627,'Site-uri'!$A$2:$A$20,0))</f>
        <v>/</v>
      </c>
      <c r="H627" s="10" t="str">
        <f aca="false">Config!$B$3</f>
        <v>2610_ff_lansare</v>
      </c>
      <c r="I627" s="10" t="str">
        <f aca="false">D627&amp;"_"&amp;Config!$B$4</f>
        <v>cald_general</v>
      </c>
      <c r="J627" s="10" t="str">
        <f aca="false">"https://"&amp;B627&amp;G627&amp;"?utm_source="&amp;E627&amp;"&amp;utm_medium="&amp;F627&amp;"&amp;utm_campaign="&amp;H627&amp;"&amp;utm_content="&amp;I627</f>
        <v>https://aireadyinjector.com/?utm_source=bing&amp;utm_medium=cpc&amp;utm_campaign=2610_ff_lansare&amp;utm_content=cald_general</v>
      </c>
    </row>
    <row r="628" customFormat="false" ht="15" hidden="false" customHeight="false" outlineLevel="0" collapsed="false">
      <c r="A628" s="10" t="s">
        <v>62</v>
      </c>
      <c r="B628" s="10" t="str">
        <f aca="false">INDEX('Site-uri'!$B$2:$B$20,MATCH(A628,'Site-uri'!$A$2:$A$20,0))</f>
        <v>aireadyinjector.com</v>
      </c>
      <c r="C628" s="10" t="s">
        <v>146</v>
      </c>
      <c r="D628" s="10" t="s">
        <v>231</v>
      </c>
      <c r="E628" s="10" t="str">
        <f aca="false">INDEX(Canale!$C$2:$C$30,MATCH(C628,Canale!$A$2:$A$30,0))</f>
        <v>bing</v>
      </c>
      <c r="F628" s="10" t="str">
        <f aca="false">INDEX(Canale!$D$2:$D$30,MATCH(C628,Canale!$A$2:$A$30,0))</f>
        <v>cpc</v>
      </c>
      <c r="G628" s="10" t="str">
        <f aca="false">INDEX('Site-uri'!$C$2:$C$20,MATCH(A628,'Site-uri'!$A$2:$A$20,0))</f>
        <v>/</v>
      </c>
      <c r="H628" s="10" t="str">
        <f aca="false">Config!$B$3</f>
        <v>2610_ff_lansare</v>
      </c>
      <c r="I628" s="10" t="str">
        <f aca="false">D628&amp;"_"&amp;Config!$B$4</f>
        <v>fierbinte_general</v>
      </c>
      <c r="J628" s="10" t="str">
        <f aca="false">"https://"&amp;B628&amp;G628&amp;"?utm_source="&amp;E628&amp;"&amp;utm_medium="&amp;F628&amp;"&amp;utm_campaign="&amp;H628&amp;"&amp;utm_content="&amp;I628</f>
        <v>https://aireadyinjector.com/?utm_source=bing&amp;utm_medium=cpc&amp;utm_campaign=2610_ff_lansare&amp;utm_content=fierbinte_general</v>
      </c>
    </row>
    <row r="629" customFormat="false" ht="15" hidden="false" customHeight="false" outlineLevel="0" collapsed="false">
      <c r="A629" s="10" t="s">
        <v>62</v>
      </c>
      <c r="B629" s="10" t="str">
        <f aca="false">INDEX('Site-uri'!$B$2:$B$20,MATCH(A629,'Site-uri'!$A$2:$A$20,0))</f>
        <v>aireadyinjector.com</v>
      </c>
      <c r="C629" s="10" t="s">
        <v>146</v>
      </c>
      <c r="D629" s="10" t="s">
        <v>237</v>
      </c>
      <c r="E629" s="10" t="str">
        <f aca="false">INDEX(Canale!$C$2:$C$30,MATCH(C629,Canale!$A$2:$A$30,0))</f>
        <v>bing</v>
      </c>
      <c r="F629" s="10" t="str">
        <f aca="false">INDEX(Canale!$D$2:$D$30,MATCH(C629,Canale!$A$2:$A$30,0))</f>
        <v>cpc</v>
      </c>
      <c r="G629" s="10" t="str">
        <f aca="false">INDEX('Site-uri'!$C$2:$C$20,MATCH(A629,'Site-uri'!$A$2:$A$20,0))</f>
        <v>/</v>
      </c>
      <c r="H629" s="10" t="str">
        <f aca="false">Config!$B$3</f>
        <v>2610_ff_lansare</v>
      </c>
      <c r="I629" s="10" t="str">
        <f aca="false">D629&amp;"_"&amp;Config!$B$4</f>
        <v>client_general</v>
      </c>
      <c r="J629" s="10" t="str">
        <f aca="false">"https://"&amp;B629&amp;G629&amp;"?utm_source="&amp;E629&amp;"&amp;utm_medium="&amp;F629&amp;"&amp;utm_campaign="&amp;H629&amp;"&amp;utm_content="&amp;I629</f>
        <v>https://aireadyinjector.com/?utm_source=bing&amp;utm_medium=cpc&amp;utm_campaign=2610_ff_lansare&amp;utm_content=client_general</v>
      </c>
    </row>
    <row r="630" customFormat="false" ht="15" hidden="false" customHeight="false" outlineLevel="0" collapsed="false">
      <c r="A630" s="10" t="s">
        <v>62</v>
      </c>
      <c r="B630" s="10" t="str">
        <f aca="false">INDEX('Site-uri'!$B$2:$B$20,MATCH(A630,'Site-uri'!$A$2:$A$20,0))</f>
        <v>aireadyinjector.com</v>
      </c>
      <c r="C630" s="10" t="s">
        <v>149</v>
      </c>
      <c r="D630" s="10" t="s">
        <v>219</v>
      </c>
      <c r="E630" s="10" t="str">
        <f aca="false">INDEX(Canale!$C$2:$C$30,MATCH(C630,Canale!$A$2:$A$30,0))</f>
        <v>facebook</v>
      </c>
      <c r="F630" s="10" t="str">
        <f aca="false">INDEX(Canale!$D$2:$D$30,MATCH(C630,Canale!$A$2:$A$30,0))</f>
        <v>social</v>
      </c>
      <c r="G630" s="10" t="str">
        <f aca="false">INDEX('Site-uri'!$C$2:$C$20,MATCH(A630,'Site-uri'!$A$2:$A$20,0))</f>
        <v>/</v>
      </c>
      <c r="H630" s="10" t="str">
        <f aca="false">Config!$B$3</f>
        <v>2610_ff_lansare</v>
      </c>
      <c r="I630" s="10" t="str">
        <f aca="false">D630&amp;"_"&amp;Config!$B$4</f>
        <v>rece_general</v>
      </c>
      <c r="J630" s="10" t="str">
        <f aca="false">"https://"&amp;B630&amp;G630&amp;"?utm_source="&amp;E630&amp;"&amp;utm_medium="&amp;F630&amp;"&amp;utm_campaign="&amp;H630&amp;"&amp;utm_content="&amp;I630</f>
        <v>https://aireadyinjector.com/?utm_source=facebook&amp;utm_medium=social&amp;utm_campaign=2610_ff_lansare&amp;utm_content=rece_general</v>
      </c>
    </row>
    <row r="631" customFormat="false" ht="15" hidden="false" customHeight="false" outlineLevel="0" collapsed="false">
      <c r="A631" s="10" t="s">
        <v>62</v>
      </c>
      <c r="B631" s="10" t="str">
        <f aca="false">INDEX('Site-uri'!$B$2:$B$20,MATCH(A631,'Site-uri'!$A$2:$A$20,0))</f>
        <v>aireadyinjector.com</v>
      </c>
      <c r="C631" s="10" t="s">
        <v>149</v>
      </c>
      <c r="D631" s="10" t="s">
        <v>225</v>
      </c>
      <c r="E631" s="10" t="str">
        <f aca="false">INDEX(Canale!$C$2:$C$30,MATCH(C631,Canale!$A$2:$A$30,0))</f>
        <v>facebook</v>
      </c>
      <c r="F631" s="10" t="str">
        <f aca="false">INDEX(Canale!$D$2:$D$30,MATCH(C631,Canale!$A$2:$A$30,0))</f>
        <v>social</v>
      </c>
      <c r="G631" s="10" t="str">
        <f aca="false">INDEX('Site-uri'!$C$2:$C$20,MATCH(A631,'Site-uri'!$A$2:$A$20,0))</f>
        <v>/</v>
      </c>
      <c r="H631" s="10" t="str">
        <f aca="false">Config!$B$3</f>
        <v>2610_ff_lansare</v>
      </c>
      <c r="I631" s="10" t="str">
        <f aca="false">D631&amp;"_"&amp;Config!$B$4</f>
        <v>cald_general</v>
      </c>
      <c r="J631" s="10" t="str">
        <f aca="false">"https://"&amp;B631&amp;G631&amp;"?utm_source="&amp;E631&amp;"&amp;utm_medium="&amp;F631&amp;"&amp;utm_campaign="&amp;H631&amp;"&amp;utm_content="&amp;I631</f>
        <v>https://aireadyinjector.com/?utm_source=facebook&amp;utm_medium=social&amp;utm_campaign=2610_ff_lansare&amp;utm_content=cald_general</v>
      </c>
    </row>
    <row r="632" customFormat="false" ht="15" hidden="false" customHeight="false" outlineLevel="0" collapsed="false">
      <c r="A632" s="10" t="s">
        <v>62</v>
      </c>
      <c r="B632" s="10" t="str">
        <f aca="false">INDEX('Site-uri'!$B$2:$B$20,MATCH(A632,'Site-uri'!$A$2:$A$20,0))</f>
        <v>aireadyinjector.com</v>
      </c>
      <c r="C632" s="10" t="s">
        <v>149</v>
      </c>
      <c r="D632" s="10" t="s">
        <v>231</v>
      </c>
      <c r="E632" s="10" t="str">
        <f aca="false">INDEX(Canale!$C$2:$C$30,MATCH(C632,Canale!$A$2:$A$30,0))</f>
        <v>facebook</v>
      </c>
      <c r="F632" s="10" t="str">
        <f aca="false">INDEX(Canale!$D$2:$D$30,MATCH(C632,Canale!$A$2:$A$30,0))</f>
        <v>social</v>
      </c>
      <c r="G632" s="10" t="str">
        <f aca="false">INDEX('Site-uri'!$C$2:$C$20,MATCH(A632,'Site-uri'!$A$2:$A$20,0))</f>
        <v>/</v>
      </c>
      <c r="H632" s="10" t="str">
        <f aca="false">Config!$B$3</f>
        <v>2610_ff_lansare</v>
      </c>
      <c r="I632" s="10" t="str">
        <f aca="false">D632&amp;"_"&amp;Config!$B$4</f>
        <v>fierbinte_general</v>
      </c>
      <c r="J632" s="10" t="str">
        <f aca="false">"https://"&amp;B632&amp;G632&amp;"?utm_source="&amp;E632&amp;"&amp;utm_medium="&amp;F632&amp;"&amp;utm_campaign="&amp;H632&amp;"&amp;utm_content="&amp;I632</f>
        <v>https://aireadyinjector.com/?utm_source=facebook&amp;utm_medium=social&amp;utm_campaign=2610_ff_lansare&amp;utm_content=fierbinte_general</v>
      </c>
    </row>
    <row r="633" customFormat="false" ht="15" hidden="false" customHeight="false" outlineLevel="0" collapsed="false">
      <c r="A633" s="10" t="s">
        <v>62</v>
      </c>
      <c r="B633" s="10" t="str">
        <f aca="false">INDEX('Site-uri'!$B$2:$B$20,MATCH(A633,'Site-uri'!$A$2:$A$20,0))</f>
        <v>aireadyinjector.com</v>
      </c>
      <c r="C633" s="10" t="s">
        <v>149</v>
      </c>
      <c r="D633" s="10" t="s">
        <v>237</v>
      </c>
      <c r="E633" s="10" t="str">
        <f aca="false">INDEX(Canale!$C$2:$C$30,MATCH(C633,Canale!$A$2:$A$30,0))</f>
        <v>facebook</v>
      </c>
      <c r="F633" s="10" t="str">
        <f aca="false">INDEX(Canale!$D$2:$D$30,MATCH(C633,Canale!$A$2:$A$30,0))</f>
        <v>social</v>
      </c>
      <c r="G633" s="10" t="str">
        <f aca="false">INDEX('Site-uri'!$C$2:$C$20,MATCH(A633,'Site-uri'!$A$2:$A$20,0))</f>
        <v>/</v>
      </c>
      <c r="H633" s="10" t="str">
        <f aca="false">Config!$B$3</f>
        <v>2610_ff_lansare</v>
      </c>
      <c r="I633" s="10" t="str">
        <f aca="false">D633&amp;"_"&amp;Config!$B$4</f>
        <v>client_general</v>
      </c>
      <c r="J633" s="10" t="str">
        <f aca="false">"https://"&amp;B633&amp;G633&amp;"?utm_source="&amp;E633&amp;"&amp;utm_medium="&amp;F633&amp;"&amp;utm_campaign="&amp;H633&amp;"&amp;utm_content="&amp;I633</f>
        <v>https://aireadyinjector.com/?utm_source=facebook&amp;utm_medium=social&amp;utm_campaign=2610_ff_lansare&amp;utm_content=client_general</v>
      </c>
    </row>
    <row r="634" customFormat="false" ht="15" hidden="false" customHeight="false" outlineLevel="0" collapsed="false">
      <c r="A634" s="10" t="s">
        <v>62</v>
      </c>
      <c r="B634" s="10" t="str">
        <f aca="false">INDEX('Site-uri'!$B$2:$B$20,MATCH(A634,'Site-uri'!$A$2:$A$20,0))</f>
        <v>aireadyinjector.com</v>
      </c>
      <c r="C634" s="10" t="s">
        <v>153</v>
      </c>
      <c r="D634" s="10" t="s">
        <v>219</v>
      </c>
      <c r="E634" s="10" t="str">
        <f aca="false">INDEX(Canale!$C$2:$C$30,MATCH(C634,Canale!$A$2:$A$30,0))</f>
        <v>x</v>
      </c>
      <c r="F634" s="10" t="str">
        <f aca="false">INDEX(Canale!$D$2:$D$30,MATCH(C634,Canale!$A$2:$A$30,0))</f>
        <v>social</v>
      </c>
      <c r="G634" s="10" t="str">
        <f aca="false">INDEX('Site-uri'!$C$2:$C$20,MATCH(A634,'Site-uri'!$A$2:$A$20,0))</f>
        <v>/</v>
      </c>
      <c r="H634" s="10" t="str">
        <f aca="false">Config!$B$3</f>
        <v>2610_ff_lansare</v>
      </c>
      <c r="I634" s="10" t="str">
        <f aca="false">D634&amp;"_"&amp;Config!$B$4</f>
        <v>rece_general</v>
      </c>
      <c r="J634" s="10" t="str">
        <f aca="false">"https://"&amp;B634&amp;G634&amp;"?utm_source="&amp;E634&amp;"&amp;utm_medium="&amp;F634&amp;"&amp;utm_campaign="&amp;H634&amp;"&amp;utm_content="&amp;I634</f>
        <v>https://aireadyinjector.com/?utm_source=x&amp;utm_medium=social&amp;utm_campaign=2610_ff_lansare&amp;utm_content=rece_general</v>
      </c>
    </row>
    <row r="635" customFormat="false" ht="15" hidden="false" customHeight="false" outlineLevel="0" collapsed="false">
      <c r="A635" s="10" t="s">
        <v>62</v>
      </c>
      <c r="B635" s="10" t="str">
        <f aca="false">INDEX('Site-uri'!$B$2:$B$20,MATCH(A635,'Site-uri'!$A$2:$A$20,0))</f>
        <v>aireadyinjector.com</v>
      </c>
      <c r="C635" s="10" t="s">
        <v>153</v>
      </c>
      <c r="D635" s="10" t="s">
        <v>225</v>
      </c>
      <c r="E635" s="10" t="str">
        <f aca="false">INDEX(Canale!$C$2:$C$30,MATCH(C635,Canale!$A$2:$A$30,0))</f>
        <v>x</v>
      </c>
      <c r="F635" s="10" t="str">
        <f aca="false">INDEX(Canale!$D$2:$D$30,MATCH(C635,Canale!$A$2:$A$30,0))</f>
        <v>social</v>
      </c>
      <c r="G635" s="10" t="str">
        <f aca="false">INDEX('Site-uri'!$C$2:$C$20,MATCH(A635,'Site-uri'!$A$2:$A$20,0))</f>
        <v>/</v>
      </c>
      <c r="H635" s="10" t="str">
        <f aca="false">Config!$B$3</f>
        <v>2610_ff_lansare</v>
      </c>
      <c r="I635" s="10" t="str">
        <f aca="false">D635&amp;"_"&amp;Config!$B$4</f>
        <v>cald_general</v>
      </c>
      <c r="J635" s="10" t="str">
        <f aca="false">"https://"&amp;B635&amp;G635&amp;"?utm_source="&amp;E635&amp;"&amp;utm_medium="&amp;F635&amp;"&amp;utm_campaign="&amp;H635&amp;"&amp;utm_content="&amp;I635</f>
        <v>https://aireadyinjector.com/?utm_source=x&amp;utm_medium=social&amp;utm_campaign=2610_ff_lansare&amp;utm_content=cald_general</v>
      </c>
    </row>
    <row r="636" customFormat="false" ht="15" hidden="false" customHeight="false" outlineLevel="0" collapsed="false">
      <c r="A636" s="10" t="s">
        <v>62</v>
      </c>
      <c r="B636" s="10" t="str">
        <f aca="false">INDEX('Site-uri'!$B$2:$B$20,MATCH(A636,'Site-uri'!$A$2:$A$20,0))</f>
        <v>aireadyinjector.com</v>
      </c>
      <c r="C636" s="10" t="s">
        <v>153</v>
      </c>
      <c r="D636" s="10" t="s">
        <v>231</v>
      </c>
      <c r="E636" s="10" t="str">
        <f aca="false">INDEX(Canale!$C$2:$C$30,MATCH(C636,Canale!$A$2:$A$30,0))</f>
        <v>x</v>
      </c>
      <c r="F636" s="10" t="str">
        <f aca="false">INDEX(Canale!$D$2:$D$30,MATCH(C636,Canale!$A$2:$A$30,0))</f>
        <v>social</v>
      </c>
      <c r="G636" s="10" t="str">
        <f aca="false">INDEX('Site-uri'!$C$2:$C$20,MATCH(A636,'Site-uri'!$A$2:$A$20,0))</f>
        <v>/</v>
      </c>
      <c r="H636" s="10" t="str">
        <f aca="false">Config!$B$3</f>
        <v>2610_ff_lansare</v>
      </c>
      <c r="I636" s="10" t="str">
        <f aca="false">D636&amp;"_"&amp;Config!$B$4</f>
        <v>fierbinte_general</v>
      </c>
      <c r="J636" s="10" t="str">
        <f aca="false">"https://"&amp;B636&amp;G636&amp;"?utm_source="&amp;E636&amp;"&amp;utm_medium="&amp;F636&amp;"&amp;utm_campaign="&amp;H636&amp;"&amp;utm_content="&amp;I636</f>
        <v>https://aireadyinjector.com/?utm_source=x&amp;utm_medium=social&amp;utm_campaign=2610_ff_lansare&amp;utm_content=fierbinte_general</v>
      </c>
    </row>
    <row r="637" customFormat="false" ht="15" hidden="false" customHeight="false" outlineLevel="0" collapsed="false">
      <c r="A637" s="10" t="s">
        <v>62</v>
      </c>
      <c r="B637" s="10" t="str">
        <f aca="false">INDEX('Site-uri'!$B$2:$B$20,MATCH(A637,'Site-uri'!$A$2:$A$20,0))</f>
        <v>aireadyinjector.com</v>
      </c>
      <c r="C637" s="10" t="s">
        <v>153</v>
      </c>
      <c r="D637" s="10" t="s">
        <v>237</v>
      </c>
      <c r="E637" s="10" t="str">
        <f aca="false">INDEX(Canale!$C$2:$C$30,MATCH(C637,Canale!$A$2:$A$30,0))</f>
        <v>x</v>
      </c>
      <c r="F637" s="10" t="str">
        <f aca="false">INDEX(Canale!$D$2:$D$30,MATCH(C637,Canale!$A$2:$A$30,0))</f>
        <v>social</v>
      </c>
      <c r="G637" s="10" t="str">
        <f aca="false">INDEX('Site-uri'!$C$2:$C$20,MATCH(A637,'Site-uri'!$A$2:$A$20,0))</f>
        <v>/</v>
      </c>
      <c r="H637" s="10" t="str">
        <f aca="false">Config!$B$3</f>
        <v>2610_ff_lansare</v>
      </c>
      <c r="I637" s="10" t="str">
        <f aca="false">D637&amp;"_"&amp;Config!$B$4</f>
        <v>client_general</v>
      </c>
      <c r="J637" s="10" t="str">
        <f aca="false">"https://"&amp;B637&amp;G637&amp;"?utm_source="&amp;E637&amp;"&amp;utm_medium="&amp;F637&amp;"&amp;utm_campaign="&amp;H637&amp;"&amp;utm_content="&amp;I637</f>
        <v>https://aireadyinjector.com/?utm_source=x&amp;utm_medium=social&amp;utm_campaign=2610_ff_lansare&amp;utm_content=client_general</v>
      </c>
    </row>
    <row r="638" customFormat="false" ht="15" hidden="false" customHeight="false" outlineLevel="0" collapsed="false">
      <c r="A638" s="10" t="s">
        <v>62</v>
      </c>
      <c r="B638" s="10" t="str">
        <f aca="false">INDEX('Site-uri'!$B$2:$B$20,MATCH(A638,'Site-uri'!$A$2:$A$20,0))</f>
        <v>aireadyinjector.com</v>
      </c>
      <c r="C638" s="10" t="s">
        <v>155</v>
      </c>
      <c r="D638" s="10" t="s">
        <v>219</v>
      </c>
      <c r="E638" s="10" t="str">
        <f aca="false">INDEX(Canale!$C$2:$C$30,MATCH(C638,Canale!$A$2:$A$30,0))</f>
        <v>youtube</v>
      </c>
      <c r="F638" s="10" t="str">
        <f aca="false">INDEX(Canale!$D$2:$D$30,MATCH(C638,Canale!$A$2:$A$30,0))</f>
        <v>video</v>
      </c>
      <c r="G638" s="10" t="str">
        <f aca="false">INDEX('Site-uri'!$C$2:$C$20,MATCH(A638,'Site-uri'!$A$2:$A$20,0))</f>
        <v>/</v>
      </c>
      <c r="H638" s="10" t="str">
        <f aca="false">Config!$B$3</f>
        <v>2610_ff_lansare</v>
      </c>
      <c r="I638" s="10" t="str">
        <f aca="false">D638&amp;"_"&amp;Config!$B$4</f>
        <v>rece_general</v>
      </c>
      <c r="J638" s="10" t="str">
        <f aca="false">"https://"&amp;B638&amp;G638&amp;"?utm_source="&amp;E638&amp;"&amp;utm_medium="&amp;F638&amp;"&amp;utm_campaign="&amp;H638&amp;"&amp;utm_content="&amp;I638</f>
        <v>https://aireadyinjector.com/?utm_source=youtube&amp;utm_medium=video&amp;utm_campaign=2610_ff_lansare&amp;utm_content=rece_general</v>
      </c>
    </row>
    <row r="639" customFormat="false" ht="15" hidden="false" customHeight="false" outlineLevel="0" collapsed="false">
      <c r="A639" s="10" t="s">
        <v>62</v>
      </c>
      <c r="B639" s="10" t="str">
        <f aca="false">INDEX('Site-uri'!$B$2:$B$20,MATCH(A639,'Site-uri'!$A$2:$A$20,0))</f>
        <v>aireadyinjector.com</v>
      </c>
      <c r="C639" s="10" t="s">
        <v>155</v>
      </c>
      <c r="D639" s="10" t="s">
        <v>225</v>
      </c>
      <c r="E639" s="10" t="str">
        <f aca="false">INDEX(Canale!$C$2:$C$30,MATCH(C639,Canale!$A$2:$A$30,0))</f>
        <v>youtube</v>
      </c>
      <c r="F639" s="10" t="str">
        <f aca="false">INDEX(Canale!$D$2:$D$30,MATCH(C639,Canale!$A$2:$A$30,0))</f>
        <v>video</v>
      </c>
      <c r="G639" s="10" t="str">
        <f aca="false">INDEX('Site-uri'!$C$2:$C$20,MATCH(A639,'Site-uri'!$A$2:$A$20,0))</f>
        <v>/</v>
      </c>
      <c r="H639" s="10" t="str">
        <f aca="false">Config!$B$3</f>
        <v>2610_ff_lansare</v>
      </c>
      <c r="I639" s="10" t="str">
        <f aca="false">D639&amp;"_"&amp;Config!$B$4</f>
        <v>cald_general</v>
      </c>
      <c r="J639" s="10" t="str">
        <f aca="false">"https://"&amp;B639&amp;G639&amp;"?utm_source="&amp;E639&amp;"&amp;utm_medium="&amp;F639&amp;"&amp;utm_campaign="&amp;H639&amp;"&amp;utm_content="&amp;I639</f>
        <v>https://aireadyinjector.com/?utm_source=youtube&amp;utm_medium=video&amp;utm_campaign=2610_ff_lansare&amp;utm_content=cald_general</v>
      </c>
    </row>
    <row r="640" customFormat="false" ht="15" hidden="false" customHeight="false" outlineLevel="0" collapsed="false">
      <c r="A640" s="10" t="s">
        <v>62</v>
      </c>
      <c r="B640" s="10" t="str">
        <f aca="false">INDEX('Site-uri'!$B$2:$B$20,MATCH(A640,'Site-uri'!$A$2:$A$20,0))</f>
        <v>aireadyinjector.com</v>
      </c>
      <c r="C640" s="10" t="s">
        <v>155</v>
      </c>
      <c r="D640" s="10" t="s">
        <v>231</v>
      </c>
      <c r="E640" s="10" t="str">
        <f aca="false">INDEX(Canale!$C$2:$C$30,MATCH(C640,Canale!$A$2:$A$30,0))</f>
        <v>youtube</v>
      </c>
      <c r="F640" s="10" t="str">
        <f aca="false">INDEX(Canale!$D$2:$D$30,MATCH(C640,Canale!$A$2:$A$30,0))</f>
        <v>video</v>
      </c>
      <c r="G640" s="10" t="str">
        <f aca="false">INDEX('Site-uri'!$C$2:$C$20,MATCH(A640,'Site-uri'!$A$2:$A$20,0))</f>
        <v>/</v>
      </c>
      <c r="H640" s="10" t="str">
        <f aca="false">Config!$B$3</f>
        <v>2610_ff_lansare</v>
      </c>
      <c r="I640" s="10" t="str">
        <f aca="false">D640&amp;"_"&amp;Config!$B$4</f>
        <v>fierbinte_general</v>
      </c>
      <c r="J640" s="10" t="str">
        <f aca="false">"https://"&amp;B640&amp;G640&amp;"?utm_source="&amp;E640&amp;"&amp;utm_medium="&amp;F640&amp;"&amp;utm_campaign="&amp;H640&amp;"&amp;utm_content="&amp;I640</f>
        <v>https://aireadyinjector.com/?utm_source=youtube&amp;utm_medium=video&amp;utm_campaign=2610_ff_lansare&amp;utm_content=fierbinte_general</v>
      </c>
    </row>
    <row r="641" customFormat="false" ht="15" hidden="false" customHeight="false" outlineLevel="0" collapsed="false">
      <c r="A641" s="10" t="s">
        <v>62</v>
      </c>
      <c r="B641" s="10" t="str">
        <f aca="false">INDEX('Site-uri'!$B$2:$B$20,MATCH(A641,'Site-uri'!$A$2:$A$20,0))</f>
        <v>aireadyinjector.com</v>
      </c>
      <c r="C641" s="10" t="s">
        <v>155</v>
      </c>
      <c r="D641" s="10" t="s">
        <v>237</v>
      </c>
      <c r="E641" s="10" t="str">
        <f aca="false">INDEX(Canale!$C$2:$C$30,MATCH(C641,Canale!$A$2:$A$30,0))</f>
        <v>youtube</v>
      </c>
      <c r="F641" s="10" t="str">
        <f aca="false">INDEX(Canale!$D$2:$D$30,MATCH(C641,Canale!$A$2:$A$30,0))</f>
        <v>video</v>
      </c>
      <c r="G641" s="10" t="str">
        <f aca="false">INDEX('Site-uri'!$C$2:$C$20,MATCH(A641,'Site-uri'!$A$2:$A$20,0))</f>
        <v>/</v>
      </c>
      <c r="H641" s="10" t="str">
        <f aca="false">Config!$B$3</f>
        <v>2610_ff_lansare</v>
      </c>
      <c r="I641" s="10" t="str">
        <f aca="false">D641&amp;"_"&amp;Config!$B$4</f>
        <v>client_general</v>
      </c>
      <c r="J641" s="10" t="str">
        <f aca="false">"https://"&amp;B641&amp;G641&amp;"?utm_source="&amp;E641&amp;"&amp;utm_medium="&amp;F641&amp;"&amp;utm_campaign="&amp;H641&amp;"&amp;utm_content="&amp;I641</f>
        <v>https://aireadyinjector.com/?utm_source=youtube&amp;utm_medium=video&amp;utm_campaign=2610_ff_lansare&amp;utm_content=client_general</v>
      </c>
    </row>
    <row r="642" customFormat="false" ht="15" hidden="false" customHeight="false" outlineLevel="0" collapsed="false">
      <c r="A642" s="10" t="s">
        <v>62</v>
      </c>
      <c r="B642" s="10" t="str">
        <f aca="false">INDEX('Site-uri'!$B$2:$B$20,MATCH(A642,'Site-uri'!$A$2:$A$20,0))</f>
        <v>aireadyinjector.com</v>
      </c>
      <c r="C642" s="10" t="s">
        <v>160</v>
      </c>
      <c r="D642" s="10" t="s">
        <v>219</v>
      </c>
      <c r="E642" s="10" t="str">
        <f aca="false">INDEX(Canale!$C$2:$C$30,MATCH(C642,Canale!$A$2:$A$30,0))</f>
        <v>medium</v>
      </c>
      <c r="F642" s="10" t="str">
        <f aca="false">INDEX(Canale!$D$2:$D$30,MATCH(C642,Canale!$A$2:$A$30,0))</f>
        <v>content</v>
      </c>
      <c r="G642" s="10" t="str">
        <f aca="false">INDEX('Site-uri'!$C$2:$C$20,MATCH(A642,'Site-uri'!$A$2:$A$20,0))</f>
        <v>/</v>
      </c>
      <c r="H642" s="10" t="str">
        <f aca="false">Config!$B$3</f>
        <v>2610_ff_lansare</v>
      </c>
      <c r="I642" s="10" t="str">
        <f aca="false">D642&amp;"_"&amp;Config!$B$4</f>
        <v>rece_general</v>
      </c>
      <c r="J642" s="10" t="str">
        <f aca="false">"https://"&amp;B642&amp;G642&amp;"?utm_source="&amp;E642&amp;"&amp;utm_medium="&amp;F642&amp;"&amp;utm_campaign="&amp;H642&amp;"&amp;utm_content="&amp;I642</f>
        <v>https://aireadyinjector.com/?utm_source=medium&amp;utm_medium=content&amp;utm_campaign=2610_ff_lansare&amp;utm_content=rece_general</v>
      </c>
    </row>
    <row r="643" customFormat="false" ht="15" hidden="false" customHeight="false" outlineLevel="0" collapsed="false">
      <c r="A643" s="10" t="s">
        <v>62</v>
      </c>
      <c r="B643" s="10" t="str">
        <f aca="false">INDEX('Site-uri'!$B$2:$B$20,MATCH(A643,'Site-uri'!$A$2:$A$20,0))</f>
        <v>aireadyinjector.com</v>
      </c>
      <c r="C643" s="10" t="s">
        <v>160</v>
      </c>
      <c r="D643" s="10" t="s">
        <v>225</v>
      </c>
      <c r="E643" s="10" t="str">
        <f aca="false">INDEX(Canale!$C$2:$C$30,MATCH(C643,Canale!$A$2:$A$30,0))</f>
        <v>medium</v>
      </c>
      <c r="F643" s="10" t="str">
        <f aca="false">INDEX(Canale!$D$2:$D$30,MATCH(C643,Canale!$A$2:$A$30,0))</f>
        <v>content</v>
      </c>
      <c r="G643" s="10" t="str">
        <f aca="false">INDEX('Site-uri'!$C$2:$C$20,MATCH(A643,'Site-uri'!$A$2:$A$20,0))</f>
        <v>/</v>
      </c>
      <c r="H643" s="10" t="str">
        <f aca="false">Config!$B$3</f>
        <v>2610_ff_lansare</v>
      </c>
      <c r="I643" s="10" t="str">
        <f aca="false">D643&amp;"_"&amp;Config!$B$4</f>
        <v>cald_general</v>
      </c>
      <c r="J643" s="10" t="str">
        <f aca="false">"https://"&amp;B643&amp;G643&amp;"?utm_source="&amp;E643&amp;"&amp;utm_medium="&amp;F643&amp;"&amp;utm_campaign="&amp;H643&amp;"&amp;utm_content="&amp;I643</f>
        <v>https://aireadyinjector.com/?utm_source=medium&amp;utm_medium=content&amp;utm_campaign=2610_ff_lansare&amp;utm_content=cald_general</v>
      </c>
    </row>
    <row r="644" customFormat="false" ht="15" hidden="false" customHeight="false" outlineLevel="0" collapsed="false">
      <c r="A644" s="10" t="s">
        <v>62</v>
      </c>
      <c r="B644" s="10" t="str">
        <f aca="false">INDEX('Site-uri'!$B$2:$B$20,MATCH(A644,'Site-uri'!$A$2:$A$20,0))</f>
        <v>aireadyinjector.com</v>
      </c>
      <c r="C644" s="10" t="s">
        <v>160</v>
      </c>
      <c r="D644" s="10" t="s">
        <v>231</v>
      </c>
      <c r="E644" s="10" t="str">
        <f aca="false">INDEX(Canale!$C$2:$C$30,MATCH(C644,Canale!$A$2:$A$30,0))</f>
        <v>medium</v>
      </c>
      <c r="F644" s="10" t="str">
        <f aca="false">INDEX(Canale!$D$2:$D$30,MATCH(C644,Canale!$A$2:$A$30,0))</f>
        <v>content</v>
      </c>
      <c r="G644" s="10" t="str">
        <f aca="false">INDEX('Site-uri'!$C$2:$C$20,MATCH(A644,'Site-uri'!$A$2:$A$20,0))</f>
        <v>/</v>
      </c>
      <c r="H644" s="10" t="str">
        <f aca="false">Config!$B$3</f>
        <v>2610_ff_lansare</v>
      </c>
      <c r="I644" s="10" t="str">
        <f aca="false">D644&amp;"_"&amp;Config!$B$4</f>
        <v>fierbinte_general</v>
      </c>
      <c r="J644" s="10" t="str">
        <f aca="false">"https://"&amp;B644&amp;G644&amp;"?utm_source="&amp;E644&amp;"&amp;utm_medium="&amp;F644&amp;"&amp;utm_campaign="&amp;H644&amp;"&amp;utm_content="&amp;I644</f>
        <v>https://aireadyinjector.com/?utm_source=medium&amp;utm_medium=content&amp;utm_campaign=2610_ff_lansare&amp;utm_content=fierbinte_general</v>
      </c>
    </row>
    <row r="645" customFormat="false" ht="15" hidden="false" customHeight="false" outlineLevel="0" collapsed="false">
      <c r="A645" s="10" t="s">
        <v>62</v>
      </c>
      <c r="B645" s="10" t="str">
        <f aca="false">INDEX('Site-uri'!$B$2:$B$20,MATCH(A645,'Site-uri'!$A$2:$A$20,0))</f>
        <v>aireadyinjector.com</v>
      </c>
      <c r="C645" s="10" t="s">
        <v>160</v>
      </c>
      <c r="D645" s="10" t="s">
        <v>237</v>
      </c>
      <c r="E645" s="10" t="str">
        <f aca="false">INDEX(Canale!$C$2:$C$30,MATCH(C645,Canale!$A$2:$A$30,0))</f>
        <v>medium</v>
      </c>
      <c r="F645" s="10" t="str">
        <f aca="false">INDEX(Canale!$D$2:$D$30,MATCH(C645,Canale!$A$2:$A$30,0))</f>
        <v>content</v>
      </c>
      <c r="G645" s="10" t="str">
        <f aca="false">INDEX('Site-uri'!$C$2:$C$20,MATCH(A645,'Site-uri'!$A$2:$A$20,0))</f>
        <v>/</v>
      </c>
      <c r="H645" s="10" t="str">
        <f aca="false">Config!$B$3</f>
        <v>2610_ff_lansare</v>
      </c>
      <c r="I645" s="10" t="str">
        <f aca="false">D645&amp;"_"&amp;Config!$B$4</f>
        <v>client_general</v>
      </c>
      <c r="J645" s="10" t="str">
        <f aca="false">"https://"&amp;B645&amp;G645&amp;"?utm_source="&amp;E645&amp;"&amp;utm_medium="&amp;F645&amp;"&amp;utm_campaign="&amp;H645&amp;"&amp;utm_content="&amp;I645</f>
        <v>https://aireadyinjector.com/?utm_source=medium&amp;utm_medium=content&amp;utm_campaign=2610_ff_lansare&amp;utm_content=client_general</v>
      </c>
    </row>
    <row r="646" customFormat="false" ht="15" hidden="false" customHeight="false" outlineLevel="0" collapsed="false">
      <c r="A646" s="10" t="s">
        <v>62</v>
      </c>
      <c r="B646" s="10" t="str">
        <f aca="false">INDEX('Site-uri'!$B$2:$B$20,MATCH(A646,'Site-uri'!$A$2:$A$20,0))</f>
        <v>aireadyinjector.com</v>
      </c>
      <c r="C646" s="10" t="s">
        <v>165</v>
      </c>
      <c r="D646" s="10" t="s">
        <v>219</v>
      </c>
      <c r="E646" s="10" t="str">
        <f aca="false">INDEX(Canale!$C$2:$C$30,MATCH(C646,Canale!$A$2:$A$30,0))</f>
        <v>crunchbase</v>
      </c>
      <c r="F646" s="10" t="str">
        <f aca="false">INDEX(Canale!$D$2:$D$30,MATCH(C646,Canale!$A$2:$A$30,0))</f>
        <v>referral</v>
      </c>
      <c r="G646" s="10" t="str">
        <f aca="false">INDEX('Site-uri'!$C$2:$C$20,MATCH(A646,'Site-uri'!$A$2:$A$20,0))</f>
        <v>/</v>
      </c>
      <c r="H646" s="10" t="str">
        <f aca="false">Config!$B$3</f>
        <v>2610_ff_lansare</v>
      </c>
      <c r="I646" s="10" t="str">
        <f aca="false">D646&amp;"_"&amp;Config!$B$4</f>
        <v>rece_general</v>
      </c>
      <c r="J646" s="10" t="str">
        <f aca="false">"https://"&amp;B646&amp;G646&amp;"?utm_source="&amp;E646&amp;"&amp;utm_medium="&amp;F646&amp;"&amp;utm_campaign="&amp;H646&amp;"&amp;utm_content="&amp;I646</f>
        <v>https://aireadyinjector.com/?utm_source=crunchbase&amp;utm_medium=referral&amp;utm_campaign=2610_ff_lansare&amp;utm_content=rece_general</v>
      </c>
    </row>
    <row r="647" customFormat="false" ht="15" hidden="false" customHeight="false" outlineLevel="0" collapsed="false">
      <c r="A647" s="10" t="s">
        <v>62</v>
      </c>
      <c r="B647" s="10" t="str">
        <f aca="false">INDEX('Site-uri'!$B$2:$B$20,MATCH(A647,'Site-uri'!$A$2:$A$20,0))</f>
        <v>aireadyinjector.com</v>
      </c>
      <c r="C647" s="10" t="s">
        <v>165</v>
      </c>
      <c r="D647" s="10" t="s">
        <v>225</v>
      </c>
      <c r="E647" s="10" t="str">
        <f aca="false">INDEX(Canale!$C$2:$C$30,MATCH(C647,Canale!$A$2:$A$30,0))</f>
        <v>crunchbase</v>
      </c>
      <c r="F647" s="10" t="str">
        <f aca="false">INDEX(Canale!$D$2:$D$30,MATCH(C647,Canale!$A$2:$A$30,0))</f>
        <v>referral</v>
      </c>
      <c r="G647" s="10" t="str">
        <f aca="false">INDEX('Site-uri'!$C$2:$C$20,MATCH(A647,'Site-uri'!$A$2:$A$20,0))</f>
        <v>/</v>
      </c>
      <c r="H647" s="10" t="str">
        <f aca="false">Config!$B$3</f>
        <v>2610_ff_lansare</v>
      </c>
      <c r="I647" s="10" t="str">
        <f aca="false">D647&amp;"_"&amp;Config!$B$4</f>
        <v>cald_general</v>
      </c>
      <c r="J647" s="10" t="str">
        <f aca="false">"https://"&amp;B647&amp;G647&amp;"?utm_source="&amp;E647&amp;"&amp;utm_medium="&amp;F647&amp;"&amp;utm_campaign="&amp;H647&amp;"&amp;utm_content="&amp;I647</f>
        <v>https://aireadyinjector.com/?utm_source=crunchbase&amp;utm_medium=referral&amp;utm_campaign=2610_ff_lansare&amp;utm_content=cald_general</v>
      </c>
    </row>
    <row r="648" customFormat="false" ht="15" hidden="false" customHeight="false" outlineLevel="0" collapsed="false">
      <c r="A648" s="10" t="s">
        <v>62</v>
      </c>
      <c r="B648" s="10" t="str">
        <f aca="false">INDEX('Site-uri'!$B$2:$B$20,MATCH(A648,'Site-uri'!$A$2:$A$20,0))</f>
        <v>aireadyinjector.com</v>
      </c>
      <c r="C648" s="10" t="s">
        <v>165</v>
      </c>
      <c r="D648" s="10" t="s">
        <v>231</v>
      </c>
      <c r="E648" s="10" t="str">
        <f aca="false">INDEX(Canale!$C$2:$C$30,MATCH(C648,Canale!$A$2:$A$30,0))</f>
        <v>crunchbase</v>
      </c>
      <c r="F648" s="10" t="str">
        <f aca="false">INDEX(Canale!$D$2:$D$30,MATCH(C648,Canale!$A$2:$A$30,0))</f>
        <v>referral</v>
      </c>
      <c r="G648" s="10" t="str">
        <f aca="false">INDEX('Site-uri'!$C$2:$C$20,MATCH(A648,'Site-uri'!$A$2:$A$20,0))</f>
        <v>/</v>
      </c>
      <c r="H648" s="10" t="str">
        <f aca="false">Config!$B$3</f>
        <v>2610_ff_lansare</v>
      </c>
      <c r="I648" s="10" t="str">
        <f aca="false">D648&amp;"_"&amp;Config!$B$4</f>
        <v>fierbinte_general</v>
      </c>
      <c r="J648" s="10" t="str">
        <f aca="false">"https://"&amp;B648&amp;G648&amp;"?utm_source="&amp;E648&amp;"&amp;utm_medium="&amp;F648&amp;"&amp;utm_campaign="&amp;H648&amp;"&amp;utm_content="&amp;I648</f>
        <v>https://aireadyinjector.com/?utm_source=crunchbase&amp;utm_medium=referral&amp;utm_campaign=2610_ff_lansare&amp;utm_content=fierbinte_general</v>
      </c>
    </row>
    <row r="649" customFormat="false" ht="15" hidden="false" customHeight="false" outlineLevel="0" collapsed="false">
      <c r="A649" s="10" t="s">
        <v>62</v>
      </c>
      <c r="B649" s="10" t="str">
        <f aca="false">INDEX('Site-uri'!$B$2:$B$20,MATCH(A649,'Site-uri'!$A$2:$A$20,0))</f>
        <v>aireadyinjector.com</v>
      </c>
      <c r="C649" s="10" t="s">
        <v>165</v>
      </c>
      <c r="D649" s="10" t="s">
        <v>237</v>
      </c>
      <c r="E649" s="10" t="str">
        <f aca="false">INDEX(Canale!$C$2:$C$30,MATCH(C649,Canale!$A$2:$A$30,0))</f>
        <v>crunchbase</v>
      </c>
      <c r="F649" s="10" t="str">
        <f aca="false">INDEX(Canale!$D$2:$D$30,MATCH(C649,Canale!$A$2:$A$30,0))</f>
        <v>referral</v>
      </c>
      <c r="G649" s="10" t="str">
        <f aca="false">INDEX('Site-uri'!$C$2:$C$20,MATCH(A649,'Site-uri'!$A$2:$A$20,0))</f>
        <v>/</v>
      </c>
      <c r="H649" s="10" t="str">
        <f aca="false">Config!$B$3</f>
        <v>2610_ff_lansare</v>
      </c>
      <c r="I649" s="10" t="str">
        <f aca="false">D649&amp;"_"&amp;Config!$B$4</f>
        <v>client_general</v>
      </c>
      <c r="J649" s="10" t="str">
        <f aca="false">"https://"&amp;B649&amp;G649&amp;"?utm_source="&amp;E649&amp;"&amp;utm_medium="&amp;F649&amp;"&amp;utm_campaign="&amp;H649&amp;"&amp;utm_content="&amp;I649</f>
        <v>https://aireadyinjector.com/?utm_source=crunchbase&amp;utm_medium=referral&amp;utm_campaign=2610_ff_lansare&amp;utm_content=client_general</v>
      </c>
    </row>
    <row r="650" customFormat="false" ht="15" hidden="false" customHeight="false" outlineLevel="0" collapsed="false">
      <c r="A650" s="10" t="s">
        <v>62</v>
      </c>
      <c r="B650" s="10" t="str">
        <f aca="false">INDEX('Site-uri'!$B$2:$B$20,MATCH(A650,'Site-uri'!$A$2:$A$20,0))</f>
        <v>aireadyinjector.com</v>
      </c>
      <c r="C650" s="10" t="s">
        <v>170</v>
      </c>
      <c r="D650" s="10" t="s">
        <v>219</v>
      </c>
      <c r="E650" s="10" t="str">
        <f aca="false">INDEX(Canale!$C$2:$C$30,MATCH(C650,Canale!$A$2:$A$30,0))</f>
        <v>zenodo</v>
      </c>
      <c r="F650" s="10" t="str">
        <f aca="false">INDEX(Canale!$D$2:$D$30,MATCH(C650,Canale!$A$2:$A$30,0))</f>
        <v>referral</v>
      </c>
      <c r="G650" s="10" t="str">
        <f aca="false">INDEX('Site-uri'!$C$2:$C$20,MATCH(A650,'Site-uri'!$A$2:$A$20,0))</f>
        <v>/</v>
      </c>
      <c r="H650" s="10" t="str">
        <f aca="false">Config!$B$3</f>
        <v>2610_ff_lansare</v>
      </c>
      <c r="I650" s="10" t="str">
        <f aca="false">D650&amp;"_"&amp;Config!$B$4</f>
        <v>rece_general</v>
      </c>
      <c r="J650" s="10" t="str">
        <f aca="false">"https://"&amp;B650&amp;G650&amp;"?utm_source="&amp;E650&amp;"&amp;utm_medium="&amp;F650&amp;"&amp;utm_campaign="&amp;H650&amp;"&amp;utm_content="&amp;I650</f>
        <v>https://aireadyinjector.com/?utm_source=zenodo&amp;utm_medium=referral&amp;utm_campaign=2610_ff_lansare&amp;utm_content=rece_general</v>
      </c>
    </row>
    <row r="651" customFormat="false" ht="15" hidden="false" customHeight="false" outlineLevel="0" collapsed="false">
      <c r="A651" s="10" t="s">
        <v>62</v>
      </c>
      <c r="B651" s="10" t="str">
        <f aca="false">INDEX('Site-uri'!$B$2:$B$20,MATCH(A651,'Site-uri'!$A$2:$A$20,0))</f>
        <v>aireadyinjector.com</v>
      </c>
      <c r="C651" s="10" t="s">
        <v>170</v>
      </c>
      <c r="D651" s="10" t="s">
        <v>225</v>
      </c>
      <c r="E651" s="10" t="str">
        <f aca="false">INDEX(Canale!$C$2:$C$30,MATCH(C651,Canale!$A$2:$A$30,0))</f>
        <v>zenodo</v>
      </c>
      <c r="F651" s="10" t="str">
        <f aca="false">INDEX(Canale!$D$2:$D$30,MATCH(C651,Canale!$A$2:$A$30,0))</f>
        <v>referral</v>
      </c>
      <c r="G651" s="10" t="str">
        <f aca="false">INDEX('Site-uri'!$C$2:$C$20,MATCH(A651,'Site-uri'!$A$2:$A$20,0))</f>
        <v>/</v>
      </c>
      <c r="H651" s="10" t="str">
        <f aca="false">Config!$B$3</f>
        <v>2610_ff_lansare</v>
      </c>
      <c r="I651" s="10" t="str">
        <f aca="false">D651&amp;"_"&amp;Config!$B$4</f>
        <v>cald_general</v>
      </c>
      <c r="J651" s="10" t="str">
        <f aca="false">"https://"&amp;B651&amp;G651&amp;"?utm_source="&amp;E651&amp;"&amp;utm_medium="&amp;F651&amp;"&amp;utm_campaign="&amp;H651&amp;"&amp;utm_content="&amp;I651</f>
        <v>https://aireadyinjector.com/?utm_source=zenodo&amp;utm_medium=referral&amp;utm_campaign=2610_ff_lansare&amp;utm_content=cald_general</v>
      </c>
    </row>
    <row r="652" customFormat="false" ht="15" hidden="false" customHeight="false" outlineLevel="0" collapsed="false">
      <c r="A652" s="10" t="s">
        <v>62</v>
      </c>
      <c r="B652" s="10" t="str">
        <f aca="false">INDEX('Site-uri'!$B$2:$B$20,MATCH(A652,'Site-uri'!$A$2:$A$20,0))</f>
        <v>aireadyinjector.com</v>
      </c>
      <c r="C652" s="10" t="s">
        <v>170</v>
      </c>
      <c r="D652" s="10" t="s">
        <v>231</v>
      </c>
      <c r="E652" s="10" t="str">
        <f aca="false">INDEX(Canale!$C$2:$C$30,MATCH(C652,Canale!$A$2:$A$30,0))</f>
        <v>zenodo</v>
      </c>
      <c r="F652" s="10" t="str">
        <f aca="false">INDEX(Canale!$D$2:$D$30,MATCH(C652,Canale!$A$2:$A$30,0))</f>
        <v>referral</v>
      </c>
      <c r="G652" s="10" t="str">
        <f aca="false">INDEX('Site-uri'!$C$2:$C$20,MATCH(A652,'Site-uri'!$A$2:$A$20,0))</f>
        <v>/</v>
      </c>
      <c r="H652" s="10" t="str">
        <f aca="false">Config!$B$3</f>
        <v>2610_ff_lansare</v>
      </c>
      <c r="I652" s="10" t="str">
        <f aca="false">D652&amp;"_"&amp;Config!$B$4</f>
        <v>fierbinte_general</v>
      </c>
      <c r="J652" s="10" t="str">
        <f aca="false">"https://"&amp;B652&amp;G652&amp;"?utm_source="&amp;E652&amp;"&amp;utm_medium="&amp;F652&amp;"&amp;utm_campaign="&amp;H652&amp;"&amp;utm_content="&amp;I652</f>
        <v>https://aireadyinjector.com/?utm_source=zenodo&amp;utm_medium=referral&amp;utm_campaign=2610_ff_lansare&amp;utm_content=fierbinte_general</v>
      </c>
    </row>
    <row r="653" customFormat="false" ht="15" hidden="false" customHeight="false" outlineLevel="0" collapsed="false">
      <c r="A653" s="10" t="s">
        <v>62</v>
      </c>
      <c r="B653" s="10" t="str">
        <f aca="false">INDEX('Site-uri'!$B$2:$B$20,MATCH(A653,'Site-uri'!$A$2:$A$20,0))</f>
        <v>aireadyinjector.com</v>
      </c>
      <c r="C653" s="10" t="s">
        <v>170</v>
      </c>
      <c r="D653" s="10" t="s">
        <v>237</v>
      </c>
      <c r="E653" s="10" t="str">
        <f aca="false">INDEX(Canale!$C$2:$C$30,MATCH(C653,Canale!$A$2:$A$30,0))</f>
        <v>zenodo</v>
      </c>
      <c r="F653" s="10" t="str">
        <f aca="false">INDEX(Canale!$D$2:$D$30,MATCH(C653,Canale!$A$2:$A$30,0))</f>
        <v>referral</v>
      </c>
      <c r="G653" s="10" t="str">
        <f aca="false">INDEX('Site-uri'!$C$2:$C$20,MATCH(A653,'Site-uri'!$A$2:$A$20,0))</f>
        <v>/</v>
      </c>
      <c r="H653" s="10" t="str">
        <f aca="false">Config!$B$3</f>
        <v>2610_ff_lansare</v>
      </c>
      <c r="I653" s="10" t="str">
        <f aca="false">D653&amp;"_"&amp;Config!$B$4</f>
        <v>client_general</v>
      </c>
      <c r="J653" s="10" t="str">
        <f aca="false">"https://"&amp;B653&amp;G653&amp;"?utm_source="&amp;E653&amp;"&amp;utm_medium="&amp;F653&amp;"&amp;utm_campaign="&amp;H653&amp;"&amp;utm_content="&amp;I653</f>
        <v>https://aireadyinjector.com/?utm_source=zenodo&amp;utm_medium=referral&amp;utm_campaign=2610_ff_lansare&amp;utm_content=client_general</v>
      </c>
    </row>
    <row r="654" customFormat="false" ht="15" hidden="false" customHeight="false" outlineLevel="0" collapsed="false">
      <c r="A654" s="10" t="s">
        <v>62</v>
      </c>
      <c r="B654" s="10" t="str">
        <f aca="false">INDEX('Site-uri'!$B$2:$B$20,MATCH(A654,'Site-uri'!$A$2:$A$20,0))</f>
        <v>aireadyinjector.com</v>
      </c>
      <c r="C654" s="10" t="s">
        <v>173</v>
      </c>
      <c r="D654" s="10" t="s">
        <v>219</v>
      </c>
      <c r="E654" s="10" t="str">
        <f aca="false">INDEX(Canale!$C$2:$C$30,MATCH(C654,Canale!$A$2:$A$30,0))</f>
        <v>orcid</v>
      </c>
      <c r="F654" s="10" t="str">
        <f aca="false">INDEX(Canale!$D$2:$D$30,MATCH(C654,Canale!$A$2:$A$30,0))</f>
        <v>referral</v>
      </c>
      <c r="G654" s="10" t="str">
        <f aca="false">INDEX('Site-uri'!$C$2:$C$20,MATCH(A654,'Site-uri'!$A$2:$A$20,0))</f>
        <v>/</v>
      </c>
      <c r="H654" s="10" t="str">
        <f aca="false">Config!$B$3</f>
        <v>2610_ff_lansare</v>
      </c>
      <c r="I654" s="10" t="str">
        <f aca="false">D654&amp;"_"&amp;Config!$B$4</f>
        <v>rece_general</v>
      </c>
      <c r="J654" s="10" t="str">
        <f aca="false">"https://"&amp;B654&amp;G654&amp;"?utm_source="&amp;E654&amp;"&amp;utm_medium="&amp;F654&amp;"&amp;utm_campaign="&amp;H654&amp;"&amp;utm_content="&amp;I654</f>
        <v>https://aireadyinjector.com/?utm_source=orcid&amp;utm_medium=referral&amp;utm_campaign=2610_ff_lansare&amp;utm_content=rece_general</v>
      </c>
    </row>
    <row r="655" customFormat="false" ht="15" hidden="false" customHeight="false" outlineLevel="0" collapsed="false">
      <c r="A655" s="10" t="s">
        <v>62</v>
      </c>
      <c r="B655" s="10" t="str">
        <f aca="false">INDEX('Site-uri'!$B$2:$B$20,MATCH(A655,'Site-uri'!$A$2:$A$20,0))</f>
        <v>aireadyinjector.com</v>
      </c>
      <c r="C655" s="10" t="s">
        <v>173</v>
      </c>
      <c r="D655" s="10" t="s">
        <v>225</v>
      </c>
      <c r="E655" s="10" t="str">
        <f aca="false">INDEX(Canale!$C$2:$C$30,MATCH(C655,Canale!$A$2:$A$30,0))</f>
        <v>orcid</v>
      </c>
      <c r="F655" s="10" t="str">
        <f aca="false">INDEX(Canale!$D$2:$D$30,MATCH(C655,Canale!$A$2:$A$30,0))</f>
        <v>referral</v>
      </c>
      <c r="G655" s="10" t="str">
        <f aca="false">INDEX('Site-uri'!$C$2:$C$20,MATCH(A655,'Site-uri'!$A$2:$A$20,0))</f>
        <v>/</v>
      </c>
      <c r="H655" s="10" t="str">
        <f aca="false">Config!$B$3</f>
        <v>2610_ff_lansare</v>
      </c>
      <c r="I655" s="10" t="str">
        <f aca="false">D655&amp;"_"&amp;Config!$B$4</f>
        <v>cald_general</v>
      </c>
      <c r="J655" s="10" t="str">
        <f aca="false">"https://"&amp;B655&amp;G655&amp;"?utm_source="&amp;E655&amp;"&amp;utm_medium="&amp;F655&amp;"&amp;utm_campaign="&amp;H655&amp;"&amp;utm_content="&amp;I655</f>
        <v>https://aireadyinjector.com/?utm_source=orcid&amp;utm_medium=referral&amp;utm_campaign=2610_ff_lansare&amp;utm_content=cald_general</v>
      </c>
    </row>
    <row r="656" customFormat="false" ht="15" hidden="false" customHeight="false" outlineLevel="0" collapsed="false">
      <c r="A656" s="10" t="s">
        <v>62</v>
      </c>
      <c r="B656" s="10" t="str">
        <f aca="false">INDEX('Site-uri'!$B$2:$B$20,MATCH(A656,'Site-uri'!$A$2:$A$20,0))</f>
        <v>aireadyinjector.com</v>
      </c>
      <c r="C656" s="10" t="s">
        <v>173</v>
      </c>
      <c r="D656" s="10" t="s">
        <v>231</v>
      </c>
      <c r="E656" s="10" t="str">
        <f aca="false">INDEX(Canale!$C$2:$C$30,MATCH(C656,Canale!$A$2:$A$30,0))</f>
        <v>orcid</v>
      </c>
      <c r="F656" s="10" t="str">
        <f aca="false">INDEX(Canale!$D$2:$D$30,MATCH(C656,Canale!$A$2:$A$30,0))</f>
        <v>referral</v>
      </c>
      <c r="G656" s="10" t="str">
        <f aca="false">INDEX('Site-uri'!$C$2:$C$20,MATCH(A656,'Site-uri'!$A$2:$A$20,0))</f>
        <v>/</v>
      </c>
      <c r="H656" s="10" t="str">
        <f aca="false">Config!$B$3</f>
        <v>2610_ff_lansare</v>
      </c>
      <c r="I656" s="10" t="str">
        <f aca="false">D656&amp;"_"&amp;Config!$B$4</f>
        <v>fierbinte_general</v>
      </c>
      <c r="J656" s="10" t="str">
        <f aca="false">"https://"&amp;B656&amp;G656&amp;"?utm_source="&amp;E656&amp;"&amp;utm_medium="&amp;F656&amp;"&amp;utm_campaign="&amp;H656&amp;"&amp;utm_content="&amp;I656</f>
        <v>https://aireadyinjector.com/?utm_source=orcid&amp;utm_medium=referral&amp;utm_campaign=2610_ff_lansare&amp;utm_content=fierbinte_general</v>
      </c>
    </row>
    <row r="657" customFormat="false" ht="15" hidden="false" customHeight="false" outlineLevel="0" collapsed="false">
      <c r="A657" s="10" t="s">
        <v>62</v>
      </c>
      <c r="B657" s="10" t="str">
        <f aca="false">INDEX('Site-uri'!$B$2:$B$20,MATCH(A657,'Site-uri'!$A$2:$A$20,0))</f>
        <v>aireadyinjector.com</v>
      </c>
      <c r="C657" s="10" t="s">
        <v>173</v>
      </c>
      <c r="D657" s="10" t="s">
        <v>237</v>
      </c>
      <c r="E657" s="10" t="str">
        <f aca="false">INDEX(Canale!$C$2:$C$30,MATCH(C657,Canale!$A$2:$A$30,0))</f>
        <v>orcid</v>
      </c>
      <c r="F657" s="10" t="str">
        <f aca="false">INDEX(Canale!$D$2:$D$30,MATCH(C657,Canale!$A$2:$A$30,0))</f>
        <v>referral</v>
      </c>
      <c r="G657" s="10" t="str">
        <f aca="false">INDEX('Site-uri'!$C$2:$C$20,MATCH(A657,'Site-uri'!$A$2:$A$20,0))</f>
        <v>/</v>
      </c>
      <c r="H657" s="10" t="str">
        <f aca="false">Config!$B$3</f>
        <v>2610_ff_lansare</v>
      </c>
      <c r="I657" s="10" t="str">
        <f aca="false">D657&amp;"_"&amp;Config!$B$4</f>
        <v>client_general</v>
      </c>
      <c r="J657" s="10" t="str">
        <f aca="false">"https://"&amp;B657&amp;G657&amp;"?utm_source="&amp;E657&amp;"&amp;utm_medium="&amp;F657&amp;"&amp;utm_campaign="&amp;H657&amp;"&amp;utm_content="&amp;I657</f>
        <v>https://aireadyinjector.com/?utm_source=orcid&amp;utm_medium=referral&amp;utm_campaign=2610_ff_lansare&amp;utm_content=client_general</v>
      </c>
    </row>
    <row r="658" customFormat="false" ht="15" hidden="false" customHeight="false" outlineLevel="0" collapsed="false">
      <c r="A658" s="10" t="s">
        <v>62</v>
      </c>
      <c r="B658" s="10" t="str">
        <f aca="false">INDEX('Site-uri'!$B$2:$B$20,MATCH(A658,'Site-uri'!$A$2:$A$20,0))</f>
        <v>aireadyinjector.com</v>
      </c>
      <c r="C658" s="10" t="s">
        <v>176</v>
      </c>
      <c r="D658" s="10" t="s">
        <v>219</v>
      </c>
      <c r="E658" s="10" t="str">
        <f aca="false">INDEX(Canale!$C$2:$C$30,MATCH(C658,Canale!$A$2:$A$30,0))</f>
        <v>github</v>
      </c>
      <c r="F658" s="10" t="str">
        <f aca="false">INDEX(Canale!$D$2:$D$30,MATCH(C658,Canale!$A$2:$A$30,0))</f>
        <v>referral</v>
      </c>
      <c r="G658" s="10" t="str">
        <f aca="false">INDEX('Site-uri'!$C$2:$C$20,MATCH(A658,'Site-uri'!$A$2:$A$20,0))</f>
        <v>/</v>
      </c>
      <c r="H658" s="10" t="str">
        <f aca="false">Config!$B$3</f>
        <v>2610_ff_lansare</v>
      </c>
      <c r="I658" s="10" t="str">
        <f aca="false">D658&amp;"_"&amp;Config!$B$4</f>
        <v>rece_general</v>
      </c>
      <c r="J658" s="10" t="str">
        <f aca="false">"https://"&amp;B658&amp;G658&amp;"?utm_source="&amp;E658&amp;"&amp;utm_medium="&amp;F658&amp;"&amp;utm_campaign="&amp;H658&amp;"&amp;utm_content="&amp;I658</f>
        <v>https://aireadyinjector.com/?utm_source=github&amp;utm_medium=referral&amp;utm_campaign=2610_ff_lansare&amp;utm_content=rece_general</v>
      </c>
    </row>
    <row r="659" customFormat="false" ht="15" hidden="false" customHeight="false" outlineLevel="0" collapsed="false">
      <c r="A659" s="10" t="s">
        <v>62</v>
      </c>
      <c r="B659" s="10" t="str">
        <f aca="false">INDEX('Site-uri'!$B$2:$B$20,MATCH(A659,'Site-uri'!$A$2:$A$20,0))</f>
        <v>aireadyinjector.com</v>
      </c>
      <c r="C659" s="10" t="s">
        <v>176</v>
      </c>
      <c r="D659" s="10" t="s">
        <v>225</v>
      </c>
      <c r="E659" s="10" t="str">
        <f aca="false">INDEX(Canale!$C$2:$C$30,MATCH(C659,Canale!$A$2:$A$30,0))</f>
        <v>github</v>
      </c>
      <c r="F659" s="10" t="str">
        <f aca="false">INDEX(Canale!$D$2:$D$30,MATCH(C659,Canale!$A$2:$A$30,0))</f>
        <v>referral</v>
      </c>
      <c r="G659" s="10" t="str">
        <f aca="false">INDEX('Site-uri'!$C$2:$C$20,MATCH(A659,'Site-uri'!$A$2:$A$20,0))</f>
        <v>/</v>
      </c>
      <c r="H659" s="10" t="str">
        <f aca="false">Config!$B$3</f>
        <v>2610_ff_lansare</v>
      </c>
      <c r="I659" s="10" t="str">
        <f aca="false">D659&amp;"_"&amp;Config!$B$4</f>
        <v>cald_general</v>
      </c>
      <c r="J659" s="10" t="str">
        <f aca="false">"https://"&amp;B659&amp;G659&amp;"?utm_source="&amp;E659&amp;"&amp;utm_medium="&amp;F659&amp;"&amp;utm_campaign="&amp;H659&amp;"&amp;utm_content="&amp;I659</f>
        <v>https://aireadyinjector.com/?utm_source=github&amp;utm_medium=referral&amp;utm_campaign=2610_ff_lansare&amp;utm_content=cald_general</v>
      </c>
    </row>
    <row r="660" customFormat="false" ht="15" hidden="false" customHeight="false" outlineLevel="0" collapsed="false">
      <c r="A660" s="10" t="s">
        <v>62</v>
      </c>
      <c r="B660" s="10" t="str">
        <f aca="false">INDEX('Site-uri'!$B$2:$B$20,MATCH(A660,'Site-uri'!$A$2:$A$20,0))</f>
        <v>aireadyinjector.com</v>
      </c>
      <c r="C660" s="10" t="s">
        <v>176</v>
      </c>
      <c r="D660" s="10" t="s">
        <v>231</v>
      </c>
      <c r="E660" s="10" t="str">
        <f aca="false">INDEX(Canale!$C$2:$C$30,MATCH(C660,Canale!$A$2:$A$30,0))</f>
        <v>github</v>
      </c>
      <c r="F660" s="10" t="str">
        <f aca="false">INDEX(Canale!$D$2:$D$30,MATCH(C660,Canale!$A$2:$A$30,0))</f>
        <v>referral</v>
      </c>
      <c r="G660" s="10" t="str">
        <f aca="false">INDEX('Site-uri'!$C$2:$C$20,MATCH(A660,'Site-uri'!$A$2:$A$20,0))</f>
        <v>/</v>
      </c>
      <c r="H660" s="10" t="str">
        <f aca="false">Config!$B$3</f>
        <v>2610_ff_lansare</v>
      </c>
      <c r="I660" s="10" t="str">
        <f aca="false">D660&amp;"_"&amp;Config!$B$4</f>
        <v>fierbinte_general</v>
      </c>
      <c r="J660" s="10" t="str">
        <f aca="false">"https://"&amp;B660&amp;G660&amp;"?utm_source="&amp;E660&amp;"&amp;utm_medium="&amp;F660&amp;"&amp;utm_campaign="&amp;H660&amp;"&amp;utm_content="&amp;I660</f>
        <v>https://aireadyinjector.com/?utm_source=github&amp;utm_medium=referral&amp;utm_campaign=2610_ff_lansare&amp;utm_content=fierbinte_general</v>
      </c>
    </row>
    <row r="661" customFormat="false" ht="15" hidden="false" customHeight="false" outlineLevel="0" collapsed="false">
      <c r="A661" s="10" t="s">
        <v>62</v>
      </c>
      <c r="B661" s="10" t="str">
        <f aca="false">INDEX('Site-uri'!$B$2:$B$20,MATCH(A661,'Site-uri'!$A$2:$A$20,0))</f>
        <v>aireadyinjector.com</v>
      </c>
      <c r="C661" s="10" t="s">
        <v>176</v>
      </c>
      <c r="D661" s="10" t="s">
        <v>237</v>
      </c>
      <c r="E661" s="10" t="str">
        <f aca="false">INDEX(Canale!$C$2:$C$30,MATCH(C661,Canale!$A$2:$A$30,0))</f>
        <v>github</v>
      </c>
      <c r="F661" s="10" t="str">
        <f aca="false">INDEX(Canale!$D$2:$D$30,MATCH(C661,Canale!$A$2:$A$30,0))</f>
        <v>referral</v>
      </c>
      <c r="G661" s="10" t="str">
        <f aca="false">INDEX('Site-uri'!$C$2:$C$20,MATCH(A661,'Site-uri'!$A$2:$A$20,0))</f>
        <v>/</v>
      </c>
      <c r="H661" s="10" t="str">
        <f aca="false">Config!$B$3</f>
        <v>2610_ff_lansare</v>
      </c>
      <c r="I661" s="10" t="str">
        <f aca="false">D661&amp;"_"&amp;Config!$B$4</f>
        <v>client_general</v>
      </c>
      <c r="J661" s="10" t="str">
        <f aca="false">"https://"&amp;B661&amp;G661&amp;"?utm_source="&amp;E661&amp;"&amp;utm_medium="&amp;F661&amp;"&amp;utm_campaign="&amp;H661&amp;"&amp;utm_content="&amp;I661</f>
        <v>https://aireadyinjector.com/?utm_source=github&amp;utm_medium=referral&amp;utm_campaign=2610_ff_lansare&amp;utm_content=client_general</v>
      </c>
    </row>
    <row r="662" customFormat="false" ht="15" hidden="false" customHeight="false" outlineLevel="0" collapsed="false">
      <c r="A662" s="10" t="s">
        <v>62</v>
      </c>
      <c r="B662" s="10" t="str">
        <f aca="false">INDEX('Site-uri'!$B$2:$B$20,MATCH(A662,'Site-uri'!$A$2:$A$20,0))</f>
        <v>aireadyinjector.com</v>
      </c>
      <c r="C662" s="10" t="s">
        <v>179</v>
      </c>
      <c r="D662" s="10" t="s">
        <v>219</v>
      </c>
      <c r="E662" s="10" t="str">
        <f aca="false">INDEX(Canale!$C$2:$C$30,MATCH(C662,Canale!$A$2:$A$30,0))</f>
        <v>kdp_book</v>
      </c>
      <c r="F662" s="10" t="str">
        <f aca="false">INDEX(Canale!$D$2:$D$30,MATCH(C662,Canale!$A$2:$A$30,0))</f>
        <v>book</v>
      </c>
      <c r="G662" s="10" t="str">
        <f aca="false">INDEX('Site-uri'!$C$2:$C$20,MATCH(A662,'Site-uri'!$A$2:$A$20,0))</f>
        <v>/</v>
      </c>
      <c r="H662" s="10" t="str">
        <f aca="false">Config!$B$3</f>
        <v>2610_ff_lansare</v>
      </c>
      <c r="I662" s="10" t="str">
        <f aca="false">D662&amp;"_"&amp;Config!$B$4</f>
        <v>rece_general</v>
      </c>
      <c r="J662" s="10" t="str">
        <f aca="false">"https://"&amp;B662&amp;G662&amp;"?utm_source="&amp;E662&amp;"&amp;utm_medium="&amp;F662&amp;"&amp;utm_campaign="&amp;H662&amp;"&amp;utm_content="&amp;I662</f>
        <v>https://aireadyinjector.com/?utm_source=kdp_book&amp;utm_medium=book&amp;utm_campaign=2610_ff_lansare&amp;utm_content=rece_general</v>
      </c>
    </row>
    <row r="663" customFormat="false" ht="15" hidden="false" customHeight="false" outlineLevel="0" collapsed="false">
      <c r="A663" s="10" t="s">
        <v>62</v>
      </c>
      <c r="B663" s="10" t="str">
        <f aca="false">INDEX('Site-uri'!$B$2:$B$20,MATCH(A663,'Site-uri'!$A$2:$A$20,0))</f>
        <v>aireadyinjector.com</v>
      </c>
      <c r="C663" s="10" t="s">
        <v>179</v>
      </c>
      <c r="D663" s="10" t="s">
        <v>225</v>
      </c>
      <c r="E663" s="10" t="str">
        <f aca="false">INDEX(Canale!$C$2:$C$30,MATCH(C663,Canale!$A$2:$A$30,0))</f>
        <v>kdp_book</v>
      </c>
      <c r="F663" s="10" t="str">
        <f aca="false">INDEX(Canale!$D$2:$D$30,MATCH(C663,Canale!$A$2:$A$30,0))</f>
        <v>book</v>
      </c>
      <c r="G663" s="10" t="str">
        <f aca="false">INDEX('Site-uri'!$C$2:$C$20,MATCH(A663,'Site-uri'!$A$2:$A$20,0))</f>
        <v>/</v>
      </c>
      <c r="H663" s="10" t="str">
        <f aca="false">Config!$B$3</f>
        <v>2610_ff_lansare</v>
      </c>
      <c r="I663" s="10" t="str">
        <f aca="false">D663&amp;"_"&amp;Config!$B$4</f>
        <v>cald_general</v>
      </c>
      <c r="J663" s="10" t="str">
        <f aca="false">"https://"&amp;B663&amp;G663&amp;"?utm_source="&amp;E663&amp;"&amp;utm_medium="&amp;F663&amp;"&amp;utm_campaign="&amp;H663&amp;"&amp;utm_content="&amp;I663</f>
        <v>https://aireadyinjector.com/?utm_source=kdp_book&amp;utm_medium=book&amp;utm_campaign=2610_ff_lansare&amp;utm_content=cald_general</v>
      </c>
    </row>
    <row r="664" customFormat="false" ht="15" hidden="false" customHeight="false" outlineLevel="0" collapsed="false">
      <c r="A664" s="10" t="s">
        <v>62</v>
      </c>
      <c r="B664" s="10" t="str">
        <f aca="false">INDEX('Site-uri'!$B$2:$B$20,MATCH(A664,'Site-uri'!$A$2:$A$20,0))</f>
        <v>aireadyinjector.com</v>
      </c>
      <c r="C664" s="10" t="s">
        <v>179</v>
      </c>
      <c r="D664" s="10" t="s">
        <v>231</v>
      </c>
      <c r="E664" s="10" t="str">
        <f aca="false">INDEX(Canale!$C$2:$C$30,MATCH(C664,Canale!$A$2:$A$30,0))</f>
        <v>kdp_book</v>
      </c>
      <c r="F664" s="10" t="str">
        <f aca="false">INDEX(Canale!$D$2:$D$30,MATCH(C664,Canale!$A$2:$A$30,0))</f>
        <v>book</v>
      </c>
      <c r="G664" s="10" t="str">
        <f aca="false">INDEX('Site-uri'!$C$2:$C$20,MATCH(A664,'Site-uri'!$A$2:$A$20,0))</f>
        <v>/</v>
      </c>
      <c r="H664" s="10" t="str">
        <f aca="false">Config!$B$3</f>
        <v>2610_ff_lansare</v>
      </c>
      <c r="I664" s="10" t="str">
        <f aca="false">D664&amp;"_"&amp;Config!$B$4</f>
        <v>fierbinte_general</v>
      </c>
      <c r="J664" s="10" t="str">
        <f aca="false">"https://"&amp;B664&amp;G664&amp;"?utm_source="&amp;E664&amp;"&amp;utm_medium="&amp;F664&amp;"&amp;utm_campaign="&amp;H664&amp;"&amp;utm_content="&amp;I664</f>
        <v>https://aireadyinjector.com/?utm_source=kdp_book&amp;utm_medium=book&amp;utm_campaign=2610_ff_lansare&amp;utm_content=fierbinte_general</v>
      </c>
    </row>
    <row r="665" customFormat="false" ht="15" hidden="false" customHeight="false" outlineLevel="0" collapsed="false">
      <c r="A665" s="10" t="s">
        <v>62</v>
      </c>
      <c r="B665" s="10" t="str">
        <f aca="false">INDEX('Site-uri'!$B$2:$B$20,MATCH(A665,'Site-uri'!$A$2:$A$20,0))</f>
        <v>aireadyinjector.com</v>
      </c>
      <c r="C665" s="10" t="s">
        <v>179</v>
      </c>
      <c r="D665" s="10" t="s">
        <v>237</v>
      </c>
      <c r="E665" s="10" t="str">
        <f aca="false">INDEX(Canale!$C$2:$C$30,MATCH(C665,Canale!$A$2:$A$30,0))</f>
        <v>kdp_book</v>
      </c>
      <c r="F665" s="10" t="str">
        <f aca="false">INDEX(Canale!$D$2:$D$30,MATCH(C665,Canale!$A$2:$A$30,0))</f>
        <v>book</v>
      </c>
      <c r="G665" s="10" t="str">
        <f aca="false">INDEX('Site-uri'!$C$2:$C$20,MATCH(A665,'Site-uri'!$A$2:$A$20,0))</f>
        <v>/</v>
      </c>
      <c r="H665" s="10" t="str">
        <f aca="false">Config!$B$3</f>
        <v>2610_ff_lansare</v>
      </c>
      <c r="I665" s="10" t="str">
        <f aca="false">D665&amp;"_"&amp;Config!$B$4</f>
        <v>client_general</v>
      </c>
      <c r="J665" s="10" t="str">
        <f aca="false">"https://"&amp;B665&amp;G665&amp;"?utm_source="&amp;E665&amp;"&amp;utm_medium="&amp;F665&amp;"&amp;utm_campaign="&amp;H665&amp;"&amp;utm_content="&amp;I665</f>
        <v>https://aireadyinjector.com/?utm_source=kdp_book&amp;utm_medium=book&amp;utm_campaign=2610_ff_lansare&amp;utm_content=client_general</v>
      </c>
    </row>
    <row r="666" customFormat="false" ht="15" hidden="false" customHeight="false" outlineLevel="0" collapsed="false">
      <c r="A666" s="10" t="s">
        <v>62</v>
      </c>
      <c r="B666" s="10" t="str">
        <f aca="false">INDEX('Site-uri'!$B$2:$B$20,MATCH(A666,'Site-uri'!$A$2:$A$20,0))</f>
        <v>aireadyinjector.com</v>
      </c>
      <c r="C666" s="10" t="s">
        <v>184</v>
      </c>
      <c r="D666" s="10" t="s">
        <v>219</v>
      </c>
      <c r="E666" s="10" t="str">
        <f aca="false">INDEX(Canale!$C$2:$C$30,MATCH(C666,Canale!$A$2:$A$30,0))</f>
        <v>udemy</v>
      </c>
      <c r="F666" s="10" t="str">
        <f aca="false">INDEX(Canale!$D$2:$D$30,MATCH(C666,Canale!$A$2:$A$30,0))</f>
        <v>course</v>
      </c>
      <c r="G666" s="10" t="str">
        <f aca="false">INDEX('Site-uri'!$C$2:$C$20,MATCH(A666,'Site-uri'!$A$2:$A$20,0))</f>
        <v>/</v>
      </c>
      <c r="H666" s="10" t="str">
        <f aca="false">Config!$B$3</f>
        <v>2610_ff_lansare</v>
      </c>
      <c r="I666" s="10" t="str">
        <f aca="false">D666&amp;"_"&amp;Config!$B$4</f>
        <v>rece_general</v>
      </c>
      <c r="J666" s="10" t="str">
        <f aca="false">"https://"&amp;B666&amp;G666&amp;"?utm_source="&amp;E666&amp;"&amp;utm_medium="&amp;F666&amp;"&amp;utm_campaign="&amp;H666&amp;"&amp;utm_content="&amp;I666</f>
        <v>https://aireadyinjector.com/?utm_source=udemy&amp;utm_medium=course&amp;utm_campaign=2610_ff_lansare&amp;utm_content=rece_general</v>
      </c>
    </row>
    <row r="667" customFormat="false" ht="15" hidden="false" customHeight="false" outlineLevel="0" collapsed="false">
      <c r="A667" s="10" t="s">
        <v>62</v>
      </c>
      <c r="B667" s="10" t="str">
        <f aca="false">INDEX('Site-uri'!$B$2:$B$20,MATCH(A667,'Site-uri'!$A$2:$A$20,0))</f>
        <v>aireadyinjector.com</v>
      </c>
      <c r="C667" s="10" t="s">
        <v>184</v>
      </c>
      <c r="D667" s="10" t="s">
        <v>225</v>
      </c>
      <c r="E667" s="10" t="str">
        <f aca="false">INDEX(Canale!$C$2:$C$30,MATCH(C667,Canale!$A$2:$A$30,0))</f>
        <v>udemy</v>
      </c>
      <c r="F667" s="10" t="str">
        <f aca="false">INDEX(Canale!$D$2:$D$30,MATCH(C667,Canale!$A$2:$A$30,0))</f>
        <v>course</v>
      </c>
      <c r="G667" s="10" t="str">
        <f aca="false">INDEX('Site-uri'!$C$2:$C$20,MATCH(A667,'Site-uri'!$A$2:$A$20,0))</f>
        <v>/</v>
      </c>
      <c r="H667" s="10" t="str">
        <f aca="false">Config!$B$3</f>
        <v>2610_ff_lansare</v>
      </c>
      <c r="I667" s="10" t="str">
        <f aca="false">D667&amp;"_"&amp;Config!$B$4</f>
        <v>cald_general</v>
      </c>
      <c r="J667" s="10" t="str">
        <f aca="false">"https://"&amp;B667&amp;G667&amp;"?utm_source="&amp;E667&amp;"&amp;utm_medium="&amp;F667&amp;"&amp;utm_campaign="&amp;H667&amp;"&amp;utm_content="&amp;I667</f>
        <v>https://aireadyinjector.com/?utm_source=udemy&amp;utm_medium=course&amp;utm_campaign=2610_ff_lansare&amp;utm_content=cald_general</v>
      </c>
    </row>
    <row r="668" customFormat="false" ht="15" hidden="false" customHeight="false" outlineLevel="0" collapsed="false">
      <c r="A668" s="10" t="s">
        <v>62</v>
      </c>
      <c r="B668" s="10" t="str">
        <f aca="false">INDEX('Site-uri'!$B$2:$B$20,MATCH(A668,'Site-uri'!$A$2:$A$20,0))</f>
        <v>aireadyinjector.com</v>
      </c>
      <c r="C668" s="10" t="s">
        <v>184</v>
      </c>
      <c r="D668" s="10" t="s">
        <v>231</v>
      </c>
      <c r="E668" s="10" t="str">
        <f aca="false">INDEX(Canale!$C$2:$C$30,MATCH(C668,Canale!$A$2:$A$30,0))</f>
        <v>udemy</v>
      </c>
      <c r="F668" s="10" t="str">
        <f aca="false">INDEX(Canale!$D$2:$D$30,MATCH(C668,Canale!$A$2:$A$30,0))</f>
        <v>course</v>
      </c>
      <c r="G668" s="10" t="str">
        <f aca="false">INDEX('Site-uri'!$C$2:$C$20,MATCH(A668,'Site-uri'!$A$2:$A$20,0))</f>
        <v>/</v>
      </c>
      <c r="H668" s="10" t="str">
        <f aca="false">Config!$B$3</f>
        <v>2610_ff_lansare</v>
      </c>
      <c r="I668" s="10" t="str">
        <f aca="false">D668&amp;"_"&amp;Config!$B$4</f>
        <v>fierbinte_general</v>
      </c>
      <c r="J668" s="10" t="str">
        <f aca="false">"https://"&amp;B668&amp;G668&amp;"?utm_source="&amp;E668&amp;"&amp;utm_medium="&amp;F668&amp;"&amp;utm_campaign="&amp;H668&amp;"&amp;utm_content="&amp;I668</f>
        <v>https://aireadyinjector.com/?utm_source=udemy&amp;utm_medium=course&amp;utm_campaign=2610_ff_lansare&amp;utm_content=fierbinte_general</v>
      </c>
    </row>
    <row r="669" customFormat="false" ht="15" hidden="false" customHeight="false" outlineLevel="0" collapsed="false">
      <c r="A669" s="10" t="s">
        <v>62</v>
      </c>
      <c r="B669" s="10" t="str">
        <f aca="false">INDEX('Site-uri'!$B$2:$B$20,MATCH(A669,'Site-uri'!$A$2:$A$20,0))</f>
        <v>aireadyinjector.com</v>
      </c>
      <c r="C669" s="10" t="s">
        <v>184</v>
      </c>
      <c r="D669" s="10" t="s">
        <v>237</v>
      </c>
      <c r="E669" s="10" t="str">
        <f aca="false">INDEX(Canale!$C$2:$C$30,MATCH(C669,Canale!$A$2:$A$30,0))</f>
        <v>udemy</v>
      </c>
      <c r="F669" s="10" t="str">
        <f aca="false">INDEX(Canale!$D$2:$D$30,MATCH(C669,Canale!$A$2:$A$30,0))</f>
        <v>course</v>
      </c>
      <c r="G669" s="10" t="str">
        <f aca="false">INDEX('Site-uri'!$C$2:$C$20,MATCH(A669,'Site-uri'!$A$2:$A$20,0))</f>
        <v>/</v>
      </c>
      <c r="H669" s="10" t="str">
        <f aca="false">Config!$B$3</f>
        <v>2610_ff_lansare</v>
      </c>
      <c r="I669" s="10" t="str">
        <f aca="false">D669&amp;"_"&amp;Config!$B$4</f>
        <v>client_general</v>
      </c>
      <c r="J669" s="10" t="str">
        <f aca="false">"https://"&amp;B669&amp;G669&amp;"?utm_source="&amp;E669&amp;"&amp;utm_medium="&amp;F669&amp;"&amp;utm_campaign="&amp;H669&amp;"&amp;utm_content="&amp;I669</f>
        <v>https://aireadyinjector.com/?utm_source=udemy&amp;utm_medium=course&amp;utm_campaign=2610_ff_lansare&amp;utm_content=client_general</v>
      </c>
    </row>
    <row r="670" customFormat="false" ht="15" hidden="false" customHeight="false" outlineLevel="0" collapsed="false">
      <c r="A670" s="10" t="s">
        <v>62</v>
      </c>
      <c r="B670" s="10" t="str">
        <f aca="false">INDEX('Site-uri'!$B$2:$B$20,MATCH(A670,'Site-uri'!$A$2:$A$20,0))</f>
        <v>aireadyinjector.com</v>
      </c>
      <c r="C670" s="10" t="s">
        <v>187</v>
      </c>
      <c r="D670" s="10" t="s">
        <v>219</v>
      </c>
      <c r="E670" s="10" t="str">
        <f aca="false">INDEX(Canale!$C$2:$C$30,MATCH(C670,Canale!$A$2:$A$30,0))</f>
        <v>directory</v>
      </c>
      <c r="F670" s="10" t="str">
        <f aca="false">INDEX(Canale!$D$2:$D$30,MATCH(C670,Canale!$A$2:$A$30,0))</f>
        <v>referral</v>
      </c>
      <c r="G670" s="10" t="str">
        <f aca="false">INDEX('Site-uri'!$C$2:$C$20,MATCH(A670,'Site-uri'!$A$2:$A$20,0))</f>
        <v>/</v>
      </c>
      <c r="H670" s="10" t="str">
        <f aca="false">Config!$B$3</f>
        <v>2610_ff_lansare</v>
      </c>
      <c r="I670" s="10" t="str">
        <f aca="false">D670&amp;"_"&amp;Config!$B$4</f>
        <v>rece_general</v>
      </c>
      <c r="J670" s="10" t="str">
        <f aca="false">"https://"&amp;B670&amp;G670&amp;"?utm_source="&amp;E670&amp;"&amp;utm_medium="&amp;F670&amp;"&amp;utm_campaign="&amp;H670&amp;"&amp;utm_content="&amp;I670</f>
        <v>https://aireadyinjector.com/?utm_source=directory&amp;utm_medium=referral&amp;utm_campaign=2610_ff_lansare&amp;utm_content=rece_general</v>
      </c>
    </row>
    <row r="671" customFormat="false" ht="15" hidden="false" customHeight="false" outlineLevel="0" collapsed="false">
      <c r="A671" s="10" t="s">
        <v>62</v>
      </c>
      <c r="B671" s="10" t="str">
        <f aca="false">INDEX('Site-uri'!$B$2:$B$20,MATCH(A671,'Site-uri'!$A$2:$A$20,0))</f>
        <v>aireadyinjector.com</v>
      </c>
      <c r="C671" s="10" t="s">
        <v>187</v>
      </c>
      <c r="D671" s="10" t="s">
        <v>225</v>
      </c>
      <c r="E671" s="10" t="str">
        <f aca="false">INDEX(Canale!$C$2:$C$30,MATCH(C671,Canale!$A$2:$A$30,0))</f>
        <v>directory</v>
      </c>
      <c r="F671" s="10" t="str">
        <f aca="false">INDEX(Canale!$D$2:$D$30,MATCH(C671,Canale!$A$2:$A$30,0))</f>
        <v>referral</v>
      </c>
      <c r="G671" s="10" t="str">
        <f aca="false">INDEX('Site-uri'!$C$2:$C$20,MATCH(A671,'Site-uri'!$A$2:$A$20,0))</f>
        <v>/</v>
      </c>
      <c r="H671" s="10" t="str">
        <f aca="false">Config!$B$3</f>
        <v>2610_ff_lansare</v>
      </c>
      <c r="I671" s="10" t="str">
        <f aca="false">D671&amp;"_"&amp;Config!$B$4</f>
        <v>cald_general</v>
      </c>
      <c r="J671" s="10" t="str">
        <f aca="false">"https://"&amp;B671&amp;G671&amp;"?utm_source="&amp;E671&amp;"&amp;utm_medium="&amp;F671&amp;"&amp;utm_campaign="&amp;H671&amp;"&amp;utm_content="&amp;I671</f>
        <v>https://aireadyinjector.com/?utm_source=directory&amp;utm_medium=referral&amp;utm_campaign=2610_ff_lansare&amp;utm_content=cald_general</v>
      </c>
    </row>
    <row r="672" customFormat="false" ht="15" hidden="false" customHeight="false" outlineLevel="0" collapsed="false">
      <c r="A672" s="10" t="s">
        <v>62</v>
      </c>
      <c r="B672" s="10" t="str">
        <f aca="false">INDEX('Site-uri'!$B$2:$B$20,MATCH(A672,'Site-uri'!$A$2:$A$20,0))</f>
        <v>aireadyinjector.com</v>
      </c>
      <c r="C672" s="10" t="s">
        <v>187</v>
      </c>
      <c r="D672" s="10" t="s">
        <v>231</v>
      </c>
      <c r="E672" s="10" t="str">
        <f aca="false">INDEX(Canale!$C$2:$C$30,MATCH(C672,Canale!$A$2:$A$30,0))</f>
        <v>directory</v>
      </c>
      <c r="F672" s="10" t="str">
        <f aca="false">INDEX(Canale!$D$2:$D$30,MATCH(C672,Canale!$A$2:$A$30,0))</f>
        <v>referral</v>
      </c>
      <c r="G672" s="10" t="str">
        <f aca="false">INDEX('Site-uri'!$C$2:$C$20,MATCH(A672,'Site-uri'!$A$2:$A$20,0))</f>
        <v>/</v>
      </c>
      <c r="H672" s="10" t="str">
        <f aca="false">Config!$B$3</f>
        <v>2610_ff_lansare</v>
      </c>
      <c r="I672" s="10" t="str">
        <f aca="false">D672&amp;"_"&amp;Config!$B$4</f>
        <v>fierbinte_general</v>
      </c>
      <c r="J672" s="10" t="str">
        <f aca="false">"https://"&amp;B672&amp;G672&amp;"?utm_source="&amp;E672&amp;"&amp;utm_medium="&amp;F672&amp;"&amp;utm_campaign="&amp;H672&amp;"&amp;utm_content="&amp;I672</f>
        <v>https://aireadyinjector.com/?utm_source=directory&amp;utm_medium=referral&amp;utm_campaign=2610_ff_lansare&amp;utm_content=fierbinte_general</v>
      </c>
    </row>
    <row r="673" customFormat="false" ht="15" hidden="false" customHeight="false" outlineLevel="0" collapsed="false">
      <c r="A673" s="10" t="s">
        <v>62</v>
      </c>
      <c r="B673" s="10" t="str">
        <f aca="false">INDEX('Site-uri'!$B$2:$B$20,MATCH(A673,'Site-uri'!$A$2:$A$20,0))</f>
        <v>aireadyinjector.com</v>
      </c>
      <c r="C673" s="10" t="s">
        <v>187</v>
      </c>
      <c r="D673" s="10" t="s">
        <v>237</v>
      </c>
      <c r="E673" s="10" t="str">
        <f aca="false">INDEX(Canale!$C$2:$C$30,MATCH(C673,Canale!$A$2:$A$30,0))</f>
        <v>directory</v>
      </c>
      <c r="F673" s="10" t="str">
        <f aca="false">INDEX(Canale!$D$2:$D$30,MATCH(C673,Canale!$A$2:$A$30,0))</f>
        <v>referral</v>
      </c>
      <c r="G673" s="10" t="str">
        <f aca="false">INDEX('Site-uri'!$C$2:$C$20,MATCH(A673,'Site-uri'!$A$2:$A$20,0))</f>
        <v>/</v>
      </c>
      <c r="H673" s="10" t="str">
        <f aca="false">Config!$B$3</f>
        <v>2610_ff_lansare</v>
      </c>
      <c r="I673" s="10" t="str">
        <f aca="false">D673&amp;"_"&amp;Config!$B$4</f>
        <v>client_general</v>
      </c>
      <c r="J673" s="10" t="str">
        <f aca="false">"https://"&amp;B673&amp;G673&amp;"?utm_source="&amp;E673&amp;"&amp;utm_medium="&amp;F673&amp;"&amp;utm_campaign="&amp;H673&amp;"&amp;utm_content="&amp;I673</f>
        <v>https://aireadyinjector.com/?utm_source=directory&amp;utm_medium=referral&amp;utm_campaign=2610_ff_lansare&amp;utm_content=client_general</v>
      </c>
    </row>
    <row r="674" customFormat="false" ht="15" hidden="false" customHeight="false" outlineLevel="0" collapsed="false">
      <c r="A674" s="10" t="s">
        <v>62</v>
      </c>
      <c r="B674" s="10" t="str">
        <f aca="false">INDEX('Site-uri'!$B$2:$B$20,MATCH(A674,'Site-uri'!$A$2:$A$20,0))</f>
        <v>aireadyinjector.com</v>
      </c>
      <c r="C674" s="10" t="s">
        <v>191</v>
      </c>
      <c r="D674" s="10" t="s">
        <v>219</v>
      </c>
      <c r="E674" s="10" t="str">
        <f aca="false">INDEX(Canale!$C$2:$C$30,MATCH(C674,Canale!$A$2:$A$30,0))</f>
        <v>partner</v>
      </c>
      <c r="F674" s="10" t="str">
        <f aca="false">INDEX(Canale!$D$2:$D$30,MATCH(C674,Canale!$A$2:$A$30,0))</f>
        <v>partner</v>
      </c>
      <c r="G674" s="10" t="str">
        <f aca="false">INDEX('Site-uri'!$C$2:$C$20,MATCH(A674,'Site-uri'!$A$2:$A$20,0))</f>
        <v>/</v>
      </c>
      <c r="H674" s="10" t="str">
        <f aca="false">Config!$B$3</f>
        <v>2610_ff_lansare</v>
      </c>
      <c r="I674" s="10" t="str">
        <f aca="false">D674&amp;"_"&amp;Config!$B$4</f>
        <v>rece_general</v>
      </c>
      <c r="J674" s="10" t="str">
        <f aca="false">"https://"&amp;B674&amp;G674&amp;"?utm_source="&amp;E674&amp;"&amp;utm_medium="&amp;F674&amp;"&amp;utm_campaign="&amp;H674&amp;"&amp;utm_content="&amp;I674</f>
        <v>https://aireadyinjector.com/?utm_source=partner&amp;utm_medium=partner&amp;utm_campaign=2610_ff_lansare&amp;utm_content=rece_general</v>
      </c>
    </row>
    <row r="675" customFormat="false" ht="15" hidden="false" customHeight="false" outlineLevel="0" collapsed="false">
      <c r="A675" s="10" t="s">
        <v>62</v>
      </c>
      <c r="B675" s="10" t="str">
        <f aca="false">INDEX('Site-uri'!$B$2:$B$20,MATCH(A675,'Site-uri'!$A$2:$A$20,0))</f>
        <v>aireadyinjector.com</v>
      </c>
      <c r="C675" s="10" t="s">
        <v>191</v>
      </c>
      <c r="D675" s="10" t="s">
        <v>225</v>
      </c>
      <c r="E675" s="10" t="str">
        <f aca="false">INDEX(Canale!$C$2:$C$30,MATCH(C675,Canale!$A$2:$A$30,0))</f>
        <v>partner</v>
      </c>
      <c r="F675" s="10" t="str">
        <f aca="false">INDEX(Canale!$D$2:$D$30,MATCH(C675,Canale!$A$2:$A$30,0))</f>
        <v>partner</v>
      </c>
      <c r="G675" s="10" t="str">
        <f aca="false">INDEX('Site-uri'!$C$2:$C$20,MATCH(A675,'Site-uri'!$A$2:$A$20,0))</f>
        <v>/</v>
      </c>
      <c r="H675" s="10" t="str">
        <f aca="false">Config!$B$3</f>
        <v>2610_ff_lansare</v>
      </c>
      <c r="I675" s="10" t="str">
        <f aca="false">D675&amp;"_"&amp;Config!$B$4</f>
        <v>cald_general</v>
      </c>
      <c r="J675" s="10" t="str">
        <f aca="false">"https://"&amp;B675&amp;G675&amp;"?utm_source="&amp;E675&amp;"&amp;utm_medium="&amp;F675&amp;"&amp;utm_campaign="&amp;H675&amp;"&amp;utm_content="&amp;I675</f>
        <v>https://aireadyinjector.com/?utm_source=partner&amp;utm_medium=partner&amp;utm_campaign=2610_ff_lansare&amp;utm_content=cald_general</v>
      </c>
    </row>
    <row r="676" customFormat="false" ht="15" hidden="false" customHeight="false" outlineLevel="0" collapsed="false">
      <c r="A676" s="10" t="s">
        <v>62</v>
      </c>
      <c r="B676" s="10" t="str">
        <f aca="false">INDEX('Site-uri'!$B$2:$B$20,MATCH(A676,'Site-uri'!$A$2:$A$20,0))</f>
        <v>aireadyinjector.com</v>
      </c>
      <c r="C676" s="10" t="s">
        <v>191</v>
      </c>
      <c r="D676" s="10" t="s">
        <v>231</v>
      </c>
      <c r="E676" s="10" t="str">
        <f aca="false">INDEX(Canale!$C$2:$C$30,MATCH(C676,Canale!$A$2:$A$30,0))</f>
        <v>partner</v>
      </c>
      <c r="F676" s="10" t="str">
        <f aca="false">INDEX(Canale!$D$2:$D$30,MATCH(C676,Canale!$A$2:$A$30,0))</f>
        <v>partner</v>
      </c>
      <c r="G676" s="10" t="str">
        <f aca="false">INDEX('Site-uri'!$C$2:$C$20,MATCH(A676,'Site-uri'!$A$2:$A$20,0))</f>
        <v>/</v>
      </c>
      <c r="H676" s="10" t="str">
        <f aca="false">Config!$B$3</f>
        <v>2610_ff_lansare</v>
      </c>
      <c r="I676" s="10" t="str">
        <f aca="false">D676&amp;"_"&amp;Config!$B$4</f>
        <v>fierbinte_general</v>
      </c>
      <c r="J676" s="10" t="str">
        <f aca="false">"https://"&amp;B676&amp;G676&amp;"?utm_source="&amp;E676&amp;"&amp;utm_medium="&amp;F676&amp;"&amp;utm_campaign="&amp;H676&amp;"&amp;utm_content="&amp;I676</f>
        <v>https://aireadyinjector.com/?utm_source=partner&amp;utm_medium=partner&amp;utm_campaign=2610_ff_lansare&amp;utm_content=fierbinte_general</v>
      </c>
    </row>
    <row r="677" customFormat="false" ht="15" hidden="false" customHeight="false" outlineLevel="0" collapsed="false">
      <c r="A677" s="10" t="s">
        <v>62</v>
      </c>
      <c r="B677" s="10" t="str">
        <f aca="false">INDEX('Site-uri'!$B$2:$B$20,MATCH(A677,'Site-uri'!$A$2:$A$20,0))</f>
        <v>aireadyinjector.com</v>
      </c>
      <c r="C677" s="10" t="s">
        <v>191</v>
      </c>
      <c r="D677" s="10" t="s">
        <v>237</v>
      </c>
      <c r="E677" s="10" t="str">
        <f aca="false">INDEX(Canale!$C$2:$C$30,MATCH(C677,Canale!$A$2:$A$30,0))</f>
        <v>partner</v>
      </c>
      <c r="F677" s="10" t="str">
        <f aca="false">INDEX(Canale!$D$2:$D$30,MATCH(C677,Canale!$A$2:$A$30,0))</f>
        <v>partner</v>
      </c>
      <c r="G677" s="10" t="str">
        <f aca="false">INDEX('Site-uri'!$C$2:$C$20,MATCH(A677,'Site-uri'!$A$2:$A$20,0))</f>
        <v>/</v>
      </c>
      <c r="H677" s="10" t="str">
        <f aca="false">Config!$B$3</f>
        <v>2610_ff_lansare</v>
      </c>
      <c r="I677" s="10" t="str">
        <f aca="false">D677&amp;"_"&amp;Config!$B$4</f>
        <v>client_general</v>
      </c>
      <c r="J677" s="10" t="str">
        <f aca="false">"https://"&amp;B677&amp;G677&amp;"?utm_source="&amp;E677&amp;"&amp;utm_medium="&amp;F677&amp;"&amp;utm_campaign="&amp;H677&amp;"&amp;utm_content="&amp;I677</f>
        <v>https://aireadyinjector.com/?utm_source=partner&amp;utm_medium=partner&amp;utm_campaign=2610_ff_lansare&amp;utm_content=client_general</v>
      </c>
    </row>
    <row r="678" customFormat="false" ht="15" hidden="false" customHeight="false" outlineLevel="0" collapsed="false">
      <c r="A678" s="10" t="s">
        <v>62</v>
      </c>
      <c r="B678" s="10" t="str">
        <f aca="false">INDEX('Site-uri'!$B$2:$B$20,MATCH(A678,'Site-uri'!$A$2:$A$20,0))</f>
        <v>aireadyinjector.com</v>
      </c>
      <c r="C678" s="10" t="s">
        <v>193</v>
      </c>
      <c r="D678" s="10" t="s">
        <v>219</v>
      </c>
      <c r="E678" s="10" t="str">
        <f aca="false">INDEX(Canale!$C$2:$C$30,MATCH(C678,Canale!$A$2:$A$30,0))</f>
        <v>pdf_proposal</v>
      </c>
      <c r="F678" s="10" t="str">
        <f aca="false">INDEX(Canale!$D$2:$D$30,MATCH(C678,Canale!$A$2:$A$30,0))</f>
        <v>document</v>
      </c>
      <c r="G678" s="10" t="str">
        <f aca="false">INDEX('Site-uri'!$C$2:$C$20,MATCH(A678,'Site-uri'!$A$2:$A$20,0))</f>
        <v>/</v>
      </c>
      <c r="H678" s="10" t="str">
        <f aca="false">Config!$B$3</f>
        <v>2610_ff_lansare</v>
      </c>
      <c r="I678" s="10" t="str">
        <f aca="false">D678&amp;"_"&amp;Config!$B$4</f>
        <v>rece_general</v>
      </c>
      <c r="J678" s="10" t="str">
        <f aca="false">"https://"&amp;B678&amp;G678&amp;"?utm_source="&amp;E678&amp;"&amp;utm_medium="&amp;F678&amp;"&amp;utm_campaign="&amp;H678&amp;"&amp;utm_content="&amp;I678</f>
        <v>https://aireadyinjector.com/?utm_source=pdf_proposal&amp;utm_medium=document&amp;utm_campaign=2610_ff_lansare&amp;utm_content=rece_general</v>
      </c>
    </row>
    <row r="679" customFormat="false" ht="15" hidden="false" customHeight="false" outlineLevel="0" collapsed="false">
      <c r="A679" s="10" t="s">
        <v>62</v>
      </c>
      <c r="B679" s="10" t="str">
        <f aca="false">INDEX('Site-uri'!$B$2:$B$20,MATCH(A679,'Site-uri'!$A$2:$A$20,0))</f>
        <v>aireadyinjector.com</v>
      </c>
      <c r="C679" s="10" t="s">
        <v>193</v>
      </c>
      <c r="D679" s="10" t="s">
        <v>225</v>
      </c>
      <c r="E679" s="10" t="str">
        <f aca="false">INDEX(Canale!$C$2:$C$30,MATCH(C679,Canale!$A$2:$A$30,0))</f>
        <v>pdf_proposal</v>
      </c>
      <c r="F679" s="10" t="str">
        <f aca="false">INDEX(Canale!$D$2:$D$30,MATCH(C679,Canale!$A$2:$A$30,0))</f>
        <v>document</v>
      </c>
      <c r="G679" s="10" t="str">
        <f aca="false">INDEX('Site-uri'!$C$2:$C$20,MATCH(A679,'Site-uri'!$A$2:$A$20,0))</f>
        <v>/</v>
      </c>
      <c r="H679" s="10" t="str">
        <f aca="false">Config!$B$3</f>
        <v>2610_ff_lansare</v>
      </c>
      <c r="I679" s="10" t="str">
        <f aca="false">D679&amp;"_"&amp;Config!$B$4</f>
        <v>cald_general</v>
      </c>
      <c r="J679" s="10" t="str">
        <f aca="false">"https://"&amp;B679&amp;G679&amp;"?utm_source="&amp;E679&amp;"&amp;utm_medium="&amp;F679&amp;"&amp;utm_campaign="&amp;H679&amp;"&amp;utm_content="&amp;I679</f>
        <v>https://aireadyinjector.com/?utm_source=pdf_proposal&amp;utm_medium=document&amp;utm_campaign=2610_ff_lansare&amp;utm_content=cald_general</v>
      </c>
    </row>
    <row r="680" customFormat="false" ht="15" hidden="false" customHeight="false" outlineLevel="0" collapsed="false">
      <c r="A680" s="10" t="s">
        <v>62</v>
      </c>
      <c r="B680" s="10" t="str">
        <f aca="false">INDEX('Site-uri'!$B$2:$B$20,MATCH(A680,'Site-uri'!$A$2:$A$20,0))</f>
        <v>aireadyinjector.com</v>
      </c>
      <c r="C680" s="10" t="s">
        <v>193</v>
      </c>
      <c r="D680" s="10" t="s">
        <v>231</v>
      </c>
      <c r="E680" s="10" t="str">
        <f aca="false">INDEX(Canale!$C$2:$C$30,MATCH(C680,Canale!$A$2:$A$30,0))</f>
        <v>pdf_proposal</v>
      </c>
      <c r="F680" s="10" t="str">
        <f aca="false">INDEX(Canale!$D$2:$D$30,MATCH(C680,Canale!$A$2:$A$30,0))</f>
        <v>document</v>
      </c>
      <c r="G680" s="10" t="str">
        <f aca="false">INDEX('Site-uri'!$C$2:$C$20,MATCH(A680,'Site-uri'!$A$2:$A$20,0))</f>
        <v>/</v>
      </c>
      <c r="H680" s="10" t="str">
        <f aca="false">Config!$B$3</f>
        <v>2610_ff_lansare</v>
      </c>
      <c r="I680" s="10" t="str">
        <f aca="false">D680&amp;"_"&amp;Config!$B$4</f>
        <v>fierbinte_general</v>
      </c>
      <c r="J680" s="10" t="str">
        <f aca="false">"https://"&amp;B680&amp;G680&amp;"?utm_source="&amp;E680&amp;"&amp;utm_medium="&amp;F680&amp;"&amp;utm_campaign="&amp;H680&amp;"&amp;utm_content="&amp;I680</f>
        <v>https://aireadyinjector.com/?utm_source=pdf_proposal&amp;utm_medium=document&amp;utm_campaign=2610_ff_lansare&amp;utm_content=fierbinte_general</v>
      </c>
    </row>
    <row r="681" customFormat="false" ht="15" hidden="false" customHeight="false" outlineLevel="0" collapsed="false">
      <c r="A681" s="10" t="s">
        <v>62</v>
      </c>
      <c r="B681" s="10" t="str">
        <f aca="false">INDEX('Site-uri'!$B$2:$B$20,MATCH(A681,'Site-uri'!$A$2:$A$20,0))</f>
        <v>aireadyinjector.com</v>
      </c>
      <c r="C681" s="10" t="s">
        <v>193</v>
      </c>
      <c r="D681" s="10" t="s">
        <v>237</v>
      </c>
      <c r="E681" s="10" t="str">
        <f aca="false">INDEX(Canale!$C$2:$C$30,MATCH(C681,Canale!$A$2:$A$30,0))</f>
        <v>pdf_proposal</v>
      </c>
      <c r="F681" s="10" t="str">
        <f aca="false">INDEX(Canale!$D$2:$D$30,MATCH(C681,Canale!$A$2:$A$30,0))</f>
        <v>document</v>
      </c>
      <c r="G681" s="10" t="str">
        <f aca="false">INDEX('Site-uri'!$C$2:$C$20,MATCH(A681,'Site-uri'!$A$2:$A$20,0))</f>
        <v>/</v>
      </c>
      <c r="H681" s="10" t="str">
        <f aca="false">Config!$B$3</f>
        <v>2610_ff_lansare</v>
      </c>
      <c r="I681" s="10" t="str">
        <f aca="false">D681&amp;"_"&amp;Config!$B$4</f>
        <v>client_general</v>
      </c>
      <c r="J681" s="10" t="str">
        <f aca="false">"https://"&amp;B681&amp;G681&amp;"?utm_source="&amp;E681&amp;"&amp;utm_medium="&amp;F681&amp;"&amp;utm_campaign="&amp;H681&amp;"&amp;utm_content="&amp;I681</f>
        <v>https://aireadyinjector.com/?utm_source=pdf_proposal&amp;utm_medium=document&amp;utm_campaign=2610_ff_lansare&amp;utm_content=client_general</v>
      </c>
    </row>
    <row r="682" customFormat="false" ht="15" hidden="false" customHeight="false" outlineLevel="0" collapsed="false">
      <c r="A682" s="10" t="s">
        <v>62</v>
      </c>
      <c r="B682" s="10" t="str">
        <f aca="false">INDEX('Site-uri'!$B$2:$B$20,MATCH(A682,'Site-uri'!$A$2:$A$20,0))</f>
        <v>aireadyinjector.com</v>
      </c>
      <c r="C682" s="10" t="s">
        <v>198</v>
      </c>
      <c r="D682" s="10" t="s">
        <v>219</v>
      </c>
      <c r="E682" s="10" t="str">
        <f aca="false">INDEX(Canale!$C$2:$C$30,MATCH(C682,Canale!$A$2:$A$30,0))</f>
        <v>qr_print</v>
      </c>
      <c r="F682" s="10" t="str">
        <f aca="false">INDEX(Canale!$D$2:$D$30,MATCH(C682,Canale!$A$2:$A$30,0))</f>
        <v>qr</v>
      </c>
      <c r="G682" s="10" t="str">
        <f aca="false">INDEX('Site-uri'!$C$2:$C$20,MATCH(A682,'Site-uri'!$A$2:$A$20,0))</f>
        <v>/</v>
      </c>
      <c r="H682" s="10" t="str">
        <f aca="false">Config!$B$3</f>
        <v>2610_ff_lansare</v>
      </c>
      <c r="I682" s="10" t="str">
        <f aca="false">D682&amp;"_"&amp;Config!$B$4</f>
        <v>rece_general</v>
      </c>
      <c r="J682" s="10" t="str">
        <f aca="false">"https://"&amp;B682&amp;G682&amp;"?utm_source="&amp;E682&amp;"&amp;utm_medium="&amp;F682&amp;"&amp;utm_campaign="&amp;H682&amp;"&amp;utm_content="&amp;I682</f>
        <v>https://aireadyinjector.com/?utm_source=qr_print&amp;utm_medium=qr&amp;utm_campaign=2610_ff_lansare&amp;utm_content=rece_general</v>
      </c>
    </row>
    <row r="683" customFormat="false" ht="15" hidden="false" customHeight="false" outlineLevel="0" collapsed="false">
      <c r="A683" s="10" t="s">
        <v>62</v>
      </c>
      <c r="B683" s="10" t="str">
        <f aca="false">INDEX('Site-uri'!$B$2:$B$20,MATCH(A683,'Site-uri'!$A$2:$A$20,0))</f>
        <v>aireadyinjector.com</v>
      </c>
      <c r="C683" s="10" t="s">
        <v>198</v>
      </c>
      <c r="D683" s="10" t="s">
        <v>225</v>
      </c>
      <c r="E683" s="10" t="str">
        <f aca="false">INDEX(Canale!$C$2:$C$30,MATCH(C683,Canale!$A$2:$A$30,0))</f>
        <v>qr_print</v>
      </c>
      <c r="F683" s="10" t="str">
        <f aca="false">INDEX(Canale!$D$2:$D$30,MATCH(C683,Canale!$A$2:$A$30,0))</f>
        <v>qr</v>
      </c>
      <c r="G683" s="10" t="str">
        <f aca="false">INDEX('Site-uri'!$C$2:$C$20,MATCH(A683,'Site-uri'!$A$2:$A$20,0))</f>
        <v>/</v>
      </c>
      <c r="H683" s="10" t="str">
        <f aca="false">Config!$B$3</f>
        <v>2610_ff_lansare</v>
      </c>
      <c r="I683" s="10" t="str">
        <f aca="false">D683&amp;"_"&amp;Config!$B$4</f>
        <v>cald_general</v>
      </c>
      <c r="J683" s="10" t="str">
        <f aca="false">"https://"&amp;B683&amp;G683&amp;"?utm_source="&amp;E683&amp;"&amp;utm_medium="&amp;F683&amp;"&amp;utm_campaign="&amp;H683&amp;"&amp;utm_content="&amp;I683</f>
        <v>https://aireadyinjector.com/?utm_source=qr_print&amp;utm_medium=qr&amp;utm_campaign=2610_ff_lansare&amp;utm_content=cald_general</v>
      </c>
    </row>
    <row r="684" customFormat="false" ht="15" hidden="false" customHeight="false" outlineLevel="0" collapsed="false">
      <c r="A684" s="10" t="s">
        <v>62</v>
      </c>
      <c r="B684" s="10" t="str">
        <f aca="false">INDEX('Site-uri'!$B$2:$B$20,MATCH(A684,'Site-uri'!$A$2:$A$20,0))</f>
        <v>aireadyinjector.com</v>
      </c>
      <c r="C684" s="10" t="s">
        <v>198</v>
      </c>
      <c r="D684" s="10" t="s">
        <v>231</v>
      </c>
      <c r="E684" s="10" t="str">
        <f aca="false">INDEX(Canale!$C$2:$C$30,MATCH(C684,Canale!$A$2:$A$30,0))</f>
        <v>qr_print</v>
      </c>
      <c r="F684" s="10" t="str">
        <f aca="false">INDEX(Canale!$D$2:$D$30,MATCH(C684,Canale!$A$2:$A$30,0))</f>
        <v>qr</v>
      </c>
      <c r="G684" s="10" t="str">
        <f aca="false">INDEX('Site-uri'!$C$2:$C$20,MATCH(A684,'Site-uri'!$A$2:$A$20,0))</f>
        <v>/</v>
      </c>
      <c r="H684" s="10" t="str">
        <f aca="false">Config!$B$3</f>
        <v>2610_ff_lansare</v>
      </c>
      <c r="I684" s="10" t="str">
        <f aca="false">D684&amp;"_"&amp;Config!$B$4</f>
        <v>fierbinte_general</v>
      </c>
      <c r="J684" s="10" t="str">
        <f aca="false">"https://"&amp;B684&amp;G684&amp;"?utm_source="&amp;E684&amp;"&amp;utm_medium="&amp;F684&amp;"&amp;utm_campaign="&amp;H684&amp;"&amp;utm_content="&amp;I684</f>
        <v>https://aireadyinjector.com/?utm_source=qr_print&amp;utm_medium=qr&amp;utm_campaign=2610_ff_lansare&amp;utm_content=fierbinte_general</v>
      </c>
    </row>
    <row r="685" customFormat="false" ht="15" hidden="false" customHeight="false" outlineLevel="0" collapsed="false">
      <c r="A685" s="10" t="s">
        <v>62</v>
      </c>
      <c r="B685" s="10" t="str">
        <f aca="false">INDEX('Site-uri'!$B$2:$B$20,MATCH(A685,'Site-uri'!$A$2:$A$20,0))</f>
        <v>aireadyinjector.com</v>
      </c>
      <c r="C685" s="10" t="s">
        <v>198</v>
      </c>
      <c r="D685" s="10" t="s">
        <v>237</v>
      </c>
      <c r="E685" s="10" t="str">
        <f aca="false">INDEX(Canale!$C$2:$C$30,MATCH(C685,Canale!$A$2:$A$30,0))</f>
        <v>qr_print</v>
      </c>
      <c r="F685" s="10" t="str">
        <f aca="false">INDEX(Canale!$D$2:$D$30,MATCH(C685,Canale!$A$2:$A$30,0))</f>
        <v>qr</v>
      </c>
      <c r="G685" s="10" t="str">
        <f aca="false">INDEX('Site-uri'!$C$2:$C$20,MATCH(A685,'Site-uri'!$A$2:$A$20,0))</f>
        <v>/</v>
      </c>
      <c r="H685" s="10" t="str">
        <f aca="false">Config!$B$3</f>
        <v>2610_ff_lansare</v>
      </c>
      <c r="I685" s="10" t="str">
        <f aca="false">D685&amp;"_"&amp;Config!$B$4</f>
        <v>client_general</v>
      </c>
      <c r="J685" s="10" t="str">
        <f aca="false">"https://"&amp;B685&amp;G685&amp;"?utm_source="&amp;E685&amp;"&amp;utm_medium="&amp;F685&amp;"&amp;utm_campaign="&amp;H685&amp;"&amp;utm_content="&amp;I685</f>
        <v>https://aireadyinjector.com/?utm_source=qr_print&amp;utm_medium=qr&amp;utm_campaign=2610_ff_lansare&amp;utm_content=client_general</v>
      </c>
    </row>
    <row r="686" customFormat="false" ht="15" hidden="false" customHeight="false" outlineLevel="0" collapsed="false">
      <c r="A686" s="10" t="s">
        <v>62</v>
      </c>
      <c r="B686" s="10" t="str">
        <f aca="false">INDEX('Site-uri'!$B$2:$B$20,MATCH(A686,'Site-uri'!$A$2:$A$20,0))</f>
        <v>aireadyinjector.com</v>
      </c>
      <c r="C686" s="10" t="s">
        <v>202</v>
      </c>
      <c r="D686" s="10" t="s">
        <v>219</v>
      </c>
      <c r="E686" s="10" t="str">
        <f aca="false">INDEX(Canale!$C$2:$C$30,MATCH(C686,Canale!$A$2:$A$30,0))</f>
        <v>event</v>
      </c>
      <c r="F686" s="10" t="str">
        <f aca="false">INDEX(Canale!$D$2:$D$30,MATCH(C686,Canale!$A$2:$A$30,0))</f>
        <v>event</v>
      </c>
      <c r="G686" s="10" t="str">
        <f aca="false">INDEX('Site-uri'!$C$2:$C$20,MATCH(A686,'Site-uri'!$A$2:$A$20,0))</f>
        <v>/</v>
      </c>
      <c r="H686" s="10" t="str">
        <f aca="false">Config!$B$3</f>
        <v>2610_ff_lansare</v>
      </c>
      <c r="I686" s="10" t="str">
        <f aca="false">D686&amp;"_"&amp;Config!$B$4</f>
        <v>rece_general</v>
      </c>
      <c r="J686" s="10" t="str">
        <f aca="false">"https://"&amp;B686&amp;G686&amp;"?utm_source="&amp;E686&amp;"&amp;utm_medium="&amp;F686&amp;"&amp;utm_campaign="&amp;H686&amp;"&amp;utm_content="&amp;I686</f>
        <v>https://aireadyinjector.com/?utm_source=event&amp;utm_medium=event&amp;utm_campaign=2610_ff_lansare&amp;utm_content=rece_general</v>
      </c>
    </row>
    <row r="687" customFormat="false" ht="15" hidden="false" customHeight="false" outlineLevel="0" collapsed="false">
      <c r="A687" s="10" t="s">
        <v>62</v>
      </c>
      <c r="B687" s="10" t="str">
        <f aca="false">INDEX('Site-uri'!$B$2:$B$20,MATCH(A687,'Site-uri'!$A$2:$A$20,0))</f>
        <v>aireadyinjector.com</v>
      </c>
      <c r="C687" s="10" t="s">
        <v>202</v>
      </c>
      <c r="D687" s="10" t="s">
        <v>225</v>
      </c>
      <c r="E687" s="10" t="str">
        <f aca="false">INDEX(Canale!$C$2:$C$30,MATCH(C687,Canale!$A$2:$A$30,0))</f>
        <v>event</v>
      </c>
      <c r="F687" s="10" t="str">
        <f aca="false">INDEX(Canale!$D$2:$D$30,MATCH(C687,Canale!$A$2:$A$30,0))</f>
        <v>event</v>
      </c>
      <c r="G687" s="10" t="str">
        <f aca="false">INDEX('Site-uri'!$C$2:$C$20,MATCH(A687,'Site-uri'!$A$2:$A$20,0))</f>
        <v>/</v>
      </c>
      <c r="H687" s="10" t="str">
        <f aca="false">Config!$B$3</f>
        <v>2610_ff_lansare</v>
      </c>
      <c r="I687" s="10" t="str">
        <f aca="false">D687&amp;"_"&amp;Config!$B$4</f>
        <v>cald_general</v>
      </c>
      <c r="J687" s="10" t="str">
        <f aca="false">"https://"&amp;B687&amp;G687&amp;"?utm_source="&amp;E687&amp;"&amp;utm_medium="&amp;F687&amp;"&amp;utm_campaign="&amp;H687&amp;"&amp;utm_content="&amp;I687</f>
        <v>https://aireadyinjector.com/?utm_source=event&amp;utm_medium=event&amp;utm_campaign=2610_ff_lansare&amp;utm_content=cald_general</v>
      </c>
    </row>
    <row r="688" customFormat="false" ht="15" hidden="false" customHeight="false" outlineLevel="0" collapsed="false">
      <c r="A688" s="10" t="s">
        <v>62</v>
      </c>
      <c r="B688" s="10" t="str">
        <f aca="false">INDEX('Site-uri'!$B$2:$B$20,MATCH(A688,'Site-uri'!$A$2:$A$20,0))</f>
        <v>aireadyinjector.com</v>
      </c>
      <c r="C688" s="10" t="s">
        <v>202</v>
      </c>
      <c r="D688" s="10" t="s">
        <v>231</v>
      </c>
      <c r="E688" s="10" t="str">
        <f aca="false">INDEX(Canale!$C$2:$C$30,MATCH(C688,Canale!$A$2:$A$30,0))</f>
        <v>event</v>
      </c>
      <c r="F688" s="10" t="str">
        <f aca="false">INDEX(Canale!$D$2:$D$30,MATCH(C688,Canale!$A$2:$A$30,0))</f>
        <v>event</v>
      </c>
      <c r="G688" s="10" t="str">
        <f aca="false">INDEX('Site-uri'!$C$2:$C$20,MATCH(A688,'Site-uri'!$A$2:$A$20,0))</f>
        <v>/</v>
      </c>
      <c r="H688" s="10" t="str">
        <f aca="false">Config!$B$3</f>
        <v>2610_ff_lansare</v>
      </c>
      <c r="I688" s="10" t="str">
        <f aca="false">D688&amp;"_"&amp;Config!$B$4</f>
        <v>fierbinte_general</v>
      </c>
      <c r="J688" s="10" t="str">
        <f aca="false">"https://"&amp;B688&amp;G688&amp;"?utm_source="&amp;E688&amp;"&amp;utm_medium="&amp;F688&amp;"&amp;utm_campaign="&amp;H688&amp;"&amp;utm_content="&amp;I688</f>
        <v>https://aireadyinjector.com/?utm_source=event&amp;utm_medium=event&amp;utm_campaign=2610_ff_lansare&amp;utm_content=fierbinte_general</v>
      </c>
    </row>
    <row r="689" customFormat="false" ht="15" hidden="false" customHeight="false" outlineLevel="0" collapsed="false">
      <c r="A689" s="10" t="s">
        <v>62</v>
      </c>
      <c r="B689" s="10" t="str">
        <f aca="false">INDEX('Site-uri'!$B$2:$B$20,MATCH(A689,'Site-uri'!$A$2:$A$20,0))</f>
        <v>aireadyinjector.com</v>
      </c>
      <c r="C689" s="10" t="s">
        <v>202</v>
      </c>
      <c r="D689" s="10" t="s">
        <v>237</v>
      </c>
      <c r="E689" s="10" t="str">
        <f aca="false">INDEX(Canale!$C$2:$C$30,MATCH(C689,Canale!$A$2:$A$30,0))</f>
        <v>event</v>
      </c>
      <c r="F689" s="10" t="str">
        <f aca="false">INDEX(Canale!$D$2:$D$30,MATCH(C689,Canale!$A$2:$A$30,0))</f>
        <v>event</v>
      </c>
      <c r="G689" s="10" t="str">
        <f aca="false">INDEX('Site-uri'!$C$2:$C$20,MATCH(A689,'Site-uri'!$A$2:$A$20,0))</f>
        <v>/</v>
      </c>
      <c r="H689" s="10" t="str">
        <f aca="false">Config!$B$3</f>
        <v>2610_ff_lansare</v>
      </c>
      <c r="I689" s="10" t="str">
        <f aca="false">D689&amp;"_"&amp;Config!$B$4</f>
        <v>client_general</v>
      </c>
      <c r="J689" s="10" t="str">
        <f aca="false">"https://"&amp;B689&amp;G689&amp;"?utm_source="&amp;E689&amp;"&amp;utm_medium="&amp;F689&amp;"&amp;utm_campaign="&amp;H689&amp;"&amp;utm_content="&amp;I689</f>
        <v>https://aireadyinjector.com/?utm_source=event&amp;utm_medium=event&amp;utm_campaign=2610_ff_lansare&amp;utm_content=client_general</v>
      </c>
    </row>
    <row r="690" customFormat="false" ht="15" hidden="false" customHeight="false" outlineLevel="0" collapsed="false">
      <c r="A690" s="10" t="s">
        <v>62</v>
      </c>
      <c r="B690" s="10" t="str">
        <f aca="false">INDEX('Site-uri'!$B$2:$B$20,MATCH(A690,'Site-uri'!$A$2:$A$20,0))</f>
        <v>aireadyinjector.com</v>
      </c>
      <c r="C690" s="10" t="s">
        <v>204</v>
      </c>
      <c r="D690" s="10" t="s">
        <v>219</v>
      </c>
      <c r="E690" s="10" t="str">
        <f aca="false">INDEX(Canale!$C$2:$C$30,MATCH(C690,Canale!$A$2:$A$30,0))</f>
        <v>a2a_agent_card</v>
      </c>
      <c r="F690" s="10" t="str">
        <f aca="false">INDEX(Canale!$D$2:$D$30,MATCH(C690,Canale!$A$2:$A$30,0))</f>
        <v>agent</v>
      </c>
      <c r="G690" s="10" t="str">
        <f aca="false">INDEX('Site-uri'!$C$2:$C$20,MATCH(A690,'Site-uri'!$A$2:$A$20,0))</f>
        <v>/</v>
      </c>
      <c r="H690" s="10" t="str">
        <f aca="false">Config!$B$3</f>
        <v>2610_ff_lansare</v>
      </c>
      <c r="I690" s="10" t="str">
        <f aca="false">D690&amp;"_"&amp;Config!$B$4</f>
        <v>rece_general</v>
      </c>
      <c r="J690" s="10" t="str">
        <f aca="false">"https://"&amp;B690&amp;G690&amp;"?utm_source="&amp;E690&amp;"&amp;utm_medium="&amp;F690&amp;"&amp;utm_campaign="&amp;H690&amp;"&amp;utm_content="&amp;I690</f>
        <v>https://aireadyinjector.com/?utm_source=a2a_agent_card&amp;utm_medium=agent&amp;utm_campaign=2610_ff_lansare&amp;utm_content=rece_general</v>
      </c>
    </row>
    <row r="691" customFormat="false" ht="15" hidden="false" customHeight="false" outlineLevel="0" collapsed="false">
      <c r="A691" s="10" t="s">
        <v>62</v>
      </c>
      <c r="B691" s="10" t="str">
        <f aca="false">INDEX('Site-uri'!$B$2:$B$20,MATCH(A691,'Site-uri'!$A$2:$A$20,0))</f>
        <v>aireadyinjector.com</v>
      </c>
      <c r="C691" s="10" t="s">
        <v>204</v>
      </c>
      <c r="D691" s="10" t="s">
        <v>225</v>
      </c>
      <c r="E691" s="10" t="str">
        <f aca="false">INDEX(Canale!$C$2:$C$30,MATCH(C691,Canale!$A$2:$A$30,0))</f>
        <v>a2a_agent_card</v>
      </c>
      <c r="F691" s="10" t="str">
        <f aca="false">INDEX(Canale!$D$2:$D$30,MATCH(C691,Canale!$A$2:$A$30,0))</f>
        <v>agent</v>
      </c>
      <c r="G691" s="10" t="str">
        <f aca="false">INDEX('Site-uri'!$C$2:$C$20,MATCH(A691,'Site-uri'!$A$2:$A$20,0))</f>
        <v>/</v>
      </c>
      <c r="H691" s="10" t="str">
        <f aca="false">Config!$B$3</f>
        <v>2610_ff_lansare</v>
      </c>
      <c r="I691" s="10" t="str">
        <f aca="false">D691&amp;"_"&amp;Config!$B$4</f>
        <v>cald_general</v>
      </c>
      <c r="J691" s="10" t="str">
        <f aca="false">"https://"&amp;B691&amp;G691&amp;"?utm_source="&amp;E691&amp;"&amp;utm_medium="&amp;F691&amp;"&amp;utm_campaign="&amp;H691&amp;"&amp;utm_content="&amp;I691</f>
        <v>https://aireadyinjector.com/?utm_source=a2a_agent_card&amp;utm_medium=agent&amp;utm_campaign=2610_ff_lansare&amp;utm_content=cald_general</v>
      </c>
    </row>
    <row r="692" customFormat="false" ht="15" hidden="false" customHeight="false" outlineLevel="0" collapsed="false">
      <c r="A692" s="10" t="s">
        <v>62</v>
      </c>
      <c r="B692" s="10" t="str">
        <f aca="false">INDEX('Site-uri'!$B$2:$B$20,MATCH(A692,'Site-uri'!$A$2:$A$20,0))</f>
        <v>aireadyinjector.com</v>
      </c>
      <c r="C692" s="10" t="s">
        <v>204</v>
      </c>
      <c r="D692" s="10" t="s">
        <v>231</v>
      </c>
      <c r="E692" s="10" t="str">
        <f aca="false">INDEX(Canale!$C$2:$C$30,MATCH(C692,Canale!$A$2:$A$30,0))</f>
        <v>a2a_agent_card</v>
      </c>
      <c r="F692" s="10" t="str">
        <f aca="false">INDEX(Canale!$D$2:$D$30,MATCH(C692,Canale!$A$2:$A$30,0))</f>
        <v>agent</v>
      </c>
      <c r="G692" s="10" t="str">
        <f aca="false">INDEX('Site-uri'!$C$2:$C$20,MATCH(A692,'Site-uri'!$A$2:$A$20,0))</f>
        <v>/</v>
      </c>
      <c r="H692" s="10" t="str">
        <f aca="false">Config!$B$3</f>
        <v>2610_ff_lansare</v>
      </c>
      <c r="I692" s="10" t="str">
        <f aca="false">D692&amp;"_"&amp;Config!$B$4</f>
        <v>fierbinte_general</v>
      </c>
      <c r="J692" s="10" t="str">
        <f aca="false">"https://"&amp;B692&amp;G692&amp;"?utm_source="&amp;E692&amp;"&amp;utm_medium="&amp;F692&amp;"&amp;utm_campaign="&amp;H692&amp;"&amp;utm_content="&amp;I692</f>
        <v>https://aireadyinjector.com/?utm_source=a2a_agent_card&amp;utm_medium=agent&amp;utm_campaign=2610_ff_lansare&amp;utm_content=fierbinte_general</v>
      </c>
    </row>
    <row r="693" customFormat="false" ht="15" hidden="false" customHeight="false" outlineLevel="0" collapsed="false">
      <c r="A693" s="10" t="s">
        <v>62</v>
      </c>
      <c r="B693" s="10" t="str">
        <f aca="false">INDEX('Site-uri'!$B$2:$B$20,MATCH(A693,'Site-uri'!$A$2:$A$20,0))</f>
        <v>aireadyinjector.com</v>
      </c>
      <c r="C693" s="10" t="s">
        <v>204</v>
      </c>
      <c r="D693" s="10" t="s">
        <v>237</v>
      </c>
      <c r="E693" s="10" t="str">
        <f aca="false">INDEX(Canale!$C$2:$C$30,MATCH(C693,Canale!$A$2:$A$30,0))</f>
        <v>a2a_agent_card</v>
      </c>
      <c r="F693" s="10" t="str">
        <f aca="false">INDEX(Canale!$D$2:$D$30,MATCH(C693,Canale!$A$2:$A$30,0))</f>
        <v>agent</v>
      </c>
      <c r="G693" s="10" t="str">
        <f aca="false">INDEX('Site-uri'!$C$2:$C$20,MATCH(A693,'Site-uri'!$A$2:$A$20,0))</f>
        <v>/</v>
      </c>
      <c r="H693" s="10" t="str">
        <f aca="false">Config!$B$3</f>
        <v>2610_ff_lansare</v>
      </c>
      <c r="I693" s="10" t="str">
        <f aca="false">D693&amp;"_"&amp;Config!$B$4</f>
        <v>client_general</v>
      </c>
      <c r="J693" s="10" t="str">
        <f aca="false">"https://"&amp;B693&amp;G693&amp;"?utm_source="&amp;E693&amp;"&amp;utm_medium="&amp;F693&amp;"&amp;utm_campaign="&amp;H693&amp;"&amp;utm_content="&amp;I693</f>
        <v>https://aireadyinjector.com/?utm_source=a2a_agent_card&amp;utm_medium=agent&amp;utm_campaign=2610_ff_lansare&amp;utm_content=client_general</v>
      </c>
    </row>
    <row r="694" customFormat="false" ht="15" hidden="false" customHeight="false" outlineLevel="0" collapsed="false">
      <c r="A694" s="10" t="s">
        <v>62</v>
      </c>
      <c r="B694" s="10" t="str">
        <f aca="false">INDEX('Site-uri'!$B$2:$B$20,MATCH(A694,'Site-uri'!$A$2:$A$20,0))</f>
        <v>aireadyinjector.com</v>
      </c>
      <c r="C694" s="10" t="s">
        <v>209</v>
      </c>
      <c r="D694" s="10" t="s">
        <v>219</v>
      </c>
      <c r="E694" s="10" t="str">
        <f aca="false">INDEX(Canale!$C$2:$C$30,MATCH(C694,Canale!$A$2:$A$30,0))</f>
        <v>llms_txt</v>
      </c>
      <c r="F694" s="10" t="str">
        <f aca="false">INDEX(Canale!$D$2:$D$30,MATCH(C694,Canale!$A$2:$A$30,0))</f>
        <v>ai_web</v>
      </c>
      <c r="G694" s="10" t="str">
        <f aca="false">INDEX('Site-uri'!$C$2:$C$20,MATCH(A694,'Site-uri'!$A$2:$A$20,0))</f>
        <v>/</v>
      </c>
      <c r="H694" s="10" t="str">
        <f aca="false">Config!$B$3</f>
        <v>2610_ff_lansare</v>
      </c>
      <c r="I694" s="10" t="str">
        <f aca="false">D694&amp;"_"&amp;Config!$B$4</f>
        <v>rece_general</v>
      </c>
      <c r="J694" s="10" t="str">
        <f aca="false">"https://"&amp;B694&amp;G694&amp;"?utm_source="&amp;E694&amp;"&amp;utm_medium="&amp;F694&amp;"&amp;utm_campaign="&amp;H694&amp;"&amp;utm_content="&amp;I694</f>
        <v>https://aireadyinjector.com/?utm_source=llms_txt&amp;utm_medium=ai_web&amp;utm_campaign=2610_ff_lansare&amp;utm_content=rece_general</v>
      </c>
    </row>
    <row r="695" customFormat="false" ht="15" hidden="false" customHeight="false" outlineLevel="0" collapsed="false">
      <c r="A695" s="10" t="s">
        <v>62</v>
      </c>
      <c r="B695" s="10" t="str">
        <f aca="false">INDEX('Site-uri'!$B$2:$B$20,MATCH(A695,'Site-uri'!$A$2:$A$20,0))</f>
        <v>aireadyinjector.com</v>
      </c>
      <c r="C695" s="10" t="s">
        <v>209</v>
      </c>
      <c r="D695" s="10" t="s">
        <v>225</v>
      </c>
      <c r="E695" s="10" t="str">
        <f aca="false">INDEX(Canale!$C$2:$C$30,MATCH(C695,Canale!$A$2:$A$30,0))</f>
        <v>llms_txt</v>
      </c>
      <c r="F695" s="10" t="str">
        <f aca="false">INDEX(Canale!$D$2:$D$30,MATCH(C695,Canale!$A$2:$A$30,0))</f>
        <v>ai_web</v>
      </c>
      <c r="G695" s="10" t="str">
        <f aca="false">INDEX('Site-uri'!$C$2:$C$20,MATCH(A695,'Site-uri'!$A$2:$A$20,0))</f>
        <v>/</v>
      </c>
      <c r="H695" s="10" t="str">
        <f aca="false">Config!$B$3</f>
        <v>2610_ff_lansare</v>
      </c>
      <c r="I695" s="10" t="str">
        <f aca="false">D695&amp;"_"&amp;Config!$B$4</f>
        <v>cald_general</v>
      </c>
      <c r="J695" s="10" t="str">
        <f aca="false">"https://"&amp;B695&amp;G695&amp;"?utm_source="&amp;E695&amp;"&amp;utm_medium="&amp;F695&amp;"&amp;utm_campaign="&amp;H695&amp;"&amp;utm_content="&amp;I695</f>
        <v>https://aireadyinjector.com/?utm_source=llms_txt&amp;utm_medium=ai_web&amp;utm_campaign=2610_ff_lansare&amp;utm_content=cald_general</v>
      </c>
    </row>
    <row r="696" customFormat="false" ht="15" hidden="false" customHeight="false" outlineLevel="0" collapsed="false">
      <c r="A696" s="10" t="s">
        <v>62</v>
      </c>
      <c r="B696" s="10" t="str">
        <f aca="false">INDEX('Site-uri'!$B$2:$B$20,MATCH(A696,'Site-uri'!$A$2:$A$20,0))</f>
        <v>aireadyinjector.com</v>
      </c>
      <c r="C696" s="10" t="s">
        <v>209</v>
      </c>
      <c r="D696" s="10" t="s">
        <v>231</v>
      </c>
      <c r="E696" s="10" t="str">
        <f aca="false">INDEX(Canale!$C$2:$C$30,MATCH(C696,Canale!$A$2:$A$30,0))</f>
        <v>llms_txt</v>
      </c>
      <c r="F696" s="10" t="str">
        <f aca="false">INDEX(Canale!$D$2:$D$30,MATCH(C696,Canale!$A$2:$A$30,0))</f>
        <v>ai_web</v>
      </c>
      <c r="G696" s="10" t="str">
        <f aca="false">INDEX('Site-uri'!$C$2:$C$20,MATCH(A696,'Site-uri'!$A$2:$A$20,0))</f>
        <v>/</v>
      </c>
      <c r="H696" s="10" t="str">
        <f aca="false">Config!$B$3</f>
        <v>2610_ff_lansare</v>
      </c>
      <c r="I696" s="10" t="str">
        <f aca="false">D696&amp;"_"&amp;Config!$B$4</f>
        <v>fierbinte_general</v>
      </c>
      <c r="J696" s="10" t="str">
        <f aca="false">"https://"&amp;B696&amp;G696&amp;"?utm_source="&amp;E696&amp;"&amp;utm_medium="&amp;F696&amp;"&amp;utm_campaign="&amp;H696&amp;"&amp;utm_content="&amp;I696</f>
        <v>https://aireadyinjector.com/?utm_source=llms_txt&amp;utm_medium=ai_web&amp;utm_campaign=2610_ff_lansare&amp;utm_content=fierbinte_general</v>
      </c>
    </row>
    <row r="697" customFormat="false" ht="15" hidden="false" customHeight="false" outlineLevel="0" collapsed="false">
      <c r="A697" s="10" t="s">
        <v>62</v>
      </c>
      <c r="B697" s="10" t="str">
        <f aca="false">INDEX('Site-uri'!$B$2:$B$20,MATCH(A697,'Site-uri'!$A$2:$A$20,0))</f>
        <v>aireadyinjector.com</v>
      </c>
      <c r="C697" s="10" t="s">
        <v>209</v>
      </c>
      <c r="D697" s="10" t="s">
        <v>237</v>
      </c>
      <c r="E697" s="10" t="str">
        <f aca="false">INDEX(Canale!$C$2:$C$30,MATCH(C697,Canale!$A$2:$A$30,0))</f>
        <v>llms_txt</v>
      </c>
      <c r="F697" s="10" t="str">
        <f aca="false">INDEX(Canale!$D$2:$D$30,MATCH(C697,Canale!$A$2:$A$30,0))</f>
        <v>ai_web</v>
      </c>
      <c r="G697" s="10" t="str">
        <f aca="false">INDEX('Site-uri'!$C$2:$C$20,MATCH(A697,'Site-uri'!$A$2:$A$20,0))</f>
        <v>/</v>
      </c>
      <c r="H697" s="10" t="str">
        <f aca="false">Config!$B$3</f>
        <v>2610_ff_lansare</v>
      </c>
      <c r="I697" s="10" t="str">
        <f aca="false">D697&amp;"_"&amp;Config!$B$4</f>
        <v>client_general</v>
      </c>
      <c r="J697" s="10" t="str">
        <f aca="false">"https://"&amp;B697&amp;G697&amp;"?utm_source="&amp;E697&amp;"&amp;utm_medium="&amp;F697&amp;"&amp;utm_campaign="&amp;H697&amp;"&amp;utm_content="&amp;I697</f>
        <v>https://aireadyinjector.com/?utm_source=llms_txt&amp;utm_medium=ai_web&amp;utm_campaign=2610_ff_lansare&amp;utm_content=client_general</v>
      </c>
    </row>
    <row r="698" customFormat="false" ht="15" hidden="false" customHeight="false" outlineLevel="0" collapsed="false">
      <c r="A698" s="10" t="s">
        <v>65</v>
      </c>
      <c r="B698" s="10" t="str">
        <f aca="false">INDEX('Site-uri'!$B$2:$B$20,MATCH(A698,'Site-uri'!$A$2:$A$20,0))</f>
        <v>eu-ai-audit.eu</v>
      </c>
      <c r="C698" s="10" t="s">
        <v>104</v>
      </c>
      <c r="D698" s="10" t="s">
        <v>219</v>
      </c>
      <c r="E698" s="10" t="str">
        <f aca="false">INDEX(Canale!$C$2:$C$30,MATCH(C698,Canale!$A$2:$A$30,0))</f>
        <v>linkedin_personal</v>
      </c>
      <c r="F698" s="10" t="str">
        <f aca="false">INDEX(Canale!$D$2:$D$30,MATCH(C698,Canale!$A$2:$A$30,0))</f>
        <v>social</v>
      </c>
      <c r="G698" s="10" t="str">
        <f aca="false">INDEX('Site-uri'!$C$2:$C$20,MATCH(A698,'Site-uri'!$A$2:$A$20,0))</f>
        <v>/</v>
      </c>
      <c r="H698" s="10" t="str">
        <f aca="false">Config!$B$3</f>
        <v>2610_ff_lansare</v>
      </c>
      <c r="I698" s="10" t="str">
        <f aca="false">D698&amp;"_"&amp;Config!$B$4</f>
        <v>rece_general</v>
      </c>
      <c r="J698" s="10" t="str">
        <f aca="false">"https://"&amp;B698&amp;G698&amp;"?utm_source="&amp;E698&amp;"&amp;utm_medium="&amp;F698&amp;"&amp;utm_campaign="&amp;H698&amp;"&amp;utm_content="&amp;I698</f>
        <v>https://eu-ai-audit.eu/?utm_source=linkedin_personal&amp;utm_medium=social&amp;utm_campaign=2610_ff_lansare&amp;utm_content=rece_general</v>
      </c>
    </row>
    <row r="699" customFormat="false" ht="15" hidden="false" customHeight="false" outlineLevel="0" collapsed="false">
      <c r="A699" s="10" t="s">
        <v>65</v>
      </c>
      <c r="B699" s="10" t="str">
        <f aca="false">INDEX('Site-uri'!$B$2:$B$20,MATCH(A699,'Site-uri'!$A$2:$A$20,0))</f>
        <v>eu-ai-audit.eu</v>
      </c>
      <c r="C699" s="10" t="s">
        <v>104</v>
      </c>
      <c r="D699" s="10" t="s">
        <v>225</v>
      </c>
      <c r="E699" s="10" t="str">
        <f aca="false">INDEX(Canale!$C$2:$C$30,MATCH(C699,Canale!$A$2:$A$30,0))</f>
        <v>linkedin_personal</v>
      </c>
      <c r="F699" s="10" t="str">
        <f aca="false">INDEX(Canale!$D$2:$D$30,MATCH(C699,Canale!$A$2:$A$30,0))</f>
        <v>social</v>
      </c>
      <c r="G699" s="10" t="str">
        <f aca="false">INDEX('Site-uri'!$C$2:$C$20,MATCH(A699,'Site-uri'!$A$2:$A$20,0))</f>
        <v>/</v>
      </c>
      <c r="H699" s="10" t="str">
        <f aca="false">Config!$B$3</f>
        <v>2610_ff_lansare</v>
      </c>
      <c r="I699" s="10" t="str">
        <f aca="false">D699&amp;"_"&amp;Config!$B$4</f>
        <v>cald_general</v>
      </c>
      <c r="J699" s="10" t="str">
        <f aca="false">"https://"&amp;B699&amp;G699&amp;"?utm_source="&amp;E699&amp;"&amp;utm_medium="&amp;F699&amp;"&amp;utm_campaign="&amp;H699&amp;"&amp;utm_content="&amp;I699</f>
        <v>https://eu-ai-audit.eu/?utm_source=linkedin_personal&amp;utm_medium=social&amp;utm_campaign=2610_ff_lansare&amp;utm_content=cald_general</v>
      </c>
    </row>
    <row r="700" customFormat="false" ht="15" hidden="false" customHeight="false" outlineLevel="0" collapsed="false">
      <c r="A700" s="10" t="s">
        <v>65</v>
      </c>
      <c r="B700" s="10" t="str">
        <f aca="false">INDEX('Site-uri'!$B$2:$B$20,MATCH(A700,'Site-uri'!$A$2:$A$20,0))</f>
        <v>eu-ai-audit.eu</v>
      </c>
      <c r="C700" s="10" t="s">
        <v>104</v>
      </c>
      <c r="D700" s="10" t="s">
        <v>231</v>
      </c>
      <c r="E700" s="10" t="str">
        <f aca="false">INDEX(Canale!$C$2:$C$30,MATCH(C700,Canale!$A$2:$A$30,0))</f>
        <v>linkedin_personal</v>
      </c>
      <c r="F700" s="10" t="str">
        <f aca="false">INDEX(Canale!$D$2:$D$30,MATCH(C700,Canale!$A$2:$A$30,0))</f>
        <v>social</v>
      </c>
      <c r="G700" s="10" t="str">
        <f aca="false">INDEX('Site-uri'!$C$2:$C$20,MATCH(A700,'Site-uri'!$A$2:$A$20,0))</f>
        <v>/</v>
      </c>
      <c r="H700" s="10" t="str">
        <f aca="false">Config!$B$3</f>
        <v>2610_ff_lansare</v>
      </c>
      <c r="I700" s="10" t="str">
        <f aca="false">D700&amp;"_"&amp;Config!$B$4</f>
        <v>fierbinte_general</v>
      </c>
      <c r="J700" s="10" t="str">
        <f aca="false">"https://"&amp;B700&amp;G700&amp;"?utm_source="&amp;E700&amp;"&amp;utm_medium="&amp;F700&amp;"&amp;utm_campaign="&amp;H700&amp;"&amp;utm_content="&amp;I700</f>
        <v>https://eu-ai-audit.eu/?utm_source=linkedin_personal&amp;utm_medium=social&amp;utm_campaign=2610_ff_lansare&amp;utm_content=fierbinte_general</v>
      </c>
    </row>
    <row r="701" customFormat="false" ht="15" hidden="false" customHeight="false" outlineLevel="0" collapsed="false">
      <c r="A701" s="10" t="s">
        <v>65</v>
      </c>
      <c r="B701" s="10" t="str">
        <f aca="false">INDEX('Site-uri'!$B$2:$B$20,MATCH(A701,'Site-uri'!$A$2:$A$20,0))</f>
        <v>eu-ai-audit.eu</v>
      </c>
      <c r="C701" s="10" t="s">
        <v>104</v>
      </c>
      <c r="D701" s="10" t="s">
        <v>237</v>
      </c>
      <c r="E701" s="10" t="str">
        <f aca="false">INDEX(Canale!$C$2:$C$30,MATCH(C701,Canale!$A$2:$A$30,0))</f>
        <v>linkedin_personal</v>
      </c>
      <c r="F701" s="10" t="str">
        <f aca="false">INDEX(Canale!$D$2:$D$30,MATCH(C701,Canale!$A$2:$A$30,0))</f>
        <v>social</v>
      </c>
      <c r="G701" s="10" t="str">
        <f aca="false">INDEX('Site-uri'!$C$2:$C$20,MATCH(A701,'Site-uri'!$A$2:$A$20,0))</f>
        <v>/</v>
      </c>
      <c r="H701" s="10" t="str">
        <f aca="false">Config!$B$3</f>
        <v>2610_ff_lansare</v>
      </c>
      <c r="I701" s="10" t="str">
        <f aca="false">D701&amp;"_"&amp;Config!$B$4</f>
        <v>client_general</v>
      </c>
      <c r="J701" s="10" t="str">
        <f aca="false">"https://"&amp;B701&amp;G701&amp;"?utm_source="&amp;E701&amp;"&amp;utm_medium="&amp;F701&amp;"&amp;utm_campaign="&amp;H701&amp;"&amp;utm_content="&amp;I701</f>
        <v>https://eu-ai-audit.eu/?utm_source=linkedin_personal&amp;utm_medium=social&amp;utm_campaign=2610_ff_lansare&amp;utm_content=client_general</v>
      </c>
    </row>
    <row r="702" customFormat="false" ht="15" hidden="false" customHeight="false" outlineLevel="0" collapsed="false">
      <c r="A702" s="10" t="s">
        <v>65</v>
      </c>
      <c r="B702" s="10" t="str">
        <f aca="false">INDEX('Site-uri'!$B$2:$B$20,MATCH(A702,'Site-uri'!$A$2:$A$20,0))</f>
        <v>eu-ai-audit.eu</v>
      </c>
      <c r="C702" s="10" t="s">
        <v>109</v>
      </c>
      <c r="D702" s="10" t="s">
        <v>219</v>
      </c>
      <c r="E702" s="10" t="str">
        <f aca="false">INDEX(Canale!$C$2:$C$30,MATCH(C702,Canale!$A$2:$A$30,0))</f>
        <v>linkedin_company</v>
      </c>
      <c r="F702" s="10" t="str">
        <f aca="false">INDEX(Canale!$D$2:$D$30,MATCH(C702,Canale!$A$2:$A$30,0))</f>
        <v>social</v>
      </c>
      <c r="G702" s="10" t="str">
        <f aca="false">INDEX('Site-uri'!$C$2:$C$20,MATCH(A702,'Site-uri'!$A$2:$A$20,0))</f>
        <v>/</v>
      </c>
      <c r="H702" s="10" t="str">
        <f aca="false">Config!$B$3</f>
        <v>2610_ff_lansare</v>
      </c>
      <c r="I702" s="10" t="str">
        <f aca="false">D702&amp;"_"&amp;Config!$B$4</f>
        <v>rece_general</v>
      </c>
      <c r="J702" s="10" t="str">
        <f aca="false">"https://"&amp;B702&amp;G702&amp;"?utm_source="&amp;E702&amp;"&amp;utm_medium="&amp;F702&amp;"&amp;utm_campaign="&amp;H702&amp;"&amp;utm_content="&amp;I702</f>
        <v>https://eu-ai-audit.eu/?utm_source=linkedin_company&amp;utm_medium=social&amp;utm_campaign=2610_ff_lansare&amp;utm_content=rece_general</v>
      </c>
    </row>
    <row r="703" customFormat="false" ht="15" hidden="false" customHeight="false" outlineLevel="0" collapsed="false">
      <c r="A703" s="10" t="s">
        <v>65</v>
      </c>
      <c r="B703" s="10" t="str">
        <f aca="false">INDEX('Site-uri'!$B$2:$B$20,MATCH(A703,'Site-uri'!$A$2:$A$20,0))</f>
        <v>eu-ai-audit.eu</v>
      </c>
      <c r="C703" s="10" t="s">
        <v>109</v>
      </c>
      <c r="D703" s="10" t="s">
        <v>225</v>
      </c>
      <c r="E703" s="10" t="str">
        <f aca="false">INDEX(Canale!$C$2:$C$30,MATCH(C703,Canale!$A$2:$A$30,0))</f>
        <v>linkedin_company</v>
      </c>
      <c r="F703" s="10" t="str">
        <f aca="false">INDEX(Canale!$D$2:$D$30,MATCH(C703,Canale!$A$2:$A$30,0))</f>
        <v>social</v>
      </c>
      <c r="G703" s="10" t="str">
        <f aca="false">INDEX('Site-uri'!$C$2:$C$20,MATCH(A703,'Site-uri'!$A$2:$A$20,0))</f>
        <v>/</v>
      </c>
      <c r="H703" s="10" t="str">
        <f aca="false">Config!$B$3</f>
        <v>2610_ff_lansare</v>
      </c>
      <c r="I703" s="10" t="str">
        <f aca="false">D703&amp;"_"&amp;Config!$B$4</f>
        <v>cald_general</v>
      </c>
      <c r="J703" s="10" t="str">
        <f aca="false">"https://"&amp;B703&amp;G703&amp;"?utm_source="&amp;E703&amp;"&amp;utm_medium="&amp;F703&amp;"&amp;utm_campaign="&amp;H703&amp;"&amp;utm_content="&amp;I703</f>
        <v>https://eu-ai-audit.eu/?utm_source=linkedin_company&amp;utm_medium=social&amp;utm_campaign=2610_ff_lansare&amp;utm_content=cald_general</v>
      </c>
    </row>
    <row r="704" customFormat="false" ht="15" hidden="false" customHeight="false" outlineLevel="0" collapsed="false">
      <c r="A704" s="10" t="s">
        <v>65</v>
      </c>
      <c r="B704" s="10" t="str">
        <f aca="false">INDEX('Site-uri'!$B$2:$B$20,MATCH(A704,'Site-uri'!$A$2:$A$20,0))</f>
        <v>eu-ai-audit.eu</v>
      </c>
      <c r="C704" s="10" t="s">
        <v>109</v>
      </c>
      <c r="D704" s="10" t="s">
        <v>231</v>
      </c>
      <c r="E704" s="10" t="str">
        <f aca="false">INDEX(Canale!$C$2:$C$30,MATCH(C704,Canale!$A$2:$A$30,0))</f>
        <v>linkedin_company</v>
      </c>
      <c r="F704" s="10" t="str">
        <f aca="false">INDEX(Canale!$D$2:$D$30,MATCH(C704,Canale!$A$2:$A$30,0))</f>
        <v>social</v>
      </c>
      <c r="G704" s="10" t="str">
        <f aca="false">INDEX('Site-uri'!$C$2:$C$20,MATCH(A704,'Site-uri'!$A$2:$A$20,0))</f>
        <v>/</v>
      </c>
      <c r="H704" s="10" t="str">
        <f aca="false">Config!$B$3</f>
        <v>2610_ff_lansare</v>
      </c>
      <c r="I704" s="10" t="str">
        <f aca="false">D704&amp;"_"&amp;Config!$B$4</f>
        <v>fierbinte_general</v>
      </c>
      <c r="J704" s="10" t="str">
        <f aca="false">"https://"&amp;B704&amp;G704&amp;"?utm_source="&amp;E704&amp;"&amp;utm_medium="&amp;F704&amp;"&amp;utm_campaign="&amp;H704&amp;"&amp;utm_content="&amp;I704</f>
        <v>https://eu-ai-audit.eu/?utm_source=linkedin_company&amp;utm_medium=social&amp;utm_campaign=2610_ff_lansare&amp;utm_content=fierbinte_general</v>
      </c>
    </row>
    <row r="705" customFormat="false" ht="15" hidden="false" customHeight="false" outlineLevel="0" collapsed="false">
      <c r="A705" s="10" t="s">
        <v>65</v>
      </c>
      <c r="B705" s="10" t="str">
        <f aca="false">INDEX('Site-uri'!$B$2:$B$20,MATCH(A705,'Site-uri'!$A$2:$A$20,0))</f>
        <v>eu-ai-audit.eu</v>
      </c>
      <c r="C705" s="10" t="s">
        <v>109</v>
      </c>
      <c r="D705" s="10" t="s">
        <v>237</v>
      </c>
      <c r="E705" s="10" t="str">
        <f aca="false">INDEX(Canale!$C$2:$C$30,MATCH(C705,Canale!$A$2:$A$30,0))</f>
        <v>linkedin_company</v>
      </c>
      <c r="F705" s="10" t="str">
        <f aca="false">INDEX(Canale!$D$2:$D$30,MATCH(C705,Canale!$A$2:$A$30,0))</f>
        <v>social</v>
      </c>
      <c r="G705" s="10" t="str">
        <f aca="false">INDEX('Site-uri'!$C$2:$C$20,MATCH(A705,'Site-uri'!$A$2:$A$20,0))</f>
        <v>/</v>
      </c>
      <c r="H705" s="10" t="str">
        <f aca="false">Config!$B$3</f>
        <v>2610_ff_lansare</v>
      </c>
      <c r="I705" s="10" t="str">
        <f aca="false">D705&amp;"_"&amp;Config!$B$4</f>
        <v>client_general</v>
      </c>
      <c r="J705" s="10" t="str">
        <f aca="false">"https://"&amp;B705&amp;G705&amp;"?utm_source="&amp;E705&amp;"&amp;utm_medium="&amp;F705&amp;"&amp;utm_campaign="&amp;H705&amp;"&amp;utm_content="&amp;I705</f>
        <v>https://eu-ai-audit.eu/?utm_source=linkedin_company&amp;utm_medium=social&amp;utm_campaign=2610_ff_lansare&amp;utm_content=client_general</v>
      </c>
    </row>
    <row r="706" customFormat="false" ht="15" hidden="false" customHeight="false" outlineLevel="0" collapsed="false">
      <c r="A706" s="10" t="s">
        <v>65</v>
      </c>
      <c r="B706" s="10" t="str">
        <f aca="false">INDEX('Site-uri'!$B$2:$B$20,MATCH(A706,'Site-uri'!$A$2:$A$20,0))</f>
        <v>eu-ai-audit.eu</v>
      </c>
      <c r="C706" s="10" t="s">
        <v>112</v>
      </c>
      <c r="D706" s="10" t="s">
        <v>219</v>
      </c>
      <c r="E706" s="10" t="str">
        <f aca="false">INDEX(Canale!$C$2:$C$30,MATCH(C706,Canale!$A$2:$A$30,0))</f>
        <v>linkedin_showcase</v>
      </c>
      <c r="F706" s="10" t="str">
        <f aca="false">INDEX(Canale!$D$2:$D$30,MATCH(C706,Canale!$A$2:$A$30,0))</f>
        <v>social</v>
      </c>
      <c r="G706" s="10" t="str">
        <f aca="false">INDEX('Site-uri'!$C$2:$C$20,MATCH(A706,'Site-uri'!$A$2:$A$20,0))</f>
        <v>/</v>
      </c>
      <c r="H706" s="10" t="str">
        <f aca="false">Config!$B$3</f>
        <v>2610_ff_lansare</v>
      </c>
      <c r="I706" s="10" t="str">
        <f aca="false">D706&amp;"_"&amp;Config!$B$4</f>
        <v>rece_general</v>
      </c>
      <c r="J706" s="10" t="str">
        <f aca="false">"https://"&amp;B706&amp;G706&amp;"?utm_source="&amp;E706&amp;"&amp;utm_medium="&amp;F706&amp;"&amp;utm_campaign="&amp;H706&amp;"&amp;utm_content="&amp;I706</f>
        <v>https://eu-ai-audit.eu/?utm_source=linkedin_showcase&amp;utm_medium=social&amp;utm_campaign=2610_ff_lansare&amp;utm_content=rece_general</v>
      </c>
    </row>
    <row r="707" customFormat="false" ht="15" hidden="false" customHeight="false" outlineLevel="0" collapsed="false">
      <c r="A707" s="10" t="s">
        <v>65</v>
      </c>
      <c r="B707" s="10" t="str">
        <f aca="false">INDEX('Site-uri'!$B$2:$B$20,MATCH(A707,'Site-uri'!$A$2:$A$20,0))</f>
        <v>eu-ai-audit.eu</v>
      </c>
      <c r="C707" s="10" t="s">
        <v>112</v>
      </c>
      <c r="D707" s="10" t="s">
        <v>225</v>
      </c>
      <c r="E707" s="10" t="str">
        <f aca="false">INDEX(Canale!$C$2:$C$30,MATCH(C707,Canale!$A$2:$A$30,0))</f>
        <v>linkedin_showcase</v>
      </c>
      <c r="F707" s="10" t="str">
        <f aca="false">INDEX(Canale!$D$2:$D$30,MATCH(C707,Canale!$A$2:$A$30,0))</f>
        <v>social</v>
      </c>
      <c r="G707" s="10" t="str">
        <f aca="false">INDEX('Site-uri'!$C$2:$C$20,MATCH(A707,'Site-uri'!$A$2:$A$20,0))</f>
        <v>/</v>
      </c>
      <c r="H707" s="10" t="str">
        <f aca="false">Config!$B$3</f>
        <v>2610_ff_lansare</v>
      </c>
      <c r="I707" s="10" t="str">
        <f aca="false">D707&amp;"_"&amp;Config!$B$4</f>
        <v>cald_general</v>
      </c>
      <c r="J707" s="10" t="str">
        <f aca="false">"https://"&amp;B707&amp;G707&amp;"?utm_source="&amp;E707&amp;"&amp;utm_medium="&amp;F707&amp;"&amp;utm_campaign="&amp;H707&amp;"&amp;utm_content="&amp;I707</f>
        <v>https://eu-ai-audit.eu/?utm_source=linkedin_showcase&amp;utm_medium=social&amp;utm_campaign=2610_ff_lansare&amp;utm_content=cald_general</v>
      </c>
    </row>
    <row r="708" customFormat="false" ht="15" hidden="false" customHeight="false" outlineLevel="0" collapsed="false">
      <c r="A708" s="10" t="s">
        <v>65</v>
      </c>
      <c r="B708" s="10" t="str">
        <f aca="false">INDEX('Site-uri'!$B$2:$B$20,MATCH(A708,'Site-uri'!$A$2:$A$20,0))</f>
        <v>eu-ai-audit.eu</v>
      </c>
      <c r="C708" s="10" t="s">
        <v>112</v>
      </c>
      <c r="D708" s="10" t="s">
        <v>231</v>
      </c>
      <c r="E708" s="10" t="str">
        <f aca="false">INDEX(Canale!$C$2:$C$30,MATCH(C708,Canale!$A$2:$A$30,0))</f>
        <v>linkedin_showcase</v>
      </c>
      <c r="F708" s="10" t="str">
        <f aca="false">INDEX(Canale!$D$2:$D$30,MATCH(C708,Canale!$A$2:$A$30,0))</f>
        <v>social</v>
      </c>
      <c r="G708" s="10" t="str">
        <f aca="false">INDEX('Site-uri'!$C$2:$C$20,MATCH(A708,'Site-uri'!$A$2:$A$20,0))</f>
        <v>/</v>
      </c>
      <c r="H708" s="10" t="str">
        <f aca="false">Config!$B$3</f>
        <v>2610_ff_lansare</v>
      </c>
      <c r="I708" s="10" t="str">
        <f aca="false">D708&amp;"_"&amp;Config!$B$4</f>
        <v>fierbinte_general</v>
      </c>
      <c r="J708" s="10" t="str">
        <f aca="false">"https://"&amp;B708&amp;G708&amp;"?utm_source="&amp;E708&amp;"&amp;utm_medium="&amp;F708&amp;"&amp;utm_campaign="&amp;H708&amp;"&amp;utm_content="&amp;I708</f>
        <v>https://eu-ai-audit.eu/?utm_source=linkedin_showcase&amp;utm_medium=social&amp;utm_campaign=2610_ff_lansare&amp;utm_content=fierbinte_general</v>
      </c>
    </row>
    <row r="709" customFormat="false" ht="15" hidden="false" customHeight="false" outlineLevel="0" collapsed="false">
      <c r="A709" s="10" t="s">
        <v>65</v>
      </c>
      <c r="B709" s="10" t="str">
        <f aca="false">INDEX('Site-uri'!$B$2:$B$20,MATCH(A709,'Site-uri'!$A$2:$A$20,0))</f>
        <v>eu-ai-audit.eu</v>
      </c>
      <c r="C709" s="10" t="s">
        <v>112</v>
      </c>
      <c r="D709" s="10" t="s">
        <v>237</v>
      </c>
      <c r="E709" s="10" t="str">
        <f aca="false">INDEX(Canale!$C$2:$C$30,MATCH(C709,Canale!$A$2:$A$30,0))</f>
        <v>linkedin_showcase</v>
      </c>
      <c r="F709" s="10" t="str">
        <f aca="false">INDEX(Canale!$D$2:$D$30,MATCH(C709,Canale!$A$2:$A$30,0))</f>
        <v>social</v>
      </c>
      <c r="G709" s="10" t="str">
        <f aca="false">INDEX('Site-uri'!$C$2:$C$20,MATCH(A709,'Site-uri'!$A$2:$A$20,0))</f>
        <v>/</v>
      </c>
      <c r="H709" s="10" t="str">
        <f aca="false">Config!$B$3</f>
        <v>2610_ff_lansare</v>
      </c>
      <c r="I709" s="10" t="str">
        <f aca="false">D709&amp;"_"&amp;Config!$B$4</f>
        <v>client_general</v>
      </c>
      <c r="J709" s="10" t="str">
        <f aca="false">"https://"&amp;B709&amp;G709&amp;"?utm_source="&amp;E709&amp;"&amp;utm_medium="&amp;F709&amp;"&amp;utm_campaign="&amp;H709&amp;"&amp;utm_content="&amp;I709</f>
        <v>https://eu-ai-audit.eu/?utm_source=linkedin_showcase&amp;utm_medium=social&amp;utm_campaign=2610_ff_lansare&amp;utm_content=client_general</v>
      </c>
    </row>
    <row r="710" customFormat="false" ht="15" hidden="false" customHeight="false" outlineLevel="0" collapsed="false">
      <c r="A710" s="10" t="s">
        <v>65</v>
      </c>
      <c r="B710" s="10" t="str">
        <f aca="false">INDEX('Site-uri'!$B$2:$B$20,MATCH(A710,'Site-uri'!$A$2:$A$20,0))</f>
        <v>eu-ai-audit.eu</v>
      </c>
      <c r="C710" s="10" t="s">
        <v>115</v>
      </c>
      <c r="D710" s="10" t="s">
        <v>219</v>
      </c>
      <c r="E710" s="10" t="str">
        <f aca="false">INDEX(Canale!$C$2:$C$30,MATCH(C710,Canale!$A$2:$A$30,0))</f>
        <v>linkedin_newsletter</v>
      </c>
      <c r="F710" s="10" t="str">
        <f aca="false">INDEX(Canale!$D$2:$D$30,MATCH(C710,Canale!$A$2:$A$30,0))</f>
        <v>social</v>
      </c>
      <c r="G710" s="10" t="str">
        <f aca="false">INDEX('Site-uri'!$C$2:$C$20,MATCH(A710,'Site-uri'!$A$2:$A$20,0))</f>
        <v>/</v>
      </c>
      <c r="H710" s="10" t="str">
        <f aca="false">Config!$B$3</f>
        <v>2610_ff_lansare</v>
      </c>
      <c r="I710" s="10" t="str">
        <f aca="false">D710&amp;"_"&amp;Config!$B$4</f>
        <v>rece_general</v>
      </c>
      <c r="J710" s="10" t="str">
        <f aca="false">"https://"&amp;B710&amp;G710&amp;"?utm_source="&amp;E710&amp;"&amp;utm_medium="&amp;F710&amp;"&amp;utm_campaign="&amp;H710&amp;"&amp;utm_content="&amp;I710</f>
        <v>https://eu-ai-audit.eu/?utm_source=linkedin_newsletter&amp;utm_medium=social&amp;utm_campaign=2610_ff_lansare&amp;utm_content=rece_general</v>
      </c>
    </row>
    <row r="711" customFormat="false" ht="15" hidden="false" customHeight="false" outlineLevel="0" collapsed="false">
      <c r="A711" s="10" t="s">
        <v>65</v>
      </c>
      <c r="B711" s="10" t="str">
        <f aca="false">INDEX('Site-uri'!$B$2:$B$20,MATCH(A711,'Site-uri'!$A$2:$A$20,0))</f>
        <v>eu-ai-audit.eu</v>
      </c>
      <c r="C711" s="10" t="s">
        <v>115</v>
      </c>
      <c r="D711" s="10" t="s">
        <v>225</v>
      </c>
      <c r="E711" s="10" t="str">
        <f aca="false">INDEX(Canale!$C$2:$C$30,MATCH(C711,Canale!$A$2:$A$30,0))</f>
        <v>linkedin_newsletter</v>
      </c>
      <c r="F711" s="10" t="str">
        <f aca="false">INDEX(Canale!$D$2:$D$30,MATCH(C711,Canale!$A$2:$A$30,0))</f>
        <v>social</v>
      </c>
      <c r="G711" s="10" t="str">
        <f aca="false">INDEX('Site-uri'!$C$2:$C$20,MATCH(A711,'Site-uri'!$A$2:$A$20,0))</f>
        <v>/</v>
      </c>
      <c r="H711" s="10" t="str">
        <f aca="false">Config!$B$3</f>
        <v>2610_ff_lansare</v>
      </c>
      <c r="I711" s="10" t="str">
        <f aca="false">D711&amp;"_"&amp;Config!$B$4</f>
        <v>cald_general</v>
      </c>
      <c r="J711" s="10" t="str">
        <f aca="false">"https://"&amp;B711&amp;G711&amp;"?utm_source="&amp;E711&amp;"&amp;utm_medium="&amp;F711&amp;"&amp;utm_campaign="&amp;H711&amp;"&amp;utm_content="&amp;I711</f>
        <v>https://eu-ai-audit.eu/?utm_source=linkedin_newsletter&amp;utm_medium=social&amp;utm_campaign=2610_ff_lansare&amp;utm_content=cald_general</v>
      </c>
    </row>
    <row r="712" customFormat="false" ht="15" hidden="false" customHeight="false" outlineLevel="0" collapsed="false">
      <c r="A712" s="10" t="s">
        <v>65</v>
      </c>
      <c r="B712" s="10" t="str">
        <f aca="false">INDEX('Site-uri'!$B$2:$B$20,MATCH(A712,'Site-uri'!$A$2:$A$20,0))</f>
        <v>eu-ai-audit.eu</v>
      </c>
      <c r="C712" s="10" t="s">
        <v>115</v>
      </c>
      <c r="D712" s="10" t="s">
        <v>231</v>
      </c>
      <c r="E712" s="10" t="str">
        <f aca="false">INDEX(Canale!$C$2:$C$30,MATCH(C712,Canale!$A$2:$A$30,0))</f>
        <v>linkedin_newsletter</v>
      </c>
      <c r="F712" s="10" t="str">
        <f aca="false">INDEX(Canale!$D$2:$D$30,MATCH(C712,Canale!$A$2:$A$30,0))</f>
        <v>social</v>
      </c>
      <c r="G712" s="10" t="str">
        <f aca="false">INDEX('Site-uri'!$C$2:$C$20,MATCH(A712,'Site-uri'!$A$2:$A$20,0))</f>
        <v>/</v>
      </c>
      <c r="H712" s="10" t="str">
        <f aca="false">Config!$B$3</f>
        <v>2610_ff_lansare</v>
      </c>
      <c r="I712" s="10" t="str">
        <f aca="false">D712&amp;"_"&amp;Config!$B$4</f>
        <v>fierbinte_general</v>
      </c>
      <c r="J712" s="10" t="str">
        <f aca="false">"https://"&amp;B712&amp;G712&amp;"?utm_source="&amp;E712&amp;"&amp;utm_medium="&amp;F712&amp;"&amp;utm_campaign="&amp;H712&amp;"&amp;utm_content="&amp;I712</f>
        <v>https://eu-ai-audit.eu/?utm_source=linkedin_newsletter&amp;utm_medium=social&amp;utm_campaign=2610_ff_lansare&amp;utm_content=fierbinte_general</v>
      </c>
    </row>
    <row r="713" customFormat="false" ht="15" hidden="false" customHeight="false" outlineLevel="0" collapsed="false">
      <c r="A713" s="10" t="s">
        <v>65</v>
      </c>
      <c r="B713" s="10" t="str">
        <f aca="false">INDEX('Site-uri'!$B$2:$B$20,MATCH(A713,'Site-uri'!$A$2:$A$20,0))</f>
        <v>eu-ai-audit.eu</v>
      </c>
      <c r="C713" s="10" t="s">
        <v>115</v>
      </c>
      <c r="D713" s="10" t="s">
        <v>237</v>
      </c>
      <c r="E713" s="10" t="str">
        <f aca="false">INDEX(Canale!$C$2:$C$30,MATCH(C713,Canale!$A$2:$A$30,0))</f>
        <v>linkedin_newsletter</v>
      </c>
      <c r="F713" s="10" t="str">
        <f aca="false">INDEX(Canale!$D$2:$D$30,MATCH(C713,Canale!$A$2:$A$30,0))</f>
        <v>social</v>
      </c>
      <c r="G713" s="10" t="str">
        <f aca="false">INDEX('Site-uri'!$C$2:$C$20,MATCH(A713,'Site-uri'!$A$2:$A$20,0))</f>
        <v>/</v>
      </c>
      <c r="H713" s="10" t="str">
        <f aca="false">Config!$B$3</f>
        <v>2610_ff_lansare</v>
      </c>
      <c r="I713" s="10" t="str">
        <f aca="false">D713&amp;"_"&amp;Config!$B$4</f>
        <v>client_general</v>
      </c>
      <c r="J713" s="10" t="str">
        <f aca="false">"https://"&amp;B713&amp;G713&amp;"?utm_source="&amp;E713&amp;"&amp;utm_medium="&amp;F713&amp;"&amp;utm_campaign="&amp;H713&amp;"&amp;utm_content="&amp;I713</f>
        <v>https://eu-ai-audit.eu/?utm_source=linkedin_newsletter&amp;utm_medium=social&amp;utm_campaign=2610_ff_lansare&amp;utm_content=client_general</v>
      </c>
    </row>
    <row r="714" customFormat="false" ht="15" hidden="false" customHeight="false" outlineLevel="0" collapsed="false">
      <c r="A714" s="10" t="s">
        <v>65</v>
      </c>
      <c r="B714" s="10" t="str">
        <f aca="false">INDEX('Site-uri'!$B$2:$B$20,MATCH(A714,'Site-uri'!$A$2:$A$20,0))</f>
        <v>eu-ai-audit.eu</v>
      </c>
      <c r="C714" s="10" t="s">
        <v>118</v>
      </c>
      <c r="D714" s="10" t="s">
        <v>219</v>
      </c>
      <c r="E714" s="10" t="str">
        <f aca="false">INDEX(Canale!$C$2:$C$30,MATCH(C714,Canale!$A$2:$A$30,0))</f>
        <v>linkedin_ads</v>
      </c>
      <c r="F714" s="10" t="str">
        <f aca="false">INDEX(Canale!$D$2:$D$30,MATCH(C714,Canale!$A$2:$A$30,0))</f>
        <v>paid_social</v>
      </c>
      <c r="G714" s="10" t="str">
        <f aca="false">INDEX('Site-uri'!$C$2:$C$20,MATCH(A714,'Site-uri'!$A$2:$A$20,0))</f>
        <v>/</v>
      </c>
      <c r="H714" s="10" t="str">
        <f aca="false">Config!$B$3</f>
        <v>2610_ff_lansare</v>
      </c>
      <c r="I714" s="10" t="str">
        <f aca="false">D714&amp;"_"&amp;Config!$B$4</f>
        <v>rece_general</v>
      </c>
      <c r="J714" s="10" t="str">
        <f aca="false">"https://"&amp;B714&amp;G714&amp;"?utm_source="&amp;E714&amp;"&amp;utm_medium="&amp;F714&amp;"&amp;utm_campaign="&amp;H714&amp;"&amp;utm_content="&amp;I714</f>
        <v>https://eu-ai-audit.eu/?utm_source=linkedin_ads&amp;utm_medium=paid_social&amp;utm_campaign=2610_ff_lansare&amp;utm_content=rece_general</v>
      </c>
    </row>
    <row r="715" customFormat="false" ht="15" hidden="false" customHeight="false" outlineLevel="0" collapsed="false">
      <c r="A715" s="10" t="s">
        <v>65</v>
      </c>
      <c r="B715" s="10" t="str">
        <f aca="false">INDEX('Site-uri'!$B$2:$B$20,MATCH(A715,'Site-uri'!$A$2:$A$20,0))</f>
        <v>eu-ai-audit.eu</v>
      </c>
      <c r="C715" s="10" t="s">
        <v>118</v>
      </c>
      <c r="D715" s="10" t="s">
        <v>225</v>
      </c>
      <c r="E715" s="10" t="str">
        <f aca="false">INDEX(Canale!$C$2:$C$30,MATCH(C715,Canale!$A$2:$A$30,0))</f>
        <v>linkedin_ads</v>
      </c>
      <c r="F715" s="10" t="str">
        <f aca="false">INDEX(Canale!$D$2:$D$30,MATCH(C715,Canale!$A$2:$A$30,0))</f>
        <v>paid_social</v>
      </c>
      <c r="G715" s="10" t="str">
        <f aca="false">INDEX('Site-uri'!$C$2:$C$20,MATCH(A715,'Site-uri'!$A$2:$A$20,0))</f>
        <v>/</v>
      </c>
      <c r="H715" s="10" t="str">
        <f aca="false">Config!$B$3</f>
        <v>2610_ff_lansare</v>
      </c>
      <c r="I715" s="10" t="str">
        <f aca="false">D715&amp;"_"&amp;Config!$B$4</f>
        <v>cald_general</v>
      </c>
      <c r="J715" s="10" t="str">
        <f aca="false">"https://"&amp;B715&amp;G715&amp;"?utm_source="&amp;E715&amp;"&amp;utm_medium="&amp;F715&amp;"&amp;utm_campaign="&amp;H715&amp;"&amp;utm_content="&amp;I715</f>
        <v>https://eu-ai-audit.eu/?utm_source=linkedin_ads&amp;utm_medium=paid_social&amp;utm_campaign=2610_ff_lansare&amp;utm_content=cald_general</v>
      </c>
    </row>
    <row r="716" customFormat="false" ht="15" hidden="false" customHeight="false" outlineLevel="0" collapsed="false">
      <c r="A716" s="10" t="s">
        <v>65</v>
      </c>
      <c r="B716" s="10" t="str">
        <f aca="false">INDEX('Site-uri'!$B$2:$B$20,MATCH(A716,'Site-uri'!$A$2:$A$20,0))</f>
        <v>eu-ai-audit.eu</v>
      </c>
      <c r="C716" s="10" t="s">
        <v>118</v>
      </c>
      <c r="D716" s="10" t="s">
        <v>231</v>
      </c>
      <c r="E716" s="10" t="str">
        <f aca="false">INDEX(Canale!$C$2:$C$30,MATCH(C716,Canale!$A$2:$A$30,0))</f>
        <v>linkedin_ads</v>
      </c>
      <c r="F716" s="10" t="str">
        <f aca="false">INDEX(Canale!$D$2:$D$30,MATCH(C716,Canale!$A$2:$A$30,0))</f>
        <v>paid_social</v>
      </c>
      <c r="G716" s="10" t="str">
        <f aca="false">INDEX('Site-uri'!$C$2:$C$20,MATCH(A716,'Site-uri'!$A$2:$A$20,0))</f>
        <v>/</v>
      </c>
      <c r="H716" s="10" t="str">
        <f aca="false">Config!$B$3</f>
        <v>2610_ff_lansare</v>
      </c>
      <c r="I716" s="10" t="str">
        <f aca="false">D716&amp;"_"&amp;Config!$B$4</f>
        <v>fierbinte_general</v>
      </c>
      <c r="J716" s="10" t="str">
        <f aca="false">"https://"&amp;B716&amp;G716&amp;"?utm_source="&amp;E716&amp;"&amp;utm_medium="&amp;F716&amp;"&amp;utm_campaign="&amp;H716&amp;"&amp;utm_content="&amp;I716</f>
        <v>https://eu-ai-audit.eu/?utm_source=linkedin_ads&amp;utm_medium=paid_social&amp;utm_campaign=2610_ff_lansare&amp;utm_content=fierbinte_general</v>
      </c>
    </row>
    <row r="717" customFormat="false" ht="15" hidden="false" customHeight="false" outlineLevel="0" collapsed="false">
      <c r="A717" s="10" t="s">
        <v>65</v>
      </c>
      <c r="B717" s="10" t="str">
        <f aca="false">INDEX('Site-uri'!$B$2:$B$20,MATCH(A717,'Site-uri'!$A$2:$A$20,0))</f>
        <v>eu-ai-audit.eu</v>
      </c>
      <c r="C717" s="10" t="s">
        <v>118</v>
      </c>
      <c r="D717" s="10" t="s">
        <v>237</v>
      </c>
      <c r="E717" s="10" t="str">
        <f aca="false">INDEX(Canale!$C$2:$C$30,MATCH(C717,Canale!$A$2:$A$30,0))</f>
        <v>linkedin_ads</v>
      </c>
      <c r="F717" s="10" t="str">
        <f aca="false">INDEX(Canale!$D$2:$D$30,MATCH(C717,Canale!$A$2:$A$30,0))</f>
        <v>paid_social</v>
      </c>
      <c r="G717" s="10" t="str">
        <f aca="false">INDEX('Site-uri'!$C$2:$C$20,MATCH(A717,'Site-uri'!$A$2:$A$20,0))</f>
        <v>/</v>
      </c>
      <c r="H717" s="10" t="str">
        <f aca="false">Config!$B$3</f>
        <v>2610_ff_lansare</v>
      </c>
      <c r="I717" s="10" t="str">
        <f aca="false">D717&amp;"_"&amp;Config!$B$4</f>
        <v>client_general</v>
      </c>
      <c r="J717" s="10" t="str">
        <f aca="false">"https://"&amp;B717&amp;G717&amp;"?utm_source="&amp;E717&amp;"&amp;utm_medium="&amp;F717&amp;"&amp;utm_campaign="&amp;H717&amp;"&amp;utm_content="&amp;I717</f>
        <v>https://eu-ai-audit.eu/?utm_source=linkedin_ads&amp;utm_medium=paid_social&amp;utm_campaign=2610_ff_lansare&amp;utm_content=client_general</v>
      </c>
    </row>
    <row r="718" customFormat="false" ht="15" hidden="false" customHeight="false" outlineLevel="0" collapsed="false">
      <c r="A718" s="10" t="s">
        <v>65</v>
      </c>
      <c r="B718" s="10" t="str">
        <f aca="false">INDEX('Site-uri'!$B$2:$B$20,MATCH(A718,'Site-uri'!$A$2:$A$20,0))</f>
        <v>eu-ai-audit.eu</v>
      </c>
      <c r="C718" s="10" t="s">
        <v>122</v>
      </c>
      <c r="D718" s="10" t="s">
        <v>219</v>
      </c>
      <c r="E718" s="10" t="str">
        <f aca="false">INDEX(Canale!$C$2:$C$30,MATCH(C718,Canale!$A$2:$A$30,0))</f>
        <v>linkedin_dm</v>
      </c>
      <c r="F718" s="10" t="str">
        <f aca="false">INDEX(Canale!$D$2:$D$30,MATCH(C718,Canale!$A$2:$A$30,0))</f>
        <v>dm</v>
      </c>
      <c r="G718" s="10" t="str">
        <f aca="false">INDEX('Site-uri'!$C$2:$C$20,MATCH(A718,'Site-uri'!$A$2:$A$20,0))</f>
        <v>/</v>
      </c>
      <c r="H718" s="10" t="str">
        <f aca="false">Config!$B$3</f>
        <v>2610_ff_lansare</v>
      </c>
      <c r="I718" s="10" t="str">
        <f aca="false">D718&amp;"_"&amp;Config!$B$4</f>
        <v>rece_general</v>
      </c>
      <c r="J718" s="10" t="str">
        <f aca="false">"https://"&amp;B718&amp;G718&amp;"?utm_source="&amp;E718&amp;"&amp;utm_medium="&amp;F718&amp;"&amp;utm_campaign="&amp;H718&amp;"&amp;utm_content="&amp;I718</f>
        <v>https://eu-ai-audit.eu/?utm_source=linkedin_dm&amp;utm_medium=dm&amp;utm_campaign=2610_ff_lansare&amp;utm_content=rece_general</v>
      </c>
    </row>
    <row r="719" customFormat="false" ht="15" hidden="false" customHeight="false" outlineLevel="0" collapsed="false">
      <c r="A719" s="10" t="s">
        <v>65</v>
      </c>
      <c r="B719" s="10" t="str">
        <f aca="false">INDEX('Site-uri'!$B$2:$B$20,MATCH(A719,'Site-uri'!$A$2:$A$20,0))</f>
        <v>eu-ai-audit.eu</v>
      </c>
      <c r="C719" s="10" t="s">
        <v>122</v>
      </c>
      <c r="D719" s="10" t="s">
        <v>225</v>
      </c>
      <c r="E719" s="10" t="str">
        <f aca="false">INDEX(Canale!$C$2:$C$30,MATCH(C719,Canale!$A$2:$A$30,0))</f>
        <v>linkedin_dm</v>
      </c>
      <c r="F719" s="10" t="str">
        <f aca="false">INDEX(Canale!$D$2:$D$30,MATCH(C719,Canale!$A$2:$A$30,0))</f>
        <v>dm</v>
      </c>
      <c r="G719" s="10" t="str">
        <f aca="false">INDEX('Site-uri'!$C$2:$C$20,MATCH(A719,'Site-uri'!$A$2:$A$20,0))</f>
        <v>/</v>
      </c>
      <c r="H719" s="10" t="str">
        <f aca="false">Config!$B$3</f>
        <v>2610_ff_lansare</v>
      </c>
      <c r="I719" s="10" t="str">
        <f aca="false">D719&amp;"_"&amp;Config!$B$4</f>
        <v>cald_general</v>
      </c>
      <c r="J719" s="10" t="str">
        <f aca="false">"https://"&amp;B719&amp;G719&amp;"?utm_source="&amp;E719&amp;"&amp;utm_medium="&amp;F719&amp;"&amp;utm_campaign="&amp;H719&amp;"&amp;utm_content="&amp;I719</f>
        <v>https://eu-ai-audit.eu/?utm_source=linkedin_dm&amp;utm_medium=dm&amp;utm_campaign=2610_ff_lansare&amp;utm_content=cald_general</v>
      </c>
    </row>
    <row r="720" customFormat="false" ht="15" hidden="false" customHeight="false" outlineLevel="0" collapsed="false">
      <c r="A720" s="10" t="s">
        <v>65</v>
      </c>
      <c r="B720" s="10" t="str">
        <f aca="false">INDEX('Site-uri'!$B$2:$B$20,MATCH(A720,'Site-uri'!$A$2:$A$20,0))</f>
        <v>eu-ai-audit.eu</v>
      </c>
      <c r="C720" s="10" t="s">
        <v>122</v>
      </c>
      <c r="D720" s="10" t="s">
        <v>231</v>
      </c>
      <c r="E720" s="10" t="str">
        <f aca="false">INDEX(Canale!$C$2:$C$30,MATCH(C720,Canale!$A$2:$A$30,0))</f>
        <v>linkedin_dm</v>
      </c>
      <c r="F720" s="10" t="str">
        <f aca="false">INDEX(Canale!$D$2:$D$30,MATCH(C720,Canale!$A$2:$A$30,0))</f>
        <v>dm</v>
      </c>
      <c r="G720" s="10" t="str">
        <f aca="false">INDEX('Site-uri'!$C$2:$C$20,MATCH(A720,'Site-uri'!$A$2:$A$20,0))</f>
        <v>/</v>
      </c>
      <c r="H720" s="10" t="str">
        <f aca="false">Config!$B$3</f>
        <v>2610_ff_lansare</v>
      </c>
      <c r="I720" s="10" t="str">
        <f aca="false">D720&amp;"_"&amp;Config!$B$4</f>
        <v>fierbinte_general</v>
      </c>
      <c r="J720" s="10" t="str">
        <f aca="false">"https://"&amp;B720&amp;G720&amp;"?utm_source="&amp;E720&amp;"&amp;utm_medium="&amp;F720&amp;"&amp;utm_campaign="&amp;H720&amp;"&amp;utm_content="&amp;I720</f>
        <v>https://eu-ai-audit.eu/?utm_source=linkedin_dm&amp;utm_medium=dm&amp;utm_campaign=2610_ff_lansare&amp;utm_content=fierbinte_general</v>
      </c>
    </row>
    <row r="721" customFormat="false" ht="15" hidden="false" customHeight="false" outlineLevel="0" collapsed="false">
      <c r="A721" s="10" t="s">
        <v>65</v>
      </c>
      <c r="B721" s="10" t="str">
        <f aca="false">INDEX('Site-uri'!$B$2:$B$20,MATCH(A721,'Site-uri'!$A$2:$A$20,0))</f>
        <v>eu-ai-audit.eu</v>
      </c>
      <c r="C721" s="10" t="s">
        <v>122</v>
      </c>
      <c r="D721" s="10" t="s">
        <v>237</v>
      </c>
      <c r="E721" s="10" t="str">
        <f aca="false">INDEX(Canale!$C$2:$C$30,MATCH(C721,Canale!$A$2:$A$30,0))</f>
        <v>linkedin_dm</v>
      </c>
      <c r="F721" s="10" t="str">
        <f aca="false">INDEX(Canale!$D$2:$D$30,MATCH(C721,Canale!$A$2:$A$30,0))</f>
        <v>dm</v>
      </c>
      <c r="G721" s="10" t="str">
        <f aca="false">INDEX('Site-uri'!$C$2:$C$20,MATCH(A721,'Site-uri'!$A$2:$A$20,0))</f>
        <v>/</v>
      </c>
      <c r="H721" s="10" t="str">
        <f aca="false">Config!$B$3</f>
        <v>2610_ff_lansare</v>
      </c>
      <c r="I721" s="10" t="str">
        <f aca="false">D721&amp;"_"&amp;Config!$B$4</f>
        <v>client_general</v>
      </c>
      <c r="J721" s="10" t="str">
        <f aca="false">"https://"&amp;B721&amp;G721&amp;"?utm_source="&amp;E721&amp;"&amp;utm_medium="&amp;F721&amp;"&amp;utm_campaign="&amp;H721&amp;"&amp;utm_content="&amp;I721</f>
        <v>https://eu-ai-audit.eu/?utm_source=linkedin_dm&amp;utm_medium=dm&amp;utm_campaign=2610_ff_lansare&amp;utm_content=client_general</v>
      </c>
    </row>
    <row r="722" customFormat="false" ht="15" hidden="false" customHeight="false" outlineLevel="0" collapsed="false">
      <c r="A722" s="10" t="s">
        <v>65</v>
      </c>
      <c r="B722" s="10" t="str">
        <f aca="false">INDEX('Site-uri'!$B$2:$B$20,MATCH(A722,'Site-uri'!$A$2:$A$20,0))</f>
        <v>eu-ai-audit.eu</v>
      </c>
      <c r="C722" s="10" t="s">
        <v>126</v>
      </c>
      <c r="D722" s="10" t="s">
        <v>219</v>
      </c>
      <c r="E722" s="10" t="str">
        <f aca="false">INDEX(Canale!$C$2:$C$30,MATCH(C722,Canale!$A$2:$A$30,0))</f>
        <v>email_outreach</v>
      </c>
      <c r="F722" s="10" t="str">
        <f aca="false">INDEX(Canale!$D$2:$D$30,MATCH(C722,Canale!$A$2:$A$30,0))</f>
        <v>email</v>
      </c>
      <c r="G722" s="10" t="str">
        <f aca="false">INDEX('Site-uri'!$C$2:$C$20,MATCH(A722,'Site-uri'!$A$2:$A$20,0))</f>
        <v>/</v>
      </c>
      <c r="H722" s="10" t="str">
        <f aca="false">Config!$B$3</f>
        <v>2610_ff_lansare</v>
      </c>
      <c r="I722" s="10" t="str">
        <f aca="false">D722&amp;"_"&amp;Config!$B$4</f>
        <v>rece_general</v>
      </c>
      <c r="J722" s="10" t="str">
        <f aca="false">"https://"&amp;B722&amp;G722&amp;"?utm_source="&amp;E722&amp;"&amp;utm_medium="&amp;F722&amp;"&amp;utm_campaign="&amp;H722&amp;"&amp;utm_content="&amp;I722</f>
        <v>https://eu-ai-audit.eu/?utm_source=email_outreach&amp;utm_medium=email&amp;utm_campaign=2610_ff_lansare&amp;utm_content=rece_general</v>
      </c>
    </row>
    <row r="723" customFormat="false" ht="15" hidden="false" customHeight="false" outlineLevel="0" collapsed="false">
      <c r="A723" s="10" t="s">
        <v>65</v>
      </c>
      <c r="B723" s="10" t="str">
        <f aca="false">INDEX('Site-uri'!$B$2:$B$20,MATCH(A723,'Site-uri'!$A$2:$A$20,0))</f>
        <v>eu-ai-audit.eu</v>
      </c>
      <c r="C723" s="10" t="s">
        <v>126</v>
      </c>
      <c r="D723" s="10" t="s">
        <v>225</v>
      </c>
      <c r="E723" s="10" t="str">
        <f aca="false">INDEX(Canale!$C$2:$C$30,MATCH(C723,Canale!$A$2:$A$30,0))</f>
        <v>email_outreach</v>
      </c>
      <c r="F723" s="10" t="str">
        <f aca="false">INDEX(Canale!$D$2:$D$30,MATCH(C723,Canale!$A$2:$A$30,0))</f>
        <v>email</v>
      </c>
      <c r="G723" s="10" t="str">
        <f aca="false">INDEX('Site-uri'!$C$2:$C$20,MATCH(A723,'Site-uri'!$A$2:$A$20,0))</f>
        <v>/</v>
      </c>
      <c r="H723" s="10" t="str">
        <f aca="false">Config!$B$3</f>
        <v>2610_ff_lansare</v>
      </c>
      <c r="I723" s="10" t="str">
        <f aca="false">D723&amp;"_"&amp;Config!$B$4</f>
        <v>cald_general</v>
      </c>
      <c r="J723" s="10" t="str">
        <f aca="false">"https://"&amp;B723&amp;G723&amp;"?utm_source="&amp;E723&amp;"&amp;utm_medium="&amp;F723&amp;"&amp;utm_campaign="&amp;H723&amp;"&amp;utm_content="&amp;I723</f>
        <v>https://eu-ai-audit.eu/?utm_source=email_outreach&amp;utm_medium=email&amp;utm_campaign=2610_ff_lansare&amp;utm_content=cald_general</v>
      </c>
    </row>
    <row r="724" customFormat="false" ht="15" hidden="false" customHeight="false" outlineLevel="0" collapsed="false">
      <c r="A724" s="10" t="s">
        <v>65</v>
      </c>
      <c r="B724" s="10" t="str">
        <f aca="false">INDEX('Site-uri'!$B$2:$B$20,MATCH(A724,'Site-uri'!$A$2:$A$20,0))</f>
        <v>eu-ai-audit.eu</v>
      </c>
      <c r="C724" s="10" t="s">
        <v>126</v>
      </c>
      <c r="D724" s="10" t="s">
        <v>231</v>
      </c>
      <c r="E724" s="10" t="str">
        <f aca="false">INDEX(Canale!$C$2:$C$30,MATCH(C724,Canale!$A$2:$A$30,0))</f>
        <v>email_outreach</v>
      </c>
      <c r="F724" s="10" t="str">
        <f aca="false">INDEX(Canale!$D$2:$D$30,MATCH(C724,Canale!$A$2:$A$30,0))</f>
        <v>email</v>
      </c>
      <c r="G724" s="10" t="str">
        <f aca="false">INDEX('Site-uri'!$C$2:$C$20,MATCH(A724,'Site-uri'!$A$2:$A$20,0))</f>
        <v>/</v>
      </c>
      <c r="H724" s="10" t="str">
        <f aca="false">Config!$B$3</f>
        <v>2610_ff_lansare</v>
      </c>
      <c r="I724" s="10" t="str">
        <f aca="false">D724&amp;"_"&amp;Config!$B$4</f>
        <v>fierbinte_general</v>
      </c>
      <c r="J724" s="10" t="str">
        <f aca="false">"https://"&amp;B724&amp;G724&amp;"?utm_source="&amp;E724&amp;"&amp;utm_medium="&amp;F724&amp;"&amp;utm_campaign="&amp;H724&amp;"&amp;utm_content="&amp;I724</f>
        <v>https://eu-ai-audit.eu/?utm_source=email_outreach&amp;utm_medium=email&amp;utm_campaign=2610_ff_lansare&amp;utm_content=fierbinte_general</v>
      </c>
    </row>
    <row r="725" customFormat="false" ht="15" hidden="false" customHeight="false" outlineLevel="0" collapsed="false">
      <c r="A725" s="10" t="s">
        <v>65</v>
      </c>
      <c r="B725" s="10" t="str">
        <f aca="false">INDEX('Site-uri'!$B$2:$B$20,MATCH(A725,'Site-uri'!$A$2:$A$20,0))</f>
        <v>eu-ai-audit.eu</v>
      </c>
      <c r="C725" s="10" t="s">
        <v>126</v>
      </c>
      <c r="D725" s="10" t="s">
        <v>237</v>
      </c>
      <c r="E725" s="10" t="str">
        <f aca="false">INDEX(Canale!$C$2:$C$30,MATCH(C725,Canale!$A$2:$A$30,0))</f>
        <v>email_outreach</v>
      </c>
      <c r="F725" s="10" t="str">
        <f aca="false">INDEX(Canale!$D$2:$D$30,MATCH(C725,Canale!$A$2:$A$30,0))</f>
        <v>email</v>
      </c>
      <c r="G725" s="10" t="str">
        <f aca="false">INDEX('Site-uri'!$C$2:$C$20,MATCH(A725,'Site-uri'!$A$2:$A$20,0))</f>
        <v>/</v>
      </c>
      <c r="H725" s="10" t="str">
        <f aca="false">Config!$B$3</f>
        <v>2610_ff_lansare</v>
      </c>
      <c r="I725" s="10" t="str">
        <f aca="false">D725&amp;"_"&amp;Config!$B$4</f>
        <v>client_general</v>
      </c>
      <c r="J725" s="10" t="str">
        <f aca="false">"https://"&amp;B725&amp;G725&amp;"?utm_source="&amp;E725&amp;"&amp;utm_medium="&amp;F725&amp;"&amp;utm_campaign="&amp;H725&amp;"&amp;utm_content="&amp;I725</f>
        <v>https://eu-ai-audit.eu/?utm_source=email_outreach&amp;utm_medium=email&amp;utm_campaign=2610_ff_lansare&amp;utm_content=client_general</v>
      </c>
    </row>
    <row r="726" customFormat="false" ht="15" hidden="false" customHeight="false" outlineLevel="0" collapsed="false">
      <c r="A726" s="10" t="s">
        <v>65</v>
      </c>
      <c r="B726" s="10" t="str">
        <f aca="false">INDEX('Site-uri'!$B$2:$B$20,MATCH(A726,'Site-uri'!$A$2:$A$20,0))</f>
        <v>eu-ai-audit.eu</v>
      </c>
      <c r="C726" s="10" t="s">
        <v>131</v>
      </c>
      <c r="D726" s="10" t="s">
        <v>219</v>
      </c>
      <c r="E726" s="10" t="str">
        <f aca="false">INDEX(Canale!$C$2:$C$30,MATCH(C726,Canale!$A$2:$A$30,0))</f>
        <v>newsletter</v>
      </c>
      <c r="F726" s="10" t="str">
        <f aca="false">INDEX(Canale!$D$2:$D$30,MATCH(C726,Canale!$A$2:$A$30,0))</f>
        <v>email</v>
      </c>
      <c r="G726" s="10" t="str">
        <f aca="false">INDEX('Site-uri'!$C$2:$C$20,MATCH(A726,'Site-uri'!$A$2:$A$20,0))</f>
        <v>/</v>
      </c>
      <c r="H726" s="10" t="str">
        <f aca="false">Config!$B$3</f>
        <v>2610_ff_lansare</v>
      </c>
      <c r="I726" s="10" t="str">
        <f aca="false">D726&amp;"_"&amp;Config!$B$4</f>
        <v>rece_general</v>
      </c>
      <c r="J726" s="10" t="str">
        <f aca="false">"https://"&amp;B726&amp;G726&amp;"?utm_source="&amp;E726&amp;"&amp;utm_medium="&amp;F726&amp;"&amp;utm_campaign="&amp;H726&amp;"&amp;utm_content="&amp;I726</f>
        <v>https://eu-ai-audit.eu/?utm_source=newsletter&amp;utm_medium=email&amp;utm_campaign=2610_ff_lansare&amp;utm_content=rece_general</v>
      </c>
    </row>
    <row r="727" customFormat="false" ht="15" hidden="false" customHeight="false" outlineLevel="0" collapsed="false">
      <c r="A727" s="10" t="s">
        <v>65</v>
      </c>
      <c r="B727" s="10" t="str">
        <f aca="false">INDEX('Site-uri'!$B$2:$B$20,MATCH(A727,'Site-uri'!$A$2:$A$20,0))</f>
        <v>eu-ai-audit.eu</v>
      </c>
      <c r="C727" s="10" t="s">
        <v>131</v>
      </c>
      <c r="D727" s="10" t="s">
        <v>225</v>
      </c>
      <c r="E727" s="10" t="str">
        <f aca="false">INDEX(Canale!$C$2:$C$30,MATCH(C727,Canale!$A$2:$A$30,0))</f>
        <v>newsletter</v>
      </c>
      <c r="F727" s="10" t="str">
        <f aca="false">INDEX(Canale!$D$2:$D$30,MATCH(C727,Canale!$A$2:$A$30,0))</f>
        <v>email</v>
      </c>
      <c r="G727" s="10" t="str">
        <f aca="false">INDEX('Site-uri'!$C$2:$C$20,MATCH(A727,'Site-uri'!$A$2:$A$20,0))</f>
        <v>/</v>
      </c>
      <c r="H727" s="10" t="str">
        <f aca="false">Config!$B$3</f>
        <v>2610_ff_lansare</v>
      </c>
      <c r="I727" s="10" t="str">
        <f aca="false">D727&amp;"_"&amp;Config!$B$4</f>
        <v>cald_general</v>
      </c>
      <c r="J727" s="10" t="str">
        <f aca="false">"https://"&amp;B727&amp;G727&amp;"?utm_source="&amp;E727&amp;"&amp;utm_medium="&amp;F727&amp;"&amp;utm_campaign="&amp;H727&amp;"&amp;utm_content="&amp;I727</f>
        <v>https://eu-ai-audit.eu/?utm_source=newsletter&amp;utm_medium=email&amp;utm_campaign=2610_ff_lansare&amp;utm_content=cald_general</v>
      </c>
    </row>
    <row r="728" customFormat="false" ht="15" hidden="false" customHeight="false" outlineLevel="0" collapsed="false">
      <c r="A728" s="10" t="s">
        <v>65</v>
      </c>
      <c r="B728" s="10" t="str">
        <f aca="false">INDEX('Site-uri'!$B$2:$B$20,MATCH(A728,'Site-uri'!$A$2:$A$20,0))</f>
        <v>eu-ai-audit.eu</v>
      </c>
      <c r="C728" s="10" t="s">
        <v>131</v>
      </c>
      <c r="D728" s="10" t="s">
        <v>231</v>
      </c>
      <c r="E728" s="10" t="str">
        <f aca="false">INDEX(Canale!$C$2:$C$30,MATCH(C728,Canale!$A$2:$A$30,0))</f>
        <v>newsletter</v>
      </c>
      <c r="F728" s="10" t="str">
        <f aca="false">INDEX(Canale!$D$2:$D$30,MATCH(C728,Canale!$A$2:$A$30,0))</f>
        <v>email</v>
      </c>
      <c r="G728" s="10" t="str">
        <f aca="false">INDEX('Site-uri'!$C$2:$C$20,MATCH(A728,'Site-uri'!$A$2:$A$20,0))</f>
        <v>/</v>
      </c>
      <c r="H728" s="10" t="str">
        <f aca="false">Config!$B$3</f>
        <v>2610_ff_lansare</v>
      </c>
      <c r="I728" s="10" t="str">
        <f aca="false">D728&amp;"_"&amp;Config!$B$4</f>
        <v>fierbinte_general</v>
      </c>
      <c r="J728" s="10" t="str">
        <f aca="false">"https://"&amp;B728&amp;G728&amp;"?utm_source="&amp;E728&amp;"&amp;utm_medium="&amp;F728&amp;"&amp;utm_campaign="&amp;H728&amp;"&amp;utm_content="&amp;I728</f>
        <v>https://eu-ai-audit.eu/?utm_source=newsletter&amp;utm_medium=email&amp;utm_campaign=2610_ff_lansare&amp;utm_content=fierbinte_general</v>
      </c>
    </row>
    <row r="729" customFormat="false" ht="15" hidden="false" customHeight="false" outlineLevel="0" collapsed="false">
      <c r="A729" s="10" t="s">
        <v>65</v>
      </c>
      <c r="B729" s="10" t="str">
        <f aca="false">INDEX('Site-uri'!$B$2:$B$20,MATCH(A729,'Site-uri'!$A$2:$A$20,0))</f>
        <v>eu-ai-audit.eu</v>
      </c>
      <c r="C729" s="10" t="s">
        <v>131</v>
      </c>
      <c r="D729" s="10" t="s">
        <v>237</v>
      </c>
      <c r="E729" s="10" t="str">
        <f aca="false">INDEX(Canale!$C$2:$C$30,MATCH(C729,Canale!$A$2:$A$30,0))</f>
        <v>newsletter</v>
      </c>
      <c r="F729" s="10" t="str">
        <f aca="false">INDEX(Canale!$D$2:$D$30,MATCH(C729,Canale!$A$2:$A$30,0))</f>
        <v>email</v>
      </c>
      <c r="G729" s="10" t="str">
        <f aca="false">INDEX('Site-uri'!$C$2:$C$20,MATCH(A729,'Site-uri'!$A$2:$A$20,0))</f>
        <v>/</v>
      </c>
      <c r="H729" s="10" t="str">
        <f aca="false">Config!$B$3</f>
        <v>2610_ff_lansare</v>
      </c>
      <c r="I729" s="10" t="str">
        <f aca="false">D729&amp;"_"&amp;Config!$B$4</f>
        <v>client_general</v>
      </c>
      <c r="J729" s="10" t="str">
        <f aca="false">"https://"&amp;B729&amp;G729&amp;"?utm_source="&amp;E729&amp;"&amp;utm_medium="&amp;F729&amp;"&amp;utm_campaign="&amp;H729&amp;"&amp;utm_content="&amp;I729</f>
        <v>https://eu-ai-audit.eu/?utm_source=newsletter&amp;utm_medium=email&amp;utm_campaign=2610_ff_lansare&amp;utm_content=client_general</v>
      </c>
    </row>
    <row r="730" customFormat="false" ht="15" hidden="false" customHeight="false" outlineLevel="0" collapsed="false">
      <c r="A730" s="10" t="s">
        <v>65</v>
      </c>
      <c r="B730" s="10" t="str">
        <f aca="false">INDEX('Site-uri'!$B$2:$B$20,MATCH(A730,'Site-uri'!$A$2:$A$20,0))</f>
        <v>eu-ai-audit.eu</v>
      </c>
      <c r="C730" s="10" t="s">
        <v>134</v>
      </c>
      <c r="D730" s="10" t="s">
        <v>219</v>
      </c>
      <c r="E730" s="10" t="str">
        <f aca="false">INDEX(Canale!$C$2:$C$30,MATCH(C730,Canale!$A$2:$A$30,0))</f>
        <v>email_signature</v>
      </c>
      <c r="F730" s="10" t="str">
        <f aca="false">INDEX(Canale!$D$2:$D$30,MATCH(C730,Canale!$A$2:$A$30,0))</f>
        <v>email</v>
      </c>
      <c r="G730" s="10" t="str">
        <f aca="false">INDEX('Site-uri'!$C$2:$C$20,MATCH(A730,'Site-uri'!$A$2:$A$20,0))</f>
        <v>/</v>
      </c>
      <c r="H730" s="10" t="str">
        <f aca="false">Config!$B$3</f>
        <v>2610_ff_lansare</v>
      </c>
      <c r="I730" s="10" t="str">
        <f aca="false">D730&amp;"_"&amp;Config!$B$4</f>
        <v>rece_general</v>
      </c>
      <c r="J730" s="10" t="str">
        <f aca="false">"https://"&amp;B730&amp;G730&amp;"?utm_source="&amp;E730&amp;"&amp;utm_medium="&amp;F730&amp;"&amp;utm_campaign="&amp;H730&amp;"&amp;utm_content="&amp;I730</f>
        <v>https://eu-ai-audit.eu/?utm_source=email_signature&amp;utm_medium=email&amp;utm_campaign=2610_ff_lansare&amp;utm_content=rece_general</v>
      </c>
    </row>
    <row r="731" customFormat="false" ht="15" hidden="false" customHeight="false" outlineLevel="0" collapsed="false">
      <c r="A731" s="10" t="s">
        <v>65</v>
      </c>
      <c r="B731" s="10" t="str">
        <f aca="false">INDEX('Site-uri'!$B$2:$B$20,MATCH(A731,'Site-uri'!$A$2:$A$20,0))</f>
        <v>eu-ai-audit.eu</v>
      </c>
      <c r="C731" s="10" t="s">
        <v>134</v>
      </c>
      <c r="D731" s="10" t="s">
        <v>225</v>
      </c>
      <c r="E731" s="10" t="str">
        <f aca="false">INDEX(Canale!$C$2:$C$30,MATCH(C731,Canale!$A$2:$A$30,0))</f>
        <v>email_signature</v>
      </c>
      <c r="F731" s="10" t="str">
        <f aca="false">INDEX(Canale!$D$2:$D$30,MATCH(C731,Canale!$A$2:$A$30,0))</f>
        <v>email</v>
      </c>
      <c r="G731" s="10" t="str">
        <f aca="false">INDEX('Site-uri'!$C$2:$C$20,MATCH(A731,'Site-uri'!$A$2:$A$20,0))</f>
        <v>/</v>
      </c>
      <c r="H731" s="10" t="str">
        <f aca="false">Config!$B$3</f>
        <v>2610_ff_lansare</v>
      </c>
      <c r="I731" s="10" t="str">
        <f aca="false">D731&amp;"_"&amp;Config!$B$4</f>
        <v>cald_general</v>
      </c>
      <c r="J731" s="10" t="str">
        <f aca="false">"https://"&amp;B731&amp;G731&amp;"?utm_source="&amp;E731&amp;"&amp;utm_medium="&amp;F731&amp;"&amp;utm_campaign="&amp;H731&amp;"&amp;utm_content="&amp;I731</f>
        <v>https://eu-ai-audit.eu/?utm_source=email_signature&amp;utm_medium=email&amp;utm_campaign=2610_ff_lansare&amp;utm_content=cald_general</v>
      </c>
    </row>
    <row r="732" customFormat="false" ht="15" hidden="false" customHeight="false" outlineLevel="0" collapsed="false">
      <c r="A732" s="10" t="s">
        <v>65</v>
      </c>
      <c r="B732" s="10" t="str">
        <f aca="false">INDEX('Site-uri'!$B$2:$B$20,MATCH(A732,'Site-uri'!$A$2:$A$20,0))</f>
        <v>eu-ai-audit.eu</v>
      </c>
      <c r="C732" s="10" t="s">
        <v>134</v>
      </c>
      <c r="D732" s="10" t="s">
        <v>231</v>
      </c>
      <c r="E732" s="10" t="str">
        <f aca="false">INDEX(Canale!$C$2:$C$30,MATCH(C732,Canale!$A$2:$A$30,0))</f>
        <v>email_signature</v>
      </c>
      <c r="F732" s="10" t="str">
        <f aca="false">INDEX(Canale!$D$2:$D$30,MATCH(C732,Canale!$A$2:$A$30,0))</f>
        <v>email</v>
      </c>
      <c r="G732" s="10" t="str">
        <f aca="false">INDEX('Site-uri'!$C$2:$C$20,MATCH(A732,'Site-uri'!$A$2:$A$20,0))</f>
        <v>/</v>
      </c>
      <c r="H732" s="10" t="str">
        <f aca="false">Config!$B$3</f>
        <v>2610_ff_lansare</v>
      </c>
      <c r="I732" s="10" t="str">
        <f aca="false">D732&amp;"_"&amp;Config!$B$4</f>
        <v>fierbinte_general</v>
      </c>
      <c r="J732" s="10" t="str">
        <f aca="false">"https://"&amp;B732&amp;G732&amp;"?utm_source="&amp;E732&amp;"&amp;utm_medium="&amp;F732&amp;"&amp;utm_campaign="&amp;H732&amp;"&amp;utm_content="&amp;I732</f>
        <v>https://eu-ai-audit.eu/?utm_source=email_signature&amp;utm_medium=email&amp;utm_campaign=2610_ff_lansare&amp;utm_content=fierbinte_general</v>
      </c>
    </row>
    <row r="733" customFormat="false" ht="15" hidden="false" customHeight="false" outlineLevel="0" collapsed="false">
      <c r="A733" s="10" t="s">
        <v>65</v>
      </c>
      <c r="B733" s="10" t="str">
        <f aca="false">INDEX('Site-uri'!$B$2:$B$20,MATCH(A733,'Site-uri'!$A$2:$A$20,0))</f>
        <v>eu-ai-audit.eu</v>
      </c>
      <c r="C733" s="10" t="s">
        <v>134</v>
      </c>
      <c r="D733" s="10" t="s">
        <v>237</v>
      </c>
      <c r="E733" s="10" t="str">
        <f aca="false">INDEX(Canale!$C$2:$C$30,MATCH(C733,Canale!$A$2:$A$30,0))</f>
        <v>email_signature</v>
      </c>
      <c r="F733" s="10" t="str">
        <f aca="false">INDEX(Canale!$D$2:$D$30,MATCH(C733,Canale!$A$2:$A$30,0))</f>
        <v>email</v>
      </c>
      <c r="G733" s="10" t="str">
        <f aca="false">INDEX('Site-uri'!$C$2:$C$20,MATCH(A733,'Site-uri'!$A$2:$A$20,0))</f>
        <v>/</v>
      </c>
      <c r="H733" s="10" t="str">
        <f aca="false">Config!$B$3</f>
        <v>2610_ff_lansare</v>
      </c>
      <c r="I733" s="10" t="str">
        <f aca="false">D733&amp;"_"&amp;Config!$B$4</f>
        <v>client_general</v>
      </c>
      <c r="J733" s="10" t="str">
        <f aca="false">"https://"&amp;B733&amp;G733&amp;"?utm_source="&amp;E733&amp;"&amp;utm_medium="&amp;F733&amp;"&amp;utm_campaign="&amp;H733&amp;"&amp;utm_content="&amp;I733</f>
        <v>https://eu-ai-audit.eu/?utm_source=email_signature&amp;utm_medium=email&amp;utm_campaign=2610_ff_lansare&amp;utm_content=client_general</v>
      </c>
    </row>
    <row r="734" customFormat="false" ht="15" hidden="false" customHeight="false" outlineLevel="0" collapsed="false">
      <c r="A734" s="10" t="s">
        <v>65</v>
      </c>
      <c r="B734" s="10" t="str">
        <f aca="false">INDEX('Site-uri'!$B$2:$B$20,MATCH(A734,'Site-uri'!$A$2:$A$20,0))</f>
        <v>eu-ai-audit.eu</v>
      </c>
      <c r="C734" s="10" t="s">
        <v>137</v>
      </c>
      <c r="D734" s="10" t="s">
        <v>219</v>
      </c>
      <c r="E734" s="10" t="str">
        <f aca="false">INDEX(Canale!$C$2:$C$30,MATCH(C734,Canale!$A$2:$A$30,0))</f>
        <v>whatsapp</v>
      </c>
      <c r="F734" s="10" t="str">
        <f aca="false">INDEX(Canale!$D$2:$D$30,MATCH(C734,Canale!$A$2:$A$30,0))</f>
        <v>dm</v>
      </c>
      <c r="G734" s="10" t="str">
        <f aca="false">INDEX('Site-uri'!$C$2:$C$20,MATCH(A734,'Site-uri'!$A$2:$A$20,0))</f>
        <v>/</v>
      </c>
      <c r="H734" s="10" t="str">
        <f aca="false">Config!$B$3</f>
        <v>2610_ff_lansare</v>
      </c>
      <c r="I734" s="10" t="str">
        <f aca="false">D734&amp;"_"&amp;Config!$B$4</f>
        <v>rece_general</v>
      </c>
      <c r="J734" s="10" t="str">
        <f aca="false">"https://"&amp;B734&amp;G734&amp;"?utm_source="&amp;E734&amp;"&amp;utm_medium="&amp;F734&amp;"&amp;utm_campaign="&amp;H734&amp;"&amp;utm_content="&amp;I734</f>
        <v>https://eu-ai-audit.eu/?utm_source=whatsapp&amp;utm_medium=dm&amp;utm_campaign=2610_ff_lansare&amp;utm_content=rece_general</v>
      </c>
    </row>
    <row r="735" customFormat="false" ht="15" hidden="false" customHeight="false" outlineLevel="0" collapsed="false">
      <c r="A735" s="10" t="s">
        <v>65</v>
      </c>
      <c r="B735" s="10" t="str">
        <f aca="false">INDEX('Site-uri'!$B$2:$B$20,MATCH(A735,'Site-uri'!$A$2:$A$20,0))</f>
        <v>eu-ai-audit.eu</v>
      </c>
      <c r="C735" s="10" t="s">
        <v>137</v>
      </c>
      <c r="D735" s="10" t="s">
        <v>225</v>
      </c>
      <c r="E735" s="10" t="str">
        <f aca="false">INDEX(Canale!$C$2:$C$30,MATCH(C735,Canale!$A$2:$A$30,0))</f>
        <v>whatsapp</v>
      </c>
      <c r="F735" s="10" t="str">
        <f aca="false">INDEX(Canale!$D$2:$D$30,MATCH(C735,Canale!$A$2:$A$30,0))</f>
        <v>dm</v>
      </c>
      <c r="G735" s="10" t="str">
        <f aca="false">INDEX('Site-uri'!$C$2:$C$20,MATCH(A735,'Site-uri'!$A$2:$A$20,0))</f>
        <v>/</v>
      </c>
      <c r="H735" s="10" t="str">
        <f aca="false">Config!$B$3</f>
        <v>2610_ff_lansare</v>
      </c>
      <c r="I735" s="10" t="str">
        <f aca="false">D735&amp;"_"&amp;Config!$B$4</f>
        <v>cald_general</v>
      </c>
      <c r="J735" s="10" t="str">
        <f aca="false">"https://"&amp;B735&amp;G735&amp;"?utm_source="&amp;E735&amp;"&amp;utm_medium="&amp;F735&amp;"&amp;utm_campaign="&amp;H735&amp;"&amp;utm_content="&amp;I735</f>
        <v>https://eu-ai-audit.eu/?utm_source=whatsapp&amp;utm_medium=dm&amp;utm_campaign=2610_ff_lansare&amp;utm_content=cald_general</v>
      </c>
    </row>
    <row r="736" customFormat="false" ht="15" hidden="false" customHeight="false" outlineLevel="0" collapsed="false">
      <c r="A736" s="10" t="s">
        <v>65</v>
      </c>
      <c r="B736" s="10" t="str">
        <f aca="false">INDEX('Site-uri'!$B$2:$B$20,MATCH(A736,'Site-uri'!$A$2:$A$20,0))</f>
        <v>eu-ai-audit.eu</v>
      </c>
      <c r="C736" s="10" t="s">
        <v>137</v>
      </c>
      <c r="D736" s="10" t="s">
        <v>231</v>
      </c>
      <c r="E736" s="10" t="str">
        <f aca="false">INDEX(Canale!$C$2:$C$30,MATCH(C736,Canale!$A$2:$A$30,0))</f>
        <v>whatsapp</v>
      </c>
      <c r="F736" s="10" t="str">
        <f aca="false">INDEX(Canale!$D$2:$D$30,MATCH(C736,Canale!$A$2:$A$30,0))</f>
        <v>dm</v>
      </c>
      <c r="G736" s="10" t="str">
        <f aca="false">INDEX('Site-uri'!$C$2:$C$20,MATCH(A736,'Site-uri'!$A$2:$A$20,0))</f>
        <v>/</v>
      </c>
      <c r="H736" s="10" t="str">
        <f aca="false">Config!$B$3</f>
        <v>2610_ff_lansare</v>
      </c>
      <c r="I736" s="10" t="str">
        <f aca="false">D736&amp;"_"&amp;Config!$B$4</f>
        <v>fierbinte_general</v>
      </c>
      <c r="J736" s="10" t="str">
        <f aca="false">"https://"&amp;B736&amp;G736&amp;"?utm_source="&amp;E736&amp;"&amp;utm_medium="&amp;F736&amp;"&amp;utm_campaign="&amp;H736&amp;"&amp;utm_content="&amp;I736</f>
        <v>https://eu-ai-audit.eu/?utm_source=whatsapp&amp;utm_medium=dm&amp;utm_campaign=2610_ff_lansare&amp;utm_content=fierbinte_general</v>
      </c>
    </row>
    <row r="737" customFormat="false" ht="15" hidden="false" customHeight="false" outlineLevel="0" collapsed="false">
      <c r="A737" s="10" t="s">
        <v>65</v>
      </c>
      <c r="B737" s="10" t="str">
        <f aca="false">INDEX('Site-uri'!$B$2:$B$20,MATCH(A737,'Site-uri'!$A$2:$A$20,0))</f>
        <v>eu-ai-audit.eu</v>
      </c>
      <c r="C737" s="10" t="s">
        <v>137</v>
      </c>
      <c r="D737" s="10" t="s">
        <v>237</v>
      </c>
      <c r="E737" s="10" t="str">
        <f aca="false">INDEX(Canale!$C$2:$C$30,MATCH(C737,Canale!$A$2:$A$30,0))</f>
        <v>whatsapp</v>
      </c>
      <c r="F737" s="10" t="str">
        <f aca="false">INDEX(Canale!$D$2:$D$30,MATCH(C737,Canale!$A$2:$A$30,0))</f>
        <v>dm</v>
      </c>
      <c r="G737" s="10" t="str">
        <f aca="false">INDEX('Site-uri'!$C$2:$C$20,MATCH(A737,'Site-uri'!$A$2:$A$20,0))</f>
        <v>/</v>
      </c>
      <c r="H737" s="10" t="str">
        <f aca="false">Config!$B$3</f>
        <v>2610_ff_lansare</v>
      </c>
      <c r="I737" s="10" t="str">
        <f aca="false">D737&amp;"_"&amp;Config!$B$4</f>
        <v>client_general</v>
      </c>
      <c r="J737" s="10" t="str">
        <f aca="false">"https://"&amp;B737&amp;G737&amp;"?utm_source="&amp;E737&amp;"&amp;utm_medium="&amp;F737&amp;"&amp;utm_campaign="&amp;H737&amp;"&amp;utm_content="&amp;I737</f>
        <v>https://eu-ai-audit.eu/?utm_source=whatsapp&amp;utm_medium=dm&amp;utm_campaign=2610_ff_lansare&amp;utm_content=client_general</v>
      </c>
    </row>
    <row r="738" customFormat="false" ht="15" hidden="false" customHeight="false" outlineLevel="0" collapsed="false">
      <c r="A738" s="10" t="s">
        <v>65</v>
      </c>
      <c r="B738" s="10" t="str">
        <f aca="false">INDEX('Site-uri'!$B$2:$B$20,MATCH(A738,'Site-uri'!$A$2:$A$20,0))</f>
        <v>eu-ai-audit.eu</v>
      </c>
      <c r="C738" s="10" t="s">
        <v>141</v>
      </c>
      <c r="D738" s="10" t="s">
        <v>219</v>
      </c>
      <c r="E738" s="10" t="str">
        <f aca="false">INDEX(Canale!$C$2:$C$30,MATCH(C738,Canale!$A$2:$A$30,0))</f>
        <v>google</v>
      </c>
      <c r="F738" s="10" t="str">
        <f aca="false">INDEX(Canale!$D$2:$D$30,MATCH(C738,Canale!$A$2:$A$30,0))</f>
        <v>cpc</v>
      </c>
      <c r="G738" s="10" t="str">
        <f aca="false">INDEX('Site-uri'!$C$2:$C$20,MATCH(A738,'Site-uri'!$A$2:$A$20,0))</f>
        <v>/</v>
      </c>
      <c r="H738" s="10" t="str">
        <f aca="false">Config!$B$3</f>
        <v>2610_ff_lansare</v>
      </c>
      <c r="I738" s="10" t="str">
        <f aca="false">D738&amp;"_"&amp;Config!$B$4</f>
        <v>rece_general</v>
      </c>
      <c r="J738" s="10" t="str">
        <f aca="false">"https://"&amp;B738&amp;G738&amp;"?utm_source="&amp;E738&amp;"&amp;utm_medium="&amp;F738&amp;"&amp;utm_campaign="&amp;H738&amp;"&amp;utm_content="&amp;I738</f>
        <v>https://eu-ai-audit.eu/?utm_source=google&amp;utm_medium=cpc&amp;utm_campaign=2610_ff_lansare&amp;utm_content=rece_general</v>
      </c>
    </row>
    <row r="739" customFormat="false" ht="15" hidden="false" customHeight="false" outlineLevel="0" collapsed="false">
      <c r="A739" s="10" t="s">
        <v>65</v>
      </c>
      <c r="B739" s="10" t="str">
        <f aca="false">INDEX('Site-uri'!$B$2:$B$20,MATCH(A739,'Site-uri'!$A$2:$A$20,0))</f>
        <v>eu-ai-audit.eu</v>
      </c>
      <c r="C739" s="10" t="s">
        <v>141</v>
      </c>
      <c r="D739" s="10" t="s">
        <v>225</v>
      </c>
      <c r="E739" s="10" t="str">
        <f aca="false">INDEX(Canale!$C$2:$C$30,MATCH(C739,Canale!$A$2:$A$30,0))</f>
        <v>google</v>
      </c>
      <c r="F739" s="10" t="str">
        <f aca="false">INDEX(Canale!$D$2:$D$30,MATCH(C739,Canale!$A$2:$A$30,0))</f>
        <v>cpc</v>
      </c>
      <c r="G739" s="10" t="str">
        <f aca="false">INDEX('Site-uri'!$C$2:$C$20,MATCH(A739,'Site-uri'!$A$2:$A$20,0))</f>
        <v>/</v>
      </c>
      <c r="H739" s="10" t="str">
        <f aca="false">Config!$B$3</f>
        <v>2610_ff_lansare</v>
      </c>
      <c r="I739" s="10" t="str">
        <f aca="false">D739&amp;"_"&amp;Config!$B$4</f>
        <v>cald_general</v>
      </c>
      <c r="J739" s="10" t="str">
        <f aca="false">"https://"&amp;B739&amp;G739&amp;"?utm_source="&amp;E739&amp;"&amp;utm_medium="&amp;F739&amp;"&amp;utm_campaign="&amp;H739&amp;"&amp;utm_content="&amp;I739</f>
        <v>https://eu-ai-audit.eu/?utm_source=google&amp;utm_medium=cpc&amp;utm_campaign=2610_ff_lansare&amp;utm_content=cald_general</v>
      </c>
    </row>
    <row r="740" customFormat="false" ht="15" hidden="false" customHeight="false" outlineLevel="0" collapsed="false">
      <c r="A740" s="10" t="s">
        <v>65</v>
      </c>
      <c r="B740" s="10" t="str">
        <f aca="false">INDEX('Site-uri'!$B$2:$B$20,MATCH(A740,'Site-uri'!$A$2:$A$20,0))</f>
        <v>eu-ai-audit.eu</v>
      </c>
      <c r="C740" s="10" t="s">
        <v>141</v>
      </c>
      <c r="D740" s="10" t="s">
        <v>231</v>
      </c>
      <c r="E740" s="10" t="str">
        <f aca="false">INDEX(Canale!$C$2:$C$30,MATCH(C740,Canale!$A$2:$A$30,0))</f>
        <v>google</v>
      </c>
      <c r="F740" s="10" t="str">
        <f aca="false">INDEX(Canale!$D$2:$D$30,MATCH(C740,Canale!$A$2:$A$30,0))</f>
        <v>cpc</v>
      </c>
      <c r="G740" s="10" t="str">
        <f aca="false">INDEX('Site-uri'!$C$2:$C$20,MATCH(A740,'Site-uri'!$A$2:$A$20,0))</f>
        <v>/</v>
      </c>
      <c r="H740" s="10" t="str">
        <f aca="false">Config!$B$3</f>
        <v>2610_ff_lansare</v>
      </c>
      <c r="I740" s="10" t="str">
        <f aca="false">D740&amp;"_"&amp;Config!$B$4</f>
        <v>fierbinte_general</v>
      </c>
      <c r="J740" s="10" t="str">
        <f aca="false">"https://"&amp;B740&amp;G740&amp;"?utm_source="&amp;E740&amp;"&amp;utm_medium="&amp;F740&amp;"&amp;utm_campaign="&amp;H740&amp;"&amp;utm_content="&amp;I740</f>
        <v>https://eu-ai-audit.eu/?utm_source=google&amp;utm_medium=cpc&amp;utm_campaign=2610_ff_lansare&amp;utm_content=fierbinte_general</v>
      </c>
    </row>
    <row r="741" customFormat="false" ht="15" hidden="false" customHeight="false" outlineLevel="0" collapsed="false">
      <c r="A741" s="10" t="s">
        <v>65</v>
      </c>
      <c r="B741" s="10" t="str">
        <f aca="false">INDEX('Site-uri'!$B$2:$B$20,MATCH(A741,'Site-uri'!$A$2:$A$20,0))</f>
        <v>eu-ai-audit.eu</v>
      </c>
      <c r="C741" s="10" t="s">
        <v>141</v>
      </c>
      <c r="D741" s="10" t="s">
        <v>237</v>
      </c>
      <c r="E741" s="10" t="str">
        <f aca="false">INDEX(Canale!$C$2:$C$30,MATCH(C741,Canale!$A$2:$A$30,0))</f>
        <v>google</v>
      </c>
      <c r="F741" s="10" t="str">
        <f aca="false">INDEX(Canale!$D$2:$D$30,MATCH(C741,Canale!$A$2:$A$30,0))</f>
        <v>cpc</v>
      </c>
      <c r="G741" s="10" t="str">
        <f aca="false">INDEX('Site-uri'!$C$2:$C$20,MATCH(A741,'Site-uri'!$A$2:$A$20,0))</f>
        <v>/</v>
      </c>
      <c r="H741" s="10" t="str">
        <f aca="false">Config!$B$3</f>
        <v>2610_ff_lansare</v>
      </c>
      <c r="I741" s="10" t="str">
        <f aca="false">D741&amp;"_"&amp;Config!$B$4</f>
        <v>client_general</v>
      </c>
      <c r="J741" s="10" t="str">
        <f aca="false">"https://"&amp;B741&amp;G741&amp;"?utm_source="&amp;E741&amp;"&amp;utm_medium="&amp;F741&amp;"&amp;utm_campaign="&amp;H741&amp;"&amp;utm_content="&amp;I741</f>
        <v>https://eu-ai-audit.eu/?utm_source=google&amp;utm_medium=cpc&amp;utm_campaign=2610_ff_lansare&amp;utm_content=client_general</v>
      </c>
    </row>
    <row r="742" customFormat="false" ht="15" hidden="false" customHeight="false" outlineLevel="0" collapsed="false">
      <c r="A742" s="10" t="s">
        <v>65</v>
      </c>
      <c r="B742" s="10" t="str">
        <f aca="false">INDEX('Site-uri'!$B$2:$B$20,MATCH(A742,'Site-uri'!$A$2:$A$20,0))</f>
        <v>eu-ai-audit.eu</v>
      </c>
      <c r="C742" s="10" t="s">
        <v>146</v>
      </c>
      <c r="D742" s="10" t="s">
        <v>219</v>
      </c>
      <c r="E742" s="10" t="str">
        <f aca="false">INDEX(Canale!$C$2:$C$30,MATCH(C742,Canale!$A$2:$A$30,0))</f>
        <v>bing</v>
      </c>
      <c r="F742" s="10" t="str">
        <f aca="false">INDEX(Canale!$D$2:$D$30,MATCH(C742,Canale!$A$2:$A$30,0))</f>
        <v>cpc</v>
      </c>
      <c r="G742" s="10" t="str">
        <f aca="false">INDEX('Site-uri'!$C$2:$C$20,MATCH(A742,'Site-uri'!$A$2:$A$20,0))</f>
        <v>/</v>
      </c>
      <c r="H742" s="10" t="str">
        <f aca="false">Config!$B$3</f>
        <v>2610_ff_lansare</v>
      </c>
      <c r="I742" s="10" t="str">
        <f aca="false">D742&amp;"_"&amp;Config!$B$4</f>
        <v>rece_general</v>
      </c>
      <c r="J742" s="10" t="str">
        <f aca="false">"https://"&amp;B742&amp;G742&amp;"?utm_source="&amp;E742&amp;"&amp;utm_medium="&amp;F742&amp;"&amp;utm_campaign="&amp;H742&amp;"&amp;utm_content="&amp;I742</f>
        <v>https://eu-ai-audit.eu/?utm_source=bing&amp;utm_medium=cpc&amp;utm_campaign=2610_ff_lansare&amp;utm_content=rece_general</v>
      </c>
    </row>
    <row r="743" customFormat="false" ht="15" hidden="false" customHeight="false" outlineLevel="0" collapsed="false">
      <c r="A743" s="10" t="s">
        <v>65</v>
      </c>
      <c r="B743" s="10" t="str">
        <f aca="false">INDEX('Site-uri'!$B$2:$B$20,MATCH(A743,'Site-uri'!$A$2:$A$20,0))</f>
        <v>eu-ai-audit.eu</v>
      </c>
      <c r="C743" s="10" t="s">
        <v>146</v>
      </c>
      <c r="D743" s="10" t="s">
        <v>225</v>
      </c>
      <c r="E743" s="10" t="str">
        <f aca="false">INDEX(Canale!$C$2:$C$30,MATCH(C743,Canale!$A$2:$A$30,0))</f>
        <v>bing</v>
      </c>
      <c r="F743" s="10" t="str">
        <f aca="false">INDEX(Canale!$D$2:$D$30,MATCH(C743,Canale!$A$2:$A$30,0))</f>
        <v>cpc</v>
      </c>
      <c r="G743" s="10" t="str">
        <f aca="false">INDEX('Site-uri'!$C$2:$C$20,MATCH(A743,'Site-uri'!$A$2:$A$20,0))</f>
        <v>/</v>
      </c>
      <c r="H743" s="10" t="str">
        <f aca="false">Config!$B$3</f>
        <v>2610_ff_lansare</v>
      </c>
      <c r="I743" s="10" t="str">
        <f aca="false">D743&amp;"_"&amp;Config!$B$4</f>
        <v>cald_general</v>
      </c>
      <c r="J743" s="10" t="str">
        <f aca="false">"https://"&amp;B743&amp;G743&amp;"?utm_source="&amp;E743&amp;"&amp;utm_medium="&amp;F743&amp;"&amp;utm_campaign="&amp;H743&amp;"&amp;utm_content="&amp;I743</f>
        <v>https://eu-ai-audit.eu/?utm_source=bing&amp;utm_medium=cpc&amp;utm_campaign=2610_ff_lansare&amp;utm_content=cald_general</v>
      </c>
    </row>
    <row r="744" customFormat="false" ht="15" hidden="false" customHeight="false" outlineLevel="0" collapsed="false">
      <c r="A744" s="10" t="s">
        <v>65</v>
      </c>
      <c r="B744" s="10" t="str">
        <f aca="false">INDEX('Site-uri'!$B$2:$B$20,MATCH(A744,'Site-uri'!$A$2:$A$20,0))</f>
        <v>eu-ai-audit.eu</v>
      </c>
      <c r="C744" s="10" t="s">
        <v>146</v>
      </c>
      <c r="D744" s="10" t="s">
        <v>231</v>
      </c>
      <c r="E744" s="10" t="str">
        <f aca="false">INDEX(Canale!$C$2:$C$30,MATCH(C744,Canale!$A$2:$A$30,0))</f>
        <v>bing</v>
      </c>
      <c r="F744" s="10" t="str">
        <f aca="false">INDEX(Canale!$D$2:$D$30,MATCH(C744,Canale!$A$2:$A$30,0))</f>
        <v>cpc</v>
      </c>
      <c r="G744" s="10" t="str">
        <f aca="false">INDEX('Site-uri'!$C$2:$C$20,MATCH(A744,'Site-uri'!$A$2:$A$20,0))</f>
        <v>/</v>
      </c>
      <c r="H744" s="10" t="str">
        <f aca="false">Config!$B$3</f>
        <v>2610_ff_lansare</v>
      </c>
      <c r="I744" s="10" t="str">
        <f aca="false">D744&amp;"_"&amp;Config!$B$4</f>
        <v>fierbinte_general</v>
      </c>
      <c r="J744" s="10" t="str">
        <f aca="false">"https://"&amp;B744&amp;G744&amp;"?utm_source="&amp;E744&amp;"&amp;utm_medium="&amp;F744&amp;"&amp;utm_campaign="&amp;H744&amp;"&amp;utm_content="&amp;I744</f>
        <v>https://eu-ai-audit.eu/?utm_source=bing&amp;utm_medium=cpc&amp;utm_campaign=2610_ff_lansare&amp;utm_content=fierbinte_general</v>
      </c>
    </row>
    <row r="745" customFormat="false" ht="15" hidden="false" customHeight="false" outlineLevel="0" collapsed="false">
      <c r="A745" s="10" t="s">
        <v>65</v>
      </c>
      <c r="B745" s="10" t="str">
        <f aca="false">INDEX('Site-uri'!$B$2:$B$20,MATCH(A745,'Site-uri'!$A$2:$A$20,0))</f>
        <v>eu-ai-audit.eu</v>
      </c>
      <c r="C745" s="10" t="s">
        <v>146</v>
      </c>
      <c r="D745" s="10" t="s">
        <v>237</v>
      </c>
      <c r="E745" s="10" t="str">
        <f aca="false">INDEX(Canale!$C$2:$C$30,MATCH(C745,Canale!$A$2:$A$30,0))</f>
        <v>bing</v>
      </c>
      <c r="F745" s="10" t="str">
        <f aca="false">INDEX(Canale!$D$2:$D$30,MATCH(C745,Canale!$A$2:$A$30,0))</f>
        <v>cpc</v>
      </c>
      <c r="G745" s="10" t="str">
        <f aca="false">INDEX('Site-uri'!$C$2:$C$20,MATCH(A745,'Site-uri'!$A$2:$A$20,0))</f>
        <v>/</v>
      </c>
      <c r="H745" s="10" t="str">
        <f aca="false">Config!$B$3</f>
        <v>2610_ff_lansare</v>
      </c>
      <c r="I745" s="10" t="str">
        <f aca="false">D745&amp;"_"&amp;Config!$B$4</f>
        <v>client_general</v>
      </c>
      <c r="J745" s="10" t="str">
        <f aca="false">"https://"&amp;B745&amp;G745&amp;"?utm_source="&amp;E745&amp;"&amp;utm_medium="&amp;F745&amp;"&amp;utm_campaign="&amp;H745&amp;"&amp;utm_content="&amp;I745</f>
        <v>https://eu-ai-audit.eu/?utm_source=bing&amp;utm_medium=cpc&amp;utm_campaign=2610_ff_lansare&amp;utm_content=client_general</v>
      </c>
    </row>
    <row r="746" customFormat="false" ht="15" hidden="false" customHeight="false" outlineLevel="0" collapsed="false">
      <c r="A746" s="10" t="s">
        <v>65</v>
      </c>
      <c r="B746" s="10" t="str">
        <f aca="false">INDEX('Site-uri'!$B$2:$B$20,MATCH(A746,'Site-uri'!$A$2:$A$20,0))</f>
        <v>eu-ai-audit.eu</v>
      </c>
      <c r="C746" s="10" t="s">
        <v>149</v>
      </c>
      <c r="D746" s="10" t="s">
        <v>219</v>
      </c>
      <c r="E746" s="10" t="str">
        <f aca="false">INDEX(Canale!$C$2:$C$30,MATCH(C746,Canale!$A$2:$A$30,0))</f>
        <v>facebook</v>
      </c>
      <c r="F746" s="10" t="str">
        <f aca="false">INDEX(Canale!$D$2:$D$30,MATCH(C746,Canale!$A$2:$A$30,0))</f>
        <v>social</v>
      </c>
      <c r="G746" s="10" t="str">
        <f aca="false">INDEX('Site-uri'!$C$2:$C$20,MATCH(A746,'Site-uri'!$A$2:$A$20,0))</f>
        <v>/</v>
      </c>
      <c r="H746" s="10" t="str">
        <f aca="false">Config!$B$3</f>
        <v>2610_ff_lansare</v>
      </c>
      <c r="I746" s="10" t="str">
        <f aca="false">D746&amp;"_"&amp;Config!$B$4</f>
        <v>rece_general</v>
      </c>
      <c r="J746" s="10" t="str">
        <f aca="false">"https://"&amp;B746&amp;G746&amp;"?utm_source="&amp;E746&amp;"&amp;utm_medium="&amp;F746&amp;"&amp;utm_campaign="&amp;H746&amp;"&amp;utm_content="&amp;I746</f>
        <v>https://eu-ai-audit.eu/?utm_source=facebook&amp;utm_medium=social&amp;utm_campaign=2610_ff_lansare&amp;utm_content=rece_general</v>
      </c>
    </row>
    <row r="747" customFormat="false" ht="15" hidden="false" customHeight="false" outlineLevel="0" collapsed="false">
      <c r="A747" s="10" t="s">
        <v>65</v>
      </c>
      <c r="B747" s="10" t="str">
        <f aca="false">INDEX('Site-uri'!$B$2:$B$20,MATCH(A747,'Site-uri'!$A$2:$A$20,0))</f>
        <v>eu-ai-audit.eu</v>
      </c>
      <c r="C747" s="10" t="s">
        <v>149</v>
      </c>
      <c r="D747" s="10" t="s">
        <v>225</v>
      </c>
      <c r="E747" s="10" t="str">
        <f aca="false">INDEX(Canale!$C$2:$C$30,MATCH(C747,Canale!$A$2:$A$30,0))</f>
        <v>facebook</v>
      </c>
      <c r="F747" s="10" t="str">
        <f aca="false">INDEX(Canale!$D$2:$D$30,MATCH(C747,Canale!$A$2:$A$30,0))</f>
        <v>social</v>
      </c>
      <c r="G747" s="10" t="str">
        <f aca="false">INDEX('Site-uri'!$C$2:$C$20,MATCH(A747,'Site-uri'!$A$2:$A$20,0))</f>
        <v>/</v>
      </c>
      <c r="H747" s="10" t="str">
        <f aca="false">Config!$B$3</f>
        <v>2610_ff_lansare</v>
      </c>
      <c r="I747" s="10" t="str">
        <f aca="false">D747&amp;"_"&amp;Config!$B$4</f>
        <v>cald_general</v>
      </c>
      <c r="J747" s="10" t="str">
        <f aca="false">"https://"&amp;B747&amp;G747&amp;"?utm_source="&amp;E747&amp;"&amp;utm_medium="&amp;F747&amp;"&amp;utm_campaign="&amp;H747&amp;"&amp;utm_content="&amp;I747</f>
        <v>https://eu-ai-audit.eu/?utm_source=facebook&amp;utm_medium=social&amp;utm_campaign=2610_ff_lansare&amp;utm_content=cald_general</v>
      </c>
    </row>
    <row r="748" customFormat="false" ht="15" hidden="false" customHeight="false" outlineLevel="0" collapsed="false">
      <c r="A748" s="10" t="s">
        <v>65</v>
      </c>
      <c r="B748" s="10" t="str">
        <f aca="false">INDEX('Site-uri'!$B$2:$B$20,MATCH(A748,'Site-uri'!$A$2:$A$20,0))</f>
        <v>eu-ai-audit.eu</v>
      </c>
      <c r="C748" s="10" t="s">
        <v>149</v>
      </c>
      <c r="D748" s="10" t="s">
        <v>231</v>
      </c>
      <c r="E748" s="10" t="str">
        <f aca="false">INDEX(Canale!$C$2:$C$30,MATCH(C748,Canale!$A$2:$A$30,0))</f>
        <v>facebook</v>
      </c>
      <c r="F748" s="10" t="str">
        <f aca="false">INDEX(Canale!$D$2:$D$30,MATCH(C748,Canale!$A$2:$A$30,0))</f>
        <v>social</v>
      </c>
      <c r="G748" s="10" t="str">
        <f aca="false">INDEX('Site-uri'!$C$2:$C$20,MATCH(A748,'Site-uri'!$A$2:$A$20,0))</f>
        <v>/</v>
      </c>
      <c r="H748" s="10" t="str">
        <f aca="false">Config!$B$3</f>
        <v>2610_ff_lansare</v>
      </c>
      <c r="I748" s="10" t="str">
        <f aca="false">D748&amp;"_"&amp;Config!$B$4</f>
        <v>fierbinte_general</v>
      </c>
      <c r="J748" s="10" t="str">
        <f aca="false">"https://"&amp;B748&amp;G748&amp;"?utm_source="&amp;E748&amp;"&amp;utm_medium="&amp;F748&amp;"&amp;utm_campaign="&amp;H748&amp;"&amp;utm_content="&amp;I748</f>
        <v>https://eu-ai-audit.eu/?utm_source=facebook&amp;utm_medium=social&amp;utm_campaign=2610_ff_lansare&amp;utm_content=fierbinte_general</v>
      </c>
    </row>
    <row r="749" customFormat="false" ht="15" hidden="false" customHeight="false" outlineLevel="0" collapsed="false">
      <c r="A749" s="10" t="s">
        <v>65</v>
      </c>
      <c r="B749" s="10" t="str">
        <f aca="false">INDEX('Site-uri'!$B$2:$B$20,MATCH(A749,'Site-uri'!$A$2:$A$20,0))</f>
        <v>eu-ai-audit.eu</v>
      </c>
      <c r="C749" s="10" t="s">
        <v>149</v>
      </c>
      <c r="D749" s="10" t="s">
        <v>237</v>
      </c>
      <c r="E749" s="10" t="str">
        <f aca="false">INDEX(Canale!$C$2:$C$30,MATCH(C749,Canale!$A$2:$A$30,0))</f>
        <v>facebook</v>
      </c>
      <c r="F749" s="10" t="str">
        <f aca="false">INDEX(Canale!$D$2:$D$30,MATCH(C749,Canale!$A$2:$A$30,0))</f>
        <v>social</v>
      </c>
      <c r="G749" s="10" t="str">
        <f aca="false">INDEX('Site-uri'!$C$2:$C$20,MATCH(A749,'Site-uri'!$A$2:$A$20,0))</f>
        <v>/</v>
      </c>
      <c r="H749" s="10" t="str">
        <f aca="false">Config!$B$3</f>
        <v>2610_ff_lansare</v>
      </c>
      <c r="I749" s="10" t="str">
        <f aca="false">D749&amp;"_"&amp;Config!$B$4</f>
        <v>client_general</v>
      </c>
      <c r="J749" s="10" t="str">
        <f aca="false">"https://"&amp;B749&amp;G749&amp;"?utm_source="&amp;E749&amp;"&amp;utm_medium="&amp;F749&amp;"&amp;utm_campaign="&amp;H749&amp;"&amp;utm_content="&amp;I749</f>
        <v>https://eu-ai-audit.eu/?utm_source=facebook&amp;utm_medium=social&amp;utm_campaign=2610_ff_lansare&amp;utm_content=client_general</v>
      </c>
    </row>
    <row r="750" customFormat="false" ht="15" hidden="false" customHeight="false" outlineLevel="0" collapsed="false">
      <c r="A750" s="10" t="s">
        <v>65</v>
      </c>
      <c r="B750" s="10" t="str">
        <f aca="false">INDEX('Site-uri'!$B$2:$B$20,MATCH(A750,'Site-uri'!$A$2:$A$20,0))</f>
        <v>eu-ai-audit.eu</v>
      </c>
      <c r="C750" s="10" t="s">
        <v>153</v>
      </c>
      <c r="D750" s="10" t="s">
        <v>219</v>
      </c>
      <c r="E750" s="10" t="str">
        <f aca="false">INDEX(Canale!$C$2:$C$30,MATCH(C750,Canale!$A$2:$A$30,0))</f>
        <v>x</v>
      </c>
      <c r="F750" s="10" t="str">
        <f aca="false">INDEX(Canale!$D$2:$D$30,MATCH(C750,Canale!$A$2:$A$30,0))</f>
        <v>social</v>
      </c>
      <c r="G750" s="10" t="str">
        <f aca="false">INDEX('Site-uri'!$C$2:$C$20,MATCH(A750,'Site-uri'!$A$2:$A$20,0))</f>
        <v>/</v>
      </c>
      <c r="H750" s="10" t="str">
        <f aca="false">Config!$B$3</f>
        <v>2610_ff_lansare</v>
      </c>
      <c r="I750" s="10" t="str">
        <f aca="false">D750&amp;"_"&amp;Config!$B$4</f>
        <v>rece_general</v>
      </c>
      <c r="J750" s="10" t="str">
        <f aca="false">"https://"&amp;B750&amp;G750&amp;"?utm_source="&amp;E750&amp;"&amp;utm_medium="&amp;F750&amp;"&amp;utm_campaign="&amp;H750&amp;"&amp;utm_content="&amp;I750</f>
        <v>https://eu-ai-audit.eu/?utm_source=x&amp;utm_medium=social&amp;utm_campaign=2610_ff_lansare&amp;utm_content=rece_general</v>
      </c>
    </row>
    <row r="751" customFormat="false" ht="15" hidden="false" customHeight="false" outlineLevel="0" collapsed="false">
      <c r="A751" s="10" t="s">
        <v>65</v>
      </c>
      <c r="B751" s="10" t="str">
        <f aca="false">INDEX('Site-uri'!$B$2:$B$20,MATCH(A751,'Site-uri'!$A$2:$A$20,0))</f>
        <v>eu-ai-audit.eu</v>
      </c>
      <c r="C751" s="10" t="s">
        <v>153</v>
      </c>
      <c r="D751" s="10" t="s">
        <v>225</v>
      </c>
      <c r="E751" s="10" t="str">
        <f aca="false">INDEX(Canale!$C$2:$C$30,MATCH(C751,Canale!$A$2:$A$30,0))</f>
        <v>x</v>
      </c>
      <c r="F751" s="10" t="str">
        <f aca="false">INDEX(Canale!$D$2:$D$30,MATCH(C751,Canale!$A$2:$A$30,0))</f>
        <v>social</v>
      </c>
      <c r="G751" s="10" t="str">
        <f aca="false">INDEX('Site-uri'!$C$2:$C$20,MATCH(A751,'Site-uri'!$A$2:$A$20,0))</f>
        <v>/</v>
      </c>
      <c r="H751" s="10" t="str">
        <f aca="false">Config!$B$3</f>
        <v>2610_ff_lansare</v>
      </c>
      <c r="I751" s="10" t="str">
        <f aca="false">D751&amp;"_"&amp;Config!$B$4</f>
        <v>cald_general</v>
      </c>
      <c r="J751" s="10" t="str">
        <f aca="false">"https://"&amp;B751&amp;G751&amp;"?utm_source="&amp;E751&amp;"&amp;utm_medium="&amp;F751&amp;"&amp;utm_campaign="&amp;H751&amp;"&amp;utm_content="&amp;I751</f>
        <v>https://eu-ai-audit.eu/?utm_source=x&amp;utm_medium=social&amp;utm_campaign=2610_ff_lansare&amp;utm_content=cald_general</v>
      </c>
    </row>
    <row r="752" customFormat="false" ht="15" hidden="false" customHeight="false" outlineLevel="0" collapsed="false">
      <c r="A752" s="10" t="s">
        <v>65</v>
      </c>
      <c r="B752" s="10" t="str">
        <f aca="false">INDEX('Site-uri'!$B$2:$B$20,MATCH(A752,'Site-uri'!$A$2:$A$20,0))</f>
        <v>eu-ai-audit.eu</v>
      </c>
      <c r="C752" s="10" t="s">
        <v>153</v>
      </c>
      <c r="D752" s="10" t="s">
        <v>231</v>
      </c>
      <c r="E752" s="10" t="str">
        <f aca="false">INDEX(Canale!$C$2:$C$30,MATCH(C752,Canale!$A$2:$A$30,0))</f>
        <v>x</v>
      </c>
      <c r="F752" s="10" t="str">
        <f aca="false">INDEX(Canale!$D$2:$D$30,MATCH(C752,Canale!$A$2:$A$30,0))</f>
        <v>social</v>
      </c>
      <c r="G752" s="10" t="str">
        <f aca="false">INDEX('Site-uri'!$C$2:$C$20,MATCH(A752,'Site-uri'!$A$2:$A$20,0))</f>
        <v>/</v>
      </c>
      <c r="H752" s="10" t="str">
        <f aca="false">Config!$B$3</f>
        <v>2610_ff_lansare</v>
      </c>
      <c r="I752" s="10" t="str">
        <f aca="false">D752&amp;"_"&amp;Config!$B$4</f>
        <v>fierbinte_general</v>
      </c>
      <c r="J752" s="10" t="str">
        <f aca="false">"https://"&amp;B752&amp;G752&amp;"?utm_source="&amp;E752&amp;"&amp;utm_medium="&amp;F752&amp;"&amp;utm_campaign="&amp;H752&amp;"&amp;utm_content="&amp;I752</f>
        <v>https://eu-ai-audit.eu/?utm_source=x&amp;utm_medium=social&amp;utm_campaign=2610_ff_lansare&amp;utm_content=fierbinte_general</v>
      </c>
    </row>
    <row r="753" customFormat="false" ht="15" hidden="false" customHeight="false" outlineLevel="0" collapsed="false">
      <c r="A753" s="10" t="s">
        <v>65</v>
      </c>
      <c r="B753" s="10" t="str">
        <f aca="false">INDEX('Site-uri'!$B$2:$B$20,MATCH(A753,'Site-uri'!$A$2:$A$20,0))</f>
        <v>eu-ai-audit.eu</v>
      </c>
      <c r="C753" s="10" t="s">
        <v>153</v>
      </c>
      <c r="D753" s="10" t="s">
        <v>237</v>
      </c>
      <c r="E753" s="10" t="str">
        <f aca="false">INDEX(Canale!$C$2:$C$30,MATCH(C753,Canale!$A$2:$A$30,0))</f>
        <v>x</v>
      </c>
      <c r="F753" s="10" t="str">
        <f aca="false">INDEX(Canale!$D$2:$D$30,MATCH(C753,Canale!$A$2:$A$30,0))</f>
        <v>social</v>
      </c>
      <c r="G753" s="10" t="str">
        <f aca="false">INDEX('Site-uri'!$C$2:$C$20,MATCH(A753,'Site-uri'!$A$2:$A$20,0))</f>
        <v>/</v>
      </c>
      <c r="H753" s="10" t="str">
        <f aca="false">Config!$B$3</f>
        <v>2610_ff_lansare</v>
      </c>
      <c r="I753" s="10" t="str">
        <f aca="false">D753&amp;"_"&amp;Config!$B$4</f>
        <v>client_general</v>
      </c>
      <c r="J753" s="10" t="str">
        <f aca="false">"https://"&amp;B753&amp;G753&amp;"?utm_source="&amp;E753&amp;"&amp;utm_medium="&amp;F753&amp;"&amp;utm_campaign="&amp;H753&amp;"&amp;utm_content="&amp;I753</f>
        <v>https://eu-ai-audit.eu/?utm_source=x&amp;utm_medium=social&amp;utm_campaign=2610_ff_lansare&amp;utm_content=client_general</v>
      </c>
    </row>
    <row r="754" customFormat="false" ht="15" hidden="false" customHeight="false" outlineLevel="0" collapsed="false">
      <c r="A754" s="10" t="s">
        <v>65</v>
      </c>
      <c r="B754" s="10" t="str">
        <f aca="false">INDEX('Site-uri'!$B$2:$B$20,MATCH(A754,'Site-uri'!$A$2:$A$20,0))</f>
        <v>eu-ai-audit.eu</v>
      </c>
      <c r="C754" s="10" t="s">
        <v>155</v>
      </c>
      <c r="D754" s="10" t="s">
        <v>219</v>
      </c>
      <c r="E754" s="10" t="str">
        <f aca="false">INDEX(Canale!$C$2:$C$30,MATCH(C754,Canale!$A$2:$A$30,0))</f>
        <v>youtube</v>
      </c>
      <c r="F754" s="10" t="str">
        <f aca="false">INDEX(Canale!$D$2:$D$30,MATCH(C754,Canale!$A$2:$A$30,0))</f>
        <v>video</v>
      </c>
      <c r="G754" s="10" t="str">
        <f aca="false">INDEX('Site-uri'!$C$2:$C$20,MATCH(A754,'Site-uri'!$A$2:$A$20,0))</f>
        <v>/</v>
      </c>
      <c r="H754" s="10" t="str">
        <f aca="false">Config!$B$3</f>
        <v>2610_ff_lansare</v>
      </c>
      <c r="I754" s="10" t="str">
        <f aca="false">D754&amp;"_"&amp;Config!$B$4</f>
        <v>rece_general</v>
      </c>
      <c r="J754" s="10" t="str">
        <f aca="false">"https://"&amp;B754&amp;G754&amp;"?utm_source="&amp;E754&amp;"&amp;utm_medium="&amp;F754&amp;"&amp;utm_campaign="&amp;H754&amp;"&amp;utm_content="&amp;I754</f>
        <v>https://eu-ai-audit.eu/?utm_source=youtube&amp;utm_medium=video&amp;utm_campaign=2610_ff_lansare&amp;utm_content=rece_general</v>
      </c>
    </row>
    <row r="755" customFormat="false" ht="15" hidden="false" customHeight="false" outlineLevel="0" collapsed="false">
      <c r="A755" s="10" t="s">
        <v>65</v>
      </c>
      <c r="B755" s="10" t="str">
        <f aca="false">INDEX('Site-uri'!$B$2:$B$20,MATCH(A755,'Site-uri'!$A$2:$A$20,0))</f>
        <v>eu-ai-audit.eu</v>
      </c>
      <c r="C755" s="10" t="s">
        <v>155</v>
      </c>
      <c r="D755" s="10" t="s">
        <v>225</v>
      </c>
      <c r="E755" s="10" t="str">
        <f aca="false">INDEX(Canale!$C$2:$C$30,MATCH(C755,Canale!$A$2:$A$30,0))</f>
        <v>youtube</v>
      </c>
      <c r="F755" s="10" t="str">
        <f aca="false">INDEX(Canale!$D$2:$D$30,MATCH(C755,Canale!$A$2:$A$30,0))</f>
        <v>video</v>
      </c>
      <c r="G755" s="10" t="str">
        <f aca="false">INDEX('Site-uri'!$C$2:$C$20,MATCH(A755,'Site-uri'!$A$2:$A$20,0))</f>
        <v>/</v>
      </c>
      <c r="H755" s="10" t="str">
        <f aca="false">Config!$B$3</f>
        <v>2610_ff_lansare</v>
      </c>
      <c r="I755" s="10" t="str">
        <f aca="false">D755&amp;"_"&amp;Config!$B$4</f>
        <v>cald_general</v>
      </c>
      <c r="J755" s="10" t="str">
        <f aca="false">"https://"&amp;B755&amp;G755&amp;"?utm_source="&amp;E755&amp;"&amp;utm_medium="&amp;F755&amp;"&amp;utm_campaign="&amp;H755&amp;"&amp;utm_content="&amp;I755</f>
        <v>https://eu-ai-audit.eu/?utm_source=youtube&amp;utm_medium=video&amp;utm_campaign=2610_ff_lansare&amp;utm_content=cald_general</v>
      </c>
    </row>
    <row r="756" customFormat="false" ht="15" hidden="false" customHeight="false" outlineLevel="0" collapsed="false">
      <c r="A756" s="10" t="s">
        <v>65</v>
      </c>
      <c r="B756" s="10" t="str">
        <f aca="false">INDEX('Site-uri'!$B$2:$B$20,MATCH(A756,'Site-uri'!$A$2:$A$20,0))</f>
        <v>eu-ai-audit.eu</v>
      </c>
      <c r="C756" s="10" t="s">
        <v>155</v>
      </c>
      <c r="D756" s="10" t="s">
        <v>231</v>
      </c>
      <c r="E756" s="10" t="str">
        <f aca="false">INDEX(Canale!$C$2:$C$30,MATCH(C756,Canale!$A$2:$A$30,0))</f>
        <v>youtube</v>
      </c>
      <c r="F756" s="10" t="str">
        <f aca="false">INDEX(Canale!$D$2:$D$30,MATCH(C756,Canale!$A$2:$A$30,0))</f>
        <v>video</v>
      </c>
      <c r="G756" s="10" t="str">
        <f aca="false">INDEX('Site-uri'!$C$2:$C$20,MATCH(A756,'Site-uri'!$A$2:$A$20,0))</f>
        <v>/</v>
      </c>
      <c r="H756" s="10" t="str">
        <f aca="false">Config!$B$3</f>
        <v>2610_ff_lansare</v>
      </c>
      <c r="I756" s="10" t="str">
        <f aca="false">D756&amp;"_"&amp;Config!$B$4</f>
        <v>fierbinte_general</v>
      </c>
      <c r="J756" s="10" t="str">
        <f aca="false">"https://"&amp;B756&amp;G756&amp;"?utm_source="&amp;E756&amp;"&amp;utm_medium="&amp;F756&amp;"&amp;utm_campaign="&amp;H756&amp;"&amp;utm_content="&amp;I756</f>
        <v>https://eu-ai-audit.eu/?utm_source=youtube&amp;utm_medium=video&amp;utm_campaign=2610_ff_lansare&amp;utm_content=fierbinte_general</v>
      </c>
    </row>
    <row r="757" customFormat="false" ht="15" hidden="false" customHeight="false" outlineLevel="0" collapsed="false">
      <c r="A757" s="10" t="s">
        <v>65</v>
      </c>
      <c r="B757" s="10" t="str">
        <f aca="false">INDEX('Site-uri'!$B$2:$B$20,MATCH(A757,'Site-uri'!$A$2:$A$20,0))</f>
        <v>eu-ai-audit.eu</v>
      </c>
      <c r="C757" s="10" t="s">
        <v>155</v>
      </c>
      <c r="D757" s="10" t="s">
        <v>237</v>
      </c>
      <c r="E757" s="10" t="str">
        <f aca="false">INDEX(Canale!$C$2:$C$30,MATCH(C757,Canale!$A$2:$A$30,0))</f>
        <v>youtube</v>
      </c>
      <c r="F757" s="10" t="str">
        <f aca="false">INDEX(Canale!$D$2:$D$30,MATCH(C757,Canale!$A$2:$A$30,0))</f>
        <v>video</v>
      </c>
      <c r="G757" s="10" t="str">
        <f aca="false">INDEX('Site-uri'!$C$2:$C$20,MATCH(A757,'Site-uri'!$A$2:$A$20,0))</f>
        <v>/</v>
      </c>
      <c r="H757" s="10" t="str">
        <f aca="false">Config!$B$3</f>
        <v>2610_ff_lansare</v>
      </c>
      <c r="I757" s="10" t="str">
        <f aca="false">D757&amp;"_"&amp;Config!$B$4</f>
        <v>client_general</v>
      </c>
      <c r="J757" s="10" t="str">
        <f aca="false">"https://"&amp;B757&amp;G757&amp;"?utm_source="&amp;E757&amp;"&amp;utm_medium="&amp;F757&amp;"&amp;utm_campaign="&amp;H757&amp;"&amp;utm_content="&amp;I757</f>
        <v>https://eu-ai-audit.eu/?utm_source=youtube&amp;utm_medium=video&amp;utm_campaign=2610_ff_lansare&amp;utm_content=client_general</v>
      </c>
    </row>
    <row r="758" customFormat="false" ht="15" hidden="false" customHeight="false" outlineLevel="0" collapsed="false">
      <c r="A758" s="10" t="s">
        <v>65</v>
      </c>
      <c r="B758" s="10" t="str">
        <f aca="false">INDEX('Site-uri'!$B$2:$B$20,MATCH(A758,'Site-uri'!$A$2:$A$20,0))</f>
        <v>eu-ai-audit.eu</v>
      </c>
      <c r="C758" s="10" t="s">
        <v>160</v>
      </c>
      <c r="D758" s="10" t="s">
        <v>219</v>
      </c>
      <c r="E758" s="10" t="str">
        <f aca="false">INDEX(Canale!$C$2:$C$30,MATCH(C758,Canale!$A$2:$A$30,0))</f>
        <v>medium</v>
      </c>
      <c r="F758" s="10" t="str">
        <f aca="false">INDEX(Canale!$D$2:$D$30,MATCH(C758,Canale!$A$2:$A$30,0))</f>
        <v>content</v>
      </c>
      <c r="G758" s="10" t="str">
        <f aca="false">INDEX('Site-uri'!$C$2:$C$20,MATCH(A758,'Site-uri'!$A$2:$A$20,0))</f>
        <v>/</v>
      </c>
      <c r="H758" s="10" t="str">
        <f aca="false">Config!$B$3</f>
        <v>2610_ff_lansare</v>
      </c>
      <c r="I758" s="10" t="str">
        <f aca="false">D758&amp;"_"&amp;Config!$B$4</f>
        <v>rece_general</v>
      </c>
      <c r="J758" s="10" t="str">
        <f aca="false">"https://"&amp;B758&amp;G758&amp;"?utm_source="&amp;E758&amp;"&amp;utm_medium="&amp;F758&amp;"&amp;utm_campaign="&amp;H758&amp;"&amp;utm_content="&amp;I758</f>
        <v>https://eu-ai-audit.eu/?utm_source=medium&amp;utm_medium=content&amp;utm_campaign=2610_ff_lansare&amp;utm_content=rece_general</v>
      </c>
    </row>
    <row r="759" customFormat="false" ht="15" hidden="false" customHeight="false" outlineLevel="0" collapsed="false">
      <c r="A759" s="10" t="s">
        <v>65</v>
      </c>
      <c r="B759" s="10" t="str">
        <f aca="false">INDEX('Site-uri'!$B$2:$B$20,MATCH(A759,'Site-uri'!$A$2:$A$20,0))</f>
        <v>eu-ai-audit.eu</v>
      </c>
      <c r="C759" s="10" t="s">
        <v>160</v>
      </c>
      <c r="D759" s="10" t="s">
        <v>225</v>
      </c>
      <c r="E759" s="10" t="str">
        <f aca="false">INDEX(Canale!$C$2:$C$30,MATCH(C759,Canale!$A$2:$A$30,0))</f>
        <v>medium</v>
      </c>
      <c r="F759" s="10" t="str">
        <f aca="false">INDEX(Canale!$D$2:$D$30,MATCH(C759,Canale!$A$2:$A$30,0))</f>
        <v>content</v>
      </c>
      <c r="G759" s="10" t="str">
        <f aca="false">INDEX('Site-uri'!$C$2:$C$20,MATCH(A759,'Site-uri'!$A$2:$A$20,0))</f>
        <v>/</v>
      </c>
      <c r="H759" s="10" t="str">
        <f aca="false">Config!$B$3</f>
        <v>2610_ff_lansare</v>
      </c>
      <c r="I759" s="10" t="str">
        <f aca="false">D759&amp;"_"&amp;Config!$B$4</f>
        <v>cald_general</v>
      </c>
      <c r="J759" s="10" t="str">
        <f aca="false">"https://"&amp;B759&amp;G759&amp;"?utm_source="&amp;E759&amp;"&amp;utm_medium="&amp;F759&amp;"&amp;utm_campaign="&amp;H759&amp;"&amp;utm_content="&amp;I759</f>
        <v>https://eu-ai-audit.eu/?utm_source=medium&amp;utm_medium=content&amp;utm_campaign=2610_ff_lansare&amp;utm_content=cald_general</v>
      </c>
    </row>
    <row r="760" customFormat="false" ht="15" hidden="false" customHeight="false" outlineLevel="0" collapsed="false">
      <c r="A760" s="10" t="s">
        <v>65</v>
      </c>
      <c r="B760" s="10" t="str">
        <f aca="false">INDEX('Site-uri'!$B$2:$B$20,MATCH(A760,'Site-uri'!$A$2:$A$20,0))</f>
        <v>eu-ai-audit.eu</v>
      </c>
      <c r="C760" s="10" t="s">
        <v>160</v>
      </c>
      <c r="D760" s="10" t="s">
        <v>231</v>
      </c>
      <c r="E760" s="10" t="str">
        <f aca="false">INDEX(Canale!$C$2:$C$30,MATCH(C760,Canale!$A$2:$A$30,0))</f>
        <v>medium</v>
      </c>
      <c r="F760" s="10" t="str">
        <f aca="false">INDEX(Canale!$D$2:$D$30,MATCH(C760,Canale!$A$2:$A$30,0))</f>
        <v>content</v>
      </c>
      <c r="G760" s="10" t="str">
        <f aca="false">INDEX('Site-uri'!$C$2:$C$20,MATCH(A760,'Site-uri'!$A$2:$A$20,0))</f>
        <v>/</v>
      </c>
      <c r="H760" s="10" t="str">
        <f aca="false">Config!$B$3</f>
        <v>2610_ff_lansare</v>
      </c>
      <c r="I760" s="10" t="str">
        <f aca="false">D760&amp;"_"&amp;Config!$B$4</f>
        <v>fierbinte_general</v>
      </c>
      <c r="J760" s="10" t="str">
        <f aca="false">"https://"&amp;B760&amp;G760&amp;"?utm_source="&amp;E760&amp;"&amp;utm_medium="&amp;F760&amp;"&amp;utm_campaign="&amp;H760&amp;"&amp;utm_content="&amp;I760</f>
        <v>https://eu-ai-audit.eu/?utm_source=medium&amp;utm_medium=content&amp;utm_campaign=2610_ff_lansare&amp;utm_content=fierbinte_general</v>
      </c>
    </row>
    <row r="761" customFormat="false" ht="15" hidden="false" customHeight="false" outlineLevel="0" collapsed="false">
      <c r="A761" s="10" t="s">
        <v>65</v>
      </c>
      <c r="B761" s="10" t="str">
        <f aca="false">INDEX('Site-uri'!$B$2:$B$20,MATCH(A761,'Site-uri'!$A$2:$A$20,0))</f>
        <v>eu-ai-audit.eu</v>
      </c>
      <c r="C761" s="10" t="s">
        <v>160</v>
      </c>
      <c r="D761" s="10" t="s">
        <v>237</v>
      </c>
      <c r="E761" s="10" t="str">
        <f aca="false">INDEX(Canale!$C$2:$C$30,MATCH(C761,Canale!$A$2:$A$30,0))</f>
        <v>medium</v>
      </c>
      <c r="F761" s="10" t="str">
        <f aca="false">INDEX(Canale!$D$2:$D$30,MATCH(C761,Canale!$A$2:$A$30,0))</f>
        <v>content</v>
      </c>
      <c r="G761" s="10" t="str">
        <f aca="false">INDEX('Site-uri'!$C$2:$C$20,MATCH(A761,'Site-uri'!$A$2:$A$20,0))</f>
        <v>/</v>
      </c>
      <c r="H761" s="10" t="str">
        <f aca="false">Config!$B$3</f>
        <v>2610_ff_lansare</v>
      </c>
      <c r="I761" s="10" t="str">
        <f aca="false">D761&amp;"_"&amp;Config!$B$4</f>
        <v>client_general</v>
      </c>
      <c r="J761" s="10" t="str">
        <f aca="false">"https://"&amp;B761&amp;G761&amp;"?utm_source="&amp;E761&amp;"&amp;utm_medium="&amp;F761&amp;"&amp;utm_campaign="&amp;H761&amp;"&amp;utm_content="&amp;I761</f>
        <v>https://eu-ai-audit.eu/?utm_source=medium&amp;utm_medium=content&amp;utm_campaign=2610_ff_lansare&amp;utm_content=client_general</v>
      </c>
    </row>
    <row r="762" customFormat="false" ht="15" hidden="false" customHeight="false" outlineLevel="0" collapsed="false">
      <c r="A762" s="10" t="s">
        <v>65</v>
      </c>
      <c r="B762" s="10" t="str">
        <f aca="false">INDEX('Site-uri'!$B$2:$B$20,MATCH(A762,'Site-uri'!$A$2:$A$20,0))</f>
        <v>eu-ai-audit.eu</v>
      </c>
      <c r="C762" s="10" t="s">
        <v>165</v>
      </c>
      <c r="D762" s="10" t="s">
        <v>219</v>
      </c>
      <c r="E762" s="10" t="str">
        <f aca="false">INDEX(Canale!$C$2:$C$30,MATCH(C762,Canale!$A$2:$A$30,0))</f>
        <v>crunchbase</v>
      </c>
      <c r="F762" s="10" t="str">
        <f aca="false">INDEX(Canale!$D$2:$D$30,MATCH(C762,Canale!$A$2:$A$30,0))</f>
        <v>referral</v>
      </c>
      <c r="G762" s="10" t="str">
        <f aca="false">INDEX('Site-uri'!$C$2:$C$20,MATCH(A762,'Site-uri'!$A$2:$A$20,0))</f>
        <v>/</v>
      </c>
      <c r="H762" s="10" t="str">
        <f aca="false">Config!$B$3</f>
        <v>2610_ff_lansare</v>
      </c>
      <c r="I762" s="10" t="str">
        <f aca="false">D762&amp;"_"&amp;Config!$B$4</f>
        <v>rece_general</v>
      </c>
      <c r="J762" s="10" t="str">
        <f aca="false">"https://"&amp;B762&amp;G762&amp;"?utm_source="&amp;E762&amp;"&amp;utm_medium="&amp;F762&amp;"&amp;utm_campaign="&amp;H762&amp;"&amp;utm_content="&amp;I762</f>
        <v>https://eu-ai-audit.eu/?utm_source=crunchbase&amp;utm_medium=referral&amp;utm_campaign=2610_ff_lansare&amp;utm_content=rece_general</v>
      </c>
    </row>
    <row r="763" customFormat="false" ht="15" hidden="false" customHeight="false" outlineLevel="0" collapsed="false">
      <c r="A763" s="10" t="s">
        <v>65</v>
      </c>
      <c r="B763" s="10" t="str">
        <f aca="false">INDEX('Site-uri'!$B$2:$B$20,MATCH(A763,'Site-uri'!$A$2:$A$20,0))</f>
        <v>eu-ai-audit.eu</v>
      </c>
      <c r="C763" s="10" t="s">
        <v>165</v>
      </c>
      <c r="D763" s="10" t="s">
        <v>225</v>
      </c>
      <c r="E763" s="10" t="str">
        <f aca="false">INDEX(Canale!$C$2:$C$30,MATCH(C763,Canale!$A$2:$A$30,0))</f>
        <v>crunchbase</v>
      </c>
      <c r="F763" s="10" t="str">
        <f aca="false">INDEX(Canale!$D$2:$D$30,MATCH(C763,Canale!$A$2:$A$30,0))</f>
        <v>referral</v>
      </c>
      <c r="G763" s="10" t="str">
        <f aca="false">INDEX('Site-uri'!$C$2:$C$20,MATCH(A763,'Site-uri'!$A$2:$A$20,0))</f>
        <v>/</v>
      </c>
      <c r="H763" s="10" t="str">
        <f aca="false">Config!$B$3</f>
        <v>2610_ff_lansare</v>
      </c>
      <c r="I763" s="10" t="str">
        <f aca="false">D763&amp;"_"&amp;Config!$B$4</f>
        <v>cald_general</v>
      </c>
      <c r="J763" s="10" t="str">
        <f aca="false">"https://"&amp;B763&amp;G763&amp;"?utm_source="&amp;E763&amp;"&amp;utm_medium="&amp;F763&amp;"&amp;utm_campaign="&amp;H763&amp;"&amp;utm_content="&amp;I763</f>
        <v>https://eu-ai-audit.eu/?utm_source=crunchbase&amp;utm_medium=referral&amp;utm_campaign=2610_ff_lansare&amp;utm_content=cald_general</v>
      </c>
    </row>
    <row r="764" customFormat="false" ht="15" hidden="false" customHeight="false" outlineLevel="0" collapsed="false">
      <c r="A764" s="10" t="s">
        <v>65</v>
      </c>
      <c r="B764" s="10" t="str">
        <f aca="false">INDEX('Site-uri'!$B$2:$B$20,MATCH(A764,'Site-uri'!$A$2:$A$20,0))</f>
        <v>eu-ai-audit.eu</v>
      </c>
      <c r="C764" s="10" t="s">
        <v>165</v>
      </c>
      <c r="D764" s="10" t="s">
        <v>231</v>
      </c>
      <c r="E764" s="10" t="str">
        <f aca="false">INDEX(Canale!$C$2:$C$30,MATCH(C764,Canale!$A$2:$A$30,0))</f>
        <v>crunchbase</v>
      </c>
      <c r="F764" s="10" t="str">
        <f aca="false">INDEX(Canale!$D$2:$D$30,MATCH(C764,Canale!$A$2:$A$30,0))</f>
        <v>referral</v>
      </c>
      <c r="G764" s="10" t="str">
        <f aca="false">INDEX('Site-uri'!$C$2:$C$20,MATCH(A764,'Site-uri'!$A$2:$A$20,0))</f>
        <v>/</v>
      </c>
      <c r="H764" s="10" t="str">
        <f aca="false">Config!$B$3</f>
        <v>2610_ff_lansare</v>
      </c>
      <c r="I764" s="10" t="str">
        <f aca="false">D764&amp;"_"&amp;Config!$B$4</f>
        <v>fierbinte_general</v>
      </c>
      <c r="J764" s="10" t="str">
        <f aca="false">"https://"&amp;B764&amp;G764&amp;"?utm_source="&amp;E764&amp;"&amp;utm_medium="&amp;F764&amp;"&amp;utm_campaign="&amp;H764&amp;"&amp;utm_content="&amp;I764</f>
        <v>https://eu-ai-audit.eu/?utm_source=crunchbase&amp;utm_medium=referral&amp;utm_campaign=2610_ff_lansare&amp;utm_content=fierbinte_general</v>
      </c>
    </row>
    <row r="765" customFormat="false" ht="15" hidden="false" customHeight="false" outlineLevel="0" collapsed="false">
      <c r="A765" s="10" t="s">
        <v>65</v>
      </c>
      <c r="B765" s="10" t="str">
        <f aca="false">INDEX('Site-uri'!$B$2:$B$20,MATCH(A765,'Site-uri'!$A$2:$A$20,0))</f>
        <v>eu-ai-audit.eu</v>
      </c>
      <c r="C765" s="10" t="s">
        <v>165</v>
      </c>
      <c r="D765" s="10" t="s">
        <v>237</v>
      </c>
      <c r="E765" s="10" t="str">
        <f aca="false">INDEX(Canale!$C$2:$C$30,MATCH(C765,Canale!$A$2:$A$30,0))</f>
        <v>crunchbase</v>
      </c>
      <c r="F765" s="10" t="str">
        <f aca="false">INDEX(Canale!$D$2:$D$30,MATCH(C765,Canale!$A$2:$A$30,0))</f>
        <v>referral</v>
      </c>
      <c r="G765" s="10" t="str">
        <f aca="false">INDEX('Site-uri'!$C$2:$C$20,MATCH(A765,'Site-uri'!$A$2:$A$20,0))</f>
        <v>/</v>
      </c>
      <c r="H765" s="10" t="str">
        <f aca="false">Config!$B$3</f>
        <v>2610_ff_lansare</v>
      </c>
      <c r="I765" s="10" t="str">
        <f aca="false">D765&amp;"_"&amp;Config!$B$4</f>
        <v>client_general</v>
      </c>
      <c r="J765" s="10" t="str">
        <f aca="false">"https://"&amp;B765&amp;G765&amp;"?utm_source="&amp;E765&amp;"&amp;utm_medium="&amp;F765&amp;"&amp;utm_campaign="&amp;H765&amp;"&amp;utm_content="&amp;I765</f>
        <v>https://eu-ai-audit.eu/?utm_source=crunchbase&amp;utm_medium=referral&amp;utm_campaign=2610_ff_lansare&amp;utm_content=client_general</v>
      </c>
    </row>
    <row r="766" customFormat="false" ht="15" hidden="false" customHeight="false" outlineLevel="0" collapsed="false">
      <c r="A766" s="10" t="s">
        <v>65</v>
      </c>
      <c r="B766" s="10" t="str">
        <f aca="false">INDEX('Site-uri'!$B$2:$B$20,MATCH(A766,'Site-uri'!$A$2:$A$20,0))</f>
        <v>eu-ai-audit.eu</v>
      </c>
      <c r="C766" s="10" t="s">
        <v>170</v>
      </c>
      <c r="D766" s="10" t="s">
        <v>219</v>
      </c>
      <c r="E766" s="10" t="str">
        <f aca="false">INDEX(Canale!$C$2:$C$30,MATCH(C766,Canale!$A$2:$A$30,0))</f>
        <v>zenodo</v>
      </c>
      <c r="F766" s="10" t="str">
        <f aca="false">INDEX(Canale!$D$2:$D$30,MATCH(C766,Canale!$A$2:$A$30,0))</f>
        <v>referral</v>
      </c>
      <c r="G766" s="10" t="str">
        <f aca="false">INDEX('Site-uri'!$C$2:$C$20,MATCH(A766,'Site-uri'!$A$2:$A$20,0))</f>
        <v>/</v>
      </c>
      <c r="H766" s="10" t="str">
        <f aca="false">Config!$B$3</f>
        <v>2610_ff_lansare</v>
      </c>
      <c r="I766" s="10" t="str">
        <f aca="false">D766&amp;"_"&amp;Config!$B$4</f>
        <v>rece_general</v>
      </c>
      <c r="J766" s="10" t="str">
        <f aca="false">"https://"&amp;B766&amp;G766&amp;"?utm_source="&amp;E766&amp;"&amp;utm_medium="&amp;F766&amp;"&amp;utm_campaign="&amp;H766&amp;"&amp;utm_content="&amp;I766</f>
        <v>https://eu-ai-audit.eu/?utm_source=zenodo&amp;utm_medium=referral&amp;utm_campaign=2610_ff_lansare&amp;utm_content=rece_general</v>
      </c>
    </row>
    <row r="767" customFormat="false" ht="15" hidden="false" customHeight="false" outlineLevel="0" collapsed="false">
      <c r="A767" s="10" t="s">
        <v>65</v>
      </c>
      <c r="B767" s="10" t="str">
        <f aca="false">INDEX('Site-uri'!$B$2:$B$20,MATCH(A767,'Site-uri'!$A$2:$A$20,0))</f>
        <v>eu-ai-audit.eu</v>
      </c>
      <c r="C767" s="10" t="s">
        <v>170</v>
      </c>
      <c r="D767" s="10" t="s">
        <v>225</v>
      </c>
      <c r="E767" s="10" t="str">
        <f aca="false">INDEX(Canale!$C$2:$C$30,MATCH(C767,Canale!$A$2:$A$30,0))</f>
        <v>zenodo</v>
      </c>
      <c r="F767" s="10" t="str">
        <f aca="false">INDEX(Canale!$D$2:$D$30,MATCH(C767,Canale!$A$2:$A$30,0))</f>
        <v>referral</v>
      </c>
      <c r="G767" s="10" t="str">
        <f aca="false">INDEX('Site-uri'!$C$2:$C$20,MATCH(A767,'Site-uri'!$A$2:$A$20,0))</f>
        <v>/</v>
      </c>
      <c r="H767" s="10" t="str">
        <f aca="false">Config!$B$3</f>
        <v>2610_ff_lansare</v>
      </c>
      <c r="I767" s="10" t="str">
        <f aca="false">D767&amp;"_"&amp;Config!$B$4</f>
        <v>cald_general</v>
      </c>
      <c r="J767" s="10" t="str">
        <f aca="false">"https://"&amp;B767&amp;G767&amp;"?utm_source="&amp;E767&amp;"&amp;utm_medium="&amp;F767&amp;"&amp;utm_campaign="&amp;H767&amp;"&amp;utm_content="&amp;I767</f>
        <v>https://eu-ai-audit.eu/?utm_source=zenodo&amp;utm_medium=referral&amp;utm_campaign=2610_ff_lansare&amp;utm_content=cald_general</v>
      </c>
    </row>
    <row r="768" customFormat="false" ht="15" hidden="false" customHeight="false" outlineLevel="0" collapsed="false">
      <c r="A768" s="10" t="s">
        <v>65</v>
      </c>
      <c r="B768" s="10" t="str">
        <f aca="false">INDEX('Site-uri'!$B$2:$B$20,MATCH(A768,'Site-uri'!$A$2:$A$20,0))</f>
        <v>eu-ai-audit.eu</v>
      </c>
      <c r="C768" s="10" t="s">
        <v>170</v>
      </c>
      <c r="D768" s="10" t="s">
        <v>231</v>
      </c>
      <c r="E768" s="10" t="str">
        <f aca="false">INDEX(Canale!$C$2:$C$30,MATCH(C768,Canale!$A$2:$A$30,0))</f>
        <v>zenodo</v>
      </c>
      <c r="F768" s="10" t="str">
        <f aca="false">INDEX(Canale!$D$2:$D$30,MATCH(C768,Canale!$A$2:$A$30,0))</f>
        <v>referral</v>
      </c>
      <c r="G768" s="10" t="str">
        <f aca="false">INDEX('Site-uri'!$C$2:$C$20,MATCH(A768,'Site-uri'!$A$2:$A$20,0))</f>
        <v>/</v>
      </c>
      <c r="H768" s="10" t="str">
        <f aca="false">Config!$B$3</f>
        <v>2610_ff_lansare</v>
      </c>
      <c r="I768" s="10" t="str">
        <f aca="false">D768&amp;"_"&amp;Config!$B$4</f>
        <v>fierbinte_general</v>
      </c>
      <c r="J768" s="10" t="str">
        <f aca="false">"https://"&amp;B768&amp;G768&amp;"?utm_source="&amp;E768&amp;"&amp;utm_medium="&amp;F768&amp;"&amp;utm_campaign="&amp;H768&amp;"&amp;utm_content="&amp;I768</f>
        <v>https://eu-ai-audit.eu/?utm_source=zenodo&amp;utm_medium=referral&amp;utm_campaign=2610_ff_lansare&amp;utm_content=fierbinte_general</v>
      </c>
    </row>
    <row r="769" customFormat="false" ht="15" hidden="false" customHeight="false" outlineLevel="0" collapsed="false">
      <c r="A769" s="10" t="s">
        <v>65</v>
      </c>
      <c r="B769" s="10" t="str">
        <f aca="false">INDEX('Site-uri'!$B$2:$B$20,MATCH(A769,'Site-uri'!$A$2:$A$20,0))</f>
        <v>eu-ai-audit.eu</v>
      </c>
      <c r="C769" s="10" t="s">
        <v>170</v>
      </c>
      <c r="D769" s="10" t="s">
        <v>237</v>
      </c>
      <c r="E769" s="10" t="str">
        <f aca="false">INDEX(Canale!$C$2:$C$30,MATCH(C769,Canale!$A$2:$A$30,0))</f>
        <v>zenodo</v>
      </c>
      <c r="F769" s="10" t="str">
        <f aca="false">INDEX(Canale!$D$2:$D$30,MATCH(C769,Canale!$A$2:$A$30,0))</f>
        <v>referral</v>
      </c>
      <c r="G769" s="10" t="str">
        <f aca="false">INDEX('Site-uri'!$C$2:$C$20,MATCH(A769,'Site-uri'!$A$2:$A$20,0))</f>
        <v>/</v>
      </c>
      <c r="H769" s="10" t="str">
        <f aca="false">Config!$B$3</f>
        <v>2610_ff_lansare</v>
      </c>
      <c r="I769" s="10" t="str">
        <f aca="false">D769&amp;"_"&amp;Config!$B$4</f>
        <v>client_general</v>
      </c>
      <c r="J769" s="10" t="str">
        <f aca="false">"https://"&amp;B769&amp;G769&amp;"?utm_source="&amp;E769&amp;"&amp;utm_medium="&amp;F769&amp;"&amp;utm_campaign="&amp;H769&amp;"&amp;utm_content="&amp;I769</f>
        <v>https://eu-ai-audit.eu/?utm_source=zenodo&amp;utm_medium=referral&amp;utm_campaign=2610_ff_lansare&amp;utm_content=client_general</v>
      </c>
    </row>
    <row r="770" customFormat="false" ht="15" hidden="false" customHeight="false" outlineLevel="0" collapsed="false">
      <c r="A770" s="10" t="s">
        <v>65</v>
      </c>
      <c r="B770" s="10" t="str">
        <f aca="false">INDEX('Site-uri'!$B$2:$B$20,MATCH(A770,'Site-uri'!$A$2:$A$20,0))</f>
        <v>eu-ai-audit.eu</v>
      </c>
      <c r="C770" s="10" t="s">
        <v>173</v>
      </c>
      <c r="D770" s="10" t="s">
        <v>219</v>
      </c>
      <c r="E770" s="10" t="str">
        <f aca="false">INDEX(Canale!$C$2:$C$30,MATCH(C770,Canale!$A$2:$A$30,0))</f>
        <v>orcid</v>
      </c>
      <c r="F770" s="10" t="str">
        <f aca="false">INDEX(Canale!$D$2:$D$30,MATCH(C770,Canale!$A$2:$A$30,0))</f>
        <v>referral</v>
      </c>
      <c r="G770" s="10" t="str">
        <f aca="false">INDEX('Site-uri'!$C$2:$C$20,MATCH(A770,'Site-uri'!$A$2:$A$20,0))</f>
        <v>/</v>
      </c>
      <c r="H770" s="10" t="str">
        <f aca="false">Config!$B$3</f>
        <v>2610_ff_lansare</v>
      </c>
      <c r="I770" s="10" t="str">
        <f aca="false">D770&amp;"_"&amp;Config!$B$4</f>
        <v>rece_general</v>
      </c>
      <c r="J770" s="10" t="str">
        <f aca="false">"https://"&amp;B770&amp;G770&amp;"?utm_source="&amp;E770&amp;"&amp;utm_medium="&amp;F770&amp;"&amp;utm_campaign="&amp;H770&amp;"&amp;utm_content="&amp;I770</f>
        <v>https://eu-ai-audit.eu/?utm_source=orcid&amp;utm_medium=referral&amp;utm_campaign=2610_ff_lansare&amp;utm_content=rece_general</v>
      </c>
    </row>
    <row r="771" customFormat="false" ht="15" hidden="false" customHeight="false" outlineLevel="0" collapsed="false">
      <c r="A771" s="10" t="s">
        <v>65</v>
      </c>
      <c r="B771" s="10" t="str">
        <f aca="false">INDEX('Site-uri'!$B$2:$B$20,MATCH(A771,'Site-uri'!$A$2:$A$20,0))</f>
        <v>eu-ai-audit.eu</v>
      </c>
      <c r="C771" s="10" t="s">
        <v>173</v>
      </c>
      <c r="D771" s="10" t="s">
        <v>225</v>
      </c>
      <c r="E771" s="10" t="str">
        <f aca="false">INDEX(Canale!$C$2:$C$30,MATCH(C771,Canale!$A$2:$A$30,0))</f>
        <v>orcid</v>
      </c>
      <c r="F771" s="10" t="str">
        <f aca="false">INDEX(Canale!$D$2:$D$30,MATCH(C771,Canale!$A$2:$A$30,0))</f>
        <v>referral</v>
      </c>
      <c r="G771" s="10" t="str">
        <f aca="false">INDEX('Site-uri'!$C$2:$C$20,MATCH(A771,'Site-uri'!$A$2:$A$20,0))</f>
        <v>/</v>
      </c>
      <c r="H771" s="10" t="str">
        <f aca="false">Config!$B$3</f>
        <v>2610_ff_lansare</v>
      </c>
      <c r="I771" s="10" t="str">
        <f aca="false">D771&amp;"_"&amp;Config!$B$4</f>
        <v>cald_general</v>
      </c>
      <c r="J771" s="10" t="str">
        <f aca="false">"https://"&amp;B771&amp;G771&amp;"?utm_source="&amp;E771&amp;"&amp;utm_medium="&amp;F771&amp;"&amp;utm_campaign="&amp;H771&amp;"&amp;utm_content="&amp;I771</f>
        <v>https://eu-ai-audit.eu/?utm_source=orcid&amp;utm_medium=referral&amp;utm_campaign=2610_ff_lansare&amp;utm_content=cald_general</v>
      </c>
    </row>
    <row r="772" customFormat="false" ht="15" hidden="false" customHeight="false" outlineLevel="0" collapsed="false">
      <c r="A772" s="10" t="s">
        <v>65</v>
      </c>
      <c r="B772" s="10" t="str">
        <f aca="false">INDEX('Site-uri'!$B$2:$B$20,MATCH(A772,'Site-uri'!$A$2:$A$20,0))</f>
        <v>eu-ai-audit.eu</v>
      </c>
      <c r="C772" s="10" t="s">
        <v>173</v>
      </c>
      <c r="D772" s="10" t="s">
        <v>231</v>
      </c>
      <c r="E772" s="10" t="str">
        <f aca="false">INDEX(Canale!$C$2:$C$30,MATCH(C772,Canale!$A$2:$A$30,0))</f>
        <v>orcid</v>
      </c>
      <c r="F772" s="10" t="str">
        <f aca="false">INDEX(Canale!$D$2:$D$30,MATCH(C772,Canale!$A$2:$A$30,0))</f>
        <v>referral</v>
      </c>
      <c r="G772" s="10" t="str">
        <f aca="false">INDEX('Site-uri'!$C$2:$C$20,MATCH(A772,'Site-uri'!$A$2:$A$20,0))</f>
        <v>/</v>
      </c>
      <c r="H772" s="10" t="str">
        <f aca="false">Config!$B$3</f>
        <v>2610_ff_lansare</v>
      </c>
      <c r="I772" s="10" t="str">
        <f aca="false">D772&amp;"_"&amp;Config!$B$4</f>
        <v>fierbinte_general</v>
      </c>
      <c r="J772" s="10" t="str">
        <f aca="false">"https://"&amp;B772&amp;G772&amp;"?utm_source="&amp;E772&amp;"&amp;utm_medium="&amp;F772&amp;"&amp;utm_campaign="&amp;H772&amp;"&amp;utm_content="&amp;I772</f>
        <v>https://eu-ai-audit.eu/?utm_source=orcid&amp;utm_medium=referral&amp;utm_campaign=2610_ff_lansare&amp;utm_content=fierbinte_general</v>
      </c>
    </row>
    <row r="773" customFormat="false" ht="15" hidden="false" customHeight="false" outlineLevel="0" collapsed="false">
      <c r="A773" s="10" t="s">
        <v>65</v>
      </c>
      <c r="B773" s="10" t="str">
        <f aca="false">INDEX('Site-uri'!$B$2:$B$20,MATCH(A773,'Site-uri'!$A$2:$A$20,0))</f>
        <v>eu-ai-audit.eu</v>
      </c>
      <c r="C773" s="10" t="s">
        <v>173</v>
      </c>
      <c r="D773" s="10" t="s">
        <v>237</v>
      </c>
      <c r="E773" s="10" t="str">
        <f aca="false">INDEX(Canale!$C$2:$C$30,MATCH(C773,Canale!$A$2:$A$30,0))</f>
        <v>orcid</v>
      </c>
      <c r="F773" s="10" t="str">
        <f aca="false">INDEX(Canale!$D$2:$D$30,MATCH(C773,Canale!$A$2:$A$30,0))</f>
        <v>referral</v>
      </c>
      <c r="G773" s="10" t="str">
        <f aca="false">INDEX('Site-uri'!$C$2:$C$20,MATCH(A773,'Site-uri'!$A$2:$A$20,0))</f>
        <v>/</v>
      </c>
      <c r="H773" s="10" t="str">
        <f aca="false">Config!$B$3</f>
        <v>2610_ff_lansare</v>
      </c>
      <c r="I773" s="10" t="str">
        <f aca="false">D773&amp;"_"&amp;Config!$B$4</f>
        <v>client_general</v>
      </c>
      <c r="J773" s="10" t="str">
        <f aca="false">"https://"&amp;B773&amp;G773&amp;"?utm_source="&amp;E773&amp;"&amp;utm_medium="&amp;F773&amp;"&amp;utm_campaign="&amp;H773&amp;"&amp;utm_content="&amp;I773</f>
        <v>https://eu-ai-audit.eu/?utm_source=orcid&amp;utm_medium=referral&amp;utm_campaign=2610_ff_lansare&amp;utm_content=client_general</v>
      </c>
    </row>
    <row r="774" customFormat="false" ht="15" hidden="false" customHeight="false" outlineLevel="0" collapsed="false">
      <c r="A774" s="10" t="s">
        <v>65</v>
      </c>
      <c r="B774" s="10" t="str">
        <f aca="false">INDEX('Site-uri'!$B$2:$B$20,MATCH(A774,'Site-uri'!$A$2:$A$20,0))</f>
        <v>eu-ai-audit.eu</v>
      </c>
      <c r="C774" s="10" t="s">
        <v>176</v>
      </c>
      <c r="D774" s="10" t="s">
        <v>219</v>
      </c>
      <c r="E774" s="10" t="str">
        <f aca="false">INDEX(Canale!$C$2:$C$30,MATCH(C774,Canale!$A$2:$A$30,0))</f>
        <v>github</v>
      </c>
      <c r="F774" s="10" t="str">
        <f aca="false">INDEX(Canale!$D$2:$D$30,MATCH(C774,Canale!$A$2:$A$30,0))</f>
        <v>referral</v>
      </c>
      <c r="G774" s="10" t="str">
        <f aca="false">INDEX('Site-uri'!$C$2:$C$20,MATCH(A774,'Site-uri'!$A$2:$A$20,0))</f>
        <v>/</v>
      </c>
      <c r="H774" s="10" t="str">
        <f aca="false">Config!$B$3</f>
        <v>2610_ff_lansare</v>
      </c>
      <c r="I774" s="10" t="str">
        <f aca="false">D774&amp;"_"&amp;Config!$B$4</f>
        <v>rece_general</v>
      </c>
      <c r="J774" s="10" t="str">
        <f aca="false">"https://"&amp;B774&amp;G774&amp;"?utm_source="&amp;E774&amp;"&amp;utm_medium="&amp;F774&amp;"&amp;utm_campaign="&amp;H774&amp;"&amp;utm_content="&amp;I774</f>
        <v>https://eu-ai-audit.eu/?utm_source=github&amp;utm_medium=referral&amp;utm_campaign=2610_ff_lansare&amp;utm_content=rece_general</v>
      </c>
    </row>
    <row r="775" customFormat="false" ht="15" hidden="false" customHeight="false" outlineLevel="0" collapsed="false">
      <c r="A775" s="10" t="s">
        <v>65</v>
      </c>
      <c r="B775" s="10" t="str">
        <f aca="false">INDEX('Site-uri'!$B$2:$B$20,MATCH(A775,'Site-uri'!$A$2:$A$20,0))</f>
        <v>eu-ai-audit.eu</v>
      </c>
      <c r="C775" s="10" t="s">
        <v>176</v>
      </c>
      <c r="D775" s="10" t="s">
        <v>225</v>
      </c>
      <c r="E775" s="10" t="str">
        <f aca="false">INDEX(Canale!$C$2:$C$30,MATCH(C775,Canale!$A$2:$A$30,0))</f>
        <v>github</v>
      </c>
      <c r="F775" s="10" t="str">
        <f aca="false">INDEX(Canale!$D$2:$D$30,MATCH(C775,Canale!$A$2:$A$30,0))</f>
        <v>referral</v>
      </c>
      <c r="G775" s="10" t="str">
        <f aca="false">INDEX('Site-uri'!$C$2:$C$20,MATCH(A775,'Site-uri'!$A$2:$A$20,0))</f>
        <v>/</v>
      </c>
      <c r="H775" s="10" t="str">
        <f aca="false">Config!$B$3</f>
        <v>2610_ff_lansare</v>
      </c>
      <c r="I775" s="10" t="str">
        <f aca="false">D775&amp;"_"&amp;Config!$B$4</f>
        <v>cald_general</v>
      </c>
      <c r="J775" s="10" t="str">
        <f aca="false">"https://"&amp;B775&amp;G775&amp;"?utm_source="&amp;E775&amp;"&amp;utm_medium="&amp;F775&amp;"&amp;utm_campaign="&amp;H775&amp;"&amp;utm_content="&amp;I775</f>
        <v>https://eu-ai-audit.eu/?utm_source=github&amp;utm_medium=referral&amp;utm_campaign=2610_ff_lansare&amp;utm_content=cald_general</v>
      </c>
    </row>
    <row r="776" customFormat="false" ht="15" hidden="false" customHeight="false" outlineLevel="0" collapsed="false">
      <c r="A776" s="10" t="s">
        <v>65</v>
      </c>
      <c r="B776" s="10" t="str">
        <f aca="false">INDEX('Site-uri'!$B$2:$B$20,MATCH(A776,'Site-uri'!$A$2:$A$20,0))</f>
        <v>eu-ai-audit.eu</v>
      </c>
      <c r="C776" s="10" t="s">
        <v>176</v>
      </c>
      <c r="D776" s="10" t="s">
        <v>231</v>
      </c>
      <c r="E776" s="10" t="str">
        <f aca="false">INDEX(Canale!$C$2:$C$30,MATCH(C776,Canale!$A$2:$A$30,0))</f>
        <v>github</v>
      </c>
      <c r="F776" s="10" t="str">
        <f aca="false">INDEX(Canale!$D$2:$D$30,MATCH(C776,Canale!$A$2:$A$30,0))</f>
        <v>referral</v>
      </c>
      <c r="G776" s="10" t="str">
        <f aca="false">INDEX('Site-uri'!$C$2:$C$20,MATCH(A776,'Site-uri'!$A$2:$A$20,0))</f>
        <v>/</v>
      </c>
      <c r="H776" s="10" t="str">
        <f aca="false">Config!$B$3</f>
        <v>2610_ff_lansare</v>
      </c>
      <c r="I776" s="10" t="str">
        <f aca="false">D776&amp;"_"&amp;Config!$B$4</f>
        <v>fierbinte_general</v>
      </c>
      <c r="J776" s="10" t="str">
        <f aca="false">"https://"&amp;B776&amp;G776&amp;"?utm_source="&amp;E776&amp;"&amp;utm_medium="&amp;F776&amp;"&amp;utm_campaign="&amp;H776&amp;"&amp;utm_content="&amp;I776</f>
        <v>https://eu-ai-audit.eu/?utm_source=github&amp;utm_medium=referral&amp;utm_campaign=2610_ff_lansare&amp;utm_content=fierbinte_general</v>
      </c>
    </row>
    <row r="777" customFormat="false" ht="15" hidden="false" customHeight="false" outlineLevel="0" collapsed="false">
      <c r="A777" s="10" t="s">
        <v>65</v>
      </c>
      <c r="B777" s="10" t="str">
        <f aca="false">INDEX('Site-uri'!$B$2:$B$20,MATCH(A777,'Site-uri'!$A$2:$A$20,0))</f>
        <v>eu-ai-audit.eu</v>
      </c>
      <c r="C777" s="10" t="s">
        <v>176</v>
      </c>
      <c r="D777" s="10" t="s">
        <v>237</v>
      </c>
      <c r="E777" s="10" t="str">
        <f aca="false">INDEX(Canale!$C$2:$C$30,MATCH(C777,Canale!$A$2:$A$30,0))</f>
        <v>github</v>
      </c>
      <c r="F777" s="10" t="str">
        <f aca="false">INDEX(Canale!$D$2:$D$30,MATCH(C777,Canale!$A$2:$A$30,0))</f>
        <v>referral</v>
      </c>
      <c r="G777" s="10" t="str">
        <f aca="false">INDEX('Site-uri'!$C$2:$C$20,MATCH(A777,'Site-uri'!$A$2:$A$20,0))</f>
        <v>/</v>
      </c>
      <c r="H777" s="10" t="str">
        <f aca="false">Config!$B$3</f>
        <v>2610_ff_lansare</v>
      </c>
      <c r="I777" s="10" t="str">
        <f aca="false">D777&amp;"_"&amp;Config!$B$4</f>
        <v>client_general</v>
      </c>
      <c r="J777" s="10" t="str">
        <f aca="false">"https://"&amp;B777&amp;G777&amp;"?utm_source="&amp;E777&amp;"&amp;utm_medium="&amp;F777&amp;"&amp;utm_campaign="&amp;H777&amp;"&amp;utm_content="&amp;I777</f>
        <v>https://eu-ai-audit.eu/?utm_source=github&amp;utm_medium=referral&amp;utm_campaign=2610_ff_lansare&amp;utm_content=client_general</v>
      </c>
    </row>
    <row r="778" customFormat="false" ht="15" hidden="false" customHeight="false" outlineLevel="0" collapsed="false">
      <c r="A778" s="10" t="s">
        <v>65</v>
      </c>
      <c r="B778" s="10" t="str">
        <f aca="false">INDEX('Site-uri'!$B$2:$B$20,MATCH(A778,'Site-uri'!$A$2:$A$20,0))</f>
        <v>eu-ai-audit.eu</v>
      </c>
      <c r="C778" s="10" t="s">
        <v>179</v>
      </c>
      <c r="D778" s="10" t="s">
        <v>219</v>
      </c>
      <c r="E778" s="10" t="str">
        <f aca="false">INDEX(Canale!$C$2:$C$30,MATCH(C778,Canale!$A$2:$A$30,0))</f>
        <v>kdp_book</v>
      </c>
      <c r="F778" s="10" t="str">
        <f aca="false">INDEX(Canale!$D$2:$D$30,MATCH(C778,Canale!$A$2:$A$30,0))</f>
        <v>book</v>
      </c>
      <c r="G778" s="10" t="str">
        <f aca="false">INDEX('Site-uri'!$C$2:$C$20,MATCH(A778,'Site-uri'!$A$2:$A$20,0))</f>
        <v>/</v>
      </c>
      <c r="H778" s="10" t="str">
        <f aca="false">Config!$B$3</f>
        <v>2610_ff_lansare</v>
      </c>
      <c r="I778" s="10" t="str">
        <f aca="false">D778&amp;"_"&amp;Config!$B$4</f>
        <v>rece_general</v>
      </c>
      <c r="J778" s="10" t="str">
        <f aca="false">"https://"&amp;B778&amp;G778&amp;"?utm_source="&amp;E778&amp;"&amp;utm_medium="&amp;F778&amp;"&amp;utm_campaign="&amp;H778&amp;"&amp;utm_content="&amp;I778</f>
        <v>https://eu-ai-audit.eu/?utm_source=kdp_book&amp;utm_medium=book&amp;utm_campaign=2610_ff_lansare&amp;utm_content=rece_general</v>
      </c>
    </row>
    <row r="779" customFormat="false" ht="15" hidden="false" customHeight="false" outlineLevel="0" collapsed="false">
      <c r="A779" s="10" t="s">
        <v>65</v>
      </c>
      <c r="B779" s="10" t="str">
        <f aca="false">INDEX('Site-uri'!$B$2:$B$20,MATCH(A779,'Site-uri'!$A$2:$A$20,0))</f>
        <v>eu-ai-audit.eu</v>
      </c>
      <c r="C779" s="10" t="s">
        <v>179</v>
      </c>
      <c r="D779" s="10" t="s">
        <v>225</v>
      </c>
      <c r="E779" s="10" t="str">
        <f aca="false">INDEX(Canale!$C$2:$C$30,MATCH(C779,Canale!$A$2:$A$30,0))</f>
        <v>kdp_book</v>
      </c>
      <c r="F779" s="10" t="str">
        <f aca="false">INDEX(Canale!$D$2:$D$30,MATCH(C779,Canale!$A$2:$A$30,0))</f>
        <v>book</v>
      </c>
      <c r="G779" s="10" t="str">
        <f aca="false">INDEX('Site-uri'!$C$2:$C$20,MATCH(A779,'Site-uri'!$A$2:$A$20,0))</f>
        <v>/</v>
      </c>
      <c r="H779" s="10" t="str">
        <f aca="false">Config!$B$3</f>
        <v>2610_ff_lansare</v>
      </c>
      <c r="I779" s="10" t="str">
        <f aca="false">D779&amp;"_"&amp;Config!$B$4</f>
        <v>cald_general</v>
      </c>
      <c r="J779" s="10" t="str">
        <f aca="false">"https://"&amp;B779&amp;G779&amp;"?utm_source="&amp;E779&amp;"&amp;utm_medium="&amp;F779&amp;"&amp;utm_campaign="&amp;H779&amp;"&amp;utm_content="&amp;I779</f>
        <v>https://eu-ai-audit.eu/?utm_source=kdp_book&amp;utm_medium=book&amp;utm_campaign=2610_ff_lansare&amp;utm_content=cald_general</v>
      </c>
    </row>
    <row r="780" customFormat="false" ht="15" hidden="false" customHeight="false" outlineLevel="0" collapsed="false">
      <c r="A780" s="10" t="s">
        <v>65</v>
      </c>
      <c r="B780" s="10" t="str">
        <f aca="false">INDEX('Site-uri'!$B$2:$B$20,MATCH(A780,'Site-uri'!$A$2:$A$20,0))</f>
        <v>eu-ai-audit.eu</v>
      </c>
      <c r="C780" s="10" t="s">
        <v>179</v>
      </c>
      <c r="D780" s="10" t="s">
        <v>231</v>
      </c>
      <c r="E780" s="10" t="str">
        <f aca="false">INDEX(Canale!$C$2:$C$30,MATCH(C780,Canale!$A$2:$A$30,0))</f>
        <v>kdp_book</v>
      </c>
      <c r="F780" s="10" t="str">
        <f aca="false">INDEX(Canale!$D$2:$D$30,MATCH(C780,Canale!$A$2:$A$30,0))</f>
        <v>book</v>
      </c>
      <c r="G780" s="10" t="str">
        <f aca="false">INDEX('Site-uri'!$C$2:$C$20,MATCH(A780,'Site-uri'!$A$2:$A$20,0))</f>
        <v>/</v>
      </c>
      <c r="H780" s="10" t="str">
        <f aca="false">Config!$B$3</f>
        <v>2610_ff_lansare</v>
      </c>
      <c r="I780" s="10" t="str">
        <f aca="false">D780&amp;"_"&amp;Config!$B$4</f>
        <v>fierbinte_general</v>
      </c>
      <c r="J780" s="10" t="str">
        <f aca="false">"https://"&amp;B780&amp;G780&amp;"?utm_source="&amp;E780&amp;"&amp;utm_medium="&amp;F780&amp;"&amp;utm_campaign="&amp;H780&amp;"&amp;utm_content="&amp;I780</f>
        <v>https://eu-ai-audit.eu/?utm_source=kdp_book&amp;utm_medium=book&amp;utm_campaign=2610_ff_lansare&amp;utm_content=fierbinte_general</v>
      </c>
    </row>
    <row r="781" customFormat="false" ht="15" hidden="false" customHeight="false" outlineLevel="0" collapsed="false">
      <c r="A781" s="10" t="s">
        <v>65</v>
      </c>
      <c r="B781" s="10" t="str">
        <f aca="false">INDEX('Site-uri'!$B$2:$B$20,MATCH(A781,'Site-uri'!$A$2:$A$20,0))</f>
        <v>eu-ai-audit.eu</v>
      </c>
      <c r="C781" s="10" t="s">
        <v>179</v>
      </c>
      <c r="D781" s="10" t="s">
        <v>237</v>
      </c>
      <c r="E781" s="10" t="str">
        <f aca="false">INDEX(Canale!$C$2:$C$30,MATCH(C781,Canale!$A$2:$A$30,0))</f>
        <v>kdp_book</v>
      </c>
      <c r="F781" s="10" t="str">
        <f aca="false">INDEX(Canale!$D$2:$D$30,MATCH(C781,Canale!$A$2:$A$30,0))</f>
        <v>book</v>
      </c>
      <c r="G781" s="10" t="str">
        <f aca="false">INDEX('Site-uri'!$C$2:$C$20,MATCH(A781,'Site-uri'!$A$2:$A$20,0))</f>
        <v>/</v>
      </c>
      <c r="H781" s="10" t="str">
        <f aca="false">Config!$B$3</f>
        <v>2610_ff_lansare</v>
      </c>
      <c r="I781" s="10" t="str">
        <f aca="false">D781&amp;"_"&amp;Config!$B$4</f>
        <v>client_general</v>
      </c>
      <c r="J781" s="10" t="str">
        <f aca="false">"https://"&amp;B781&amp;G781&amp;"?utm_source="&amp;E781&amp;"&amp;utm_medium="&amp;F781&amp;"&amp;utm_campaign="&amp;H781&amp;"&amp;utm_content="&amp;I781</f>
        <v>https://eu-ai-audit.eu/?utm_source=kdp_book&amp;utm_medium=book&amp;utm_campaign=2610_ff_lansare&amp;utm_content=client_general</v>
      </c>
    </row>
    <row r="782" customFormat="false" ht="15" hidden="false" customHeight="false" outlineLevel="0" collapsed="false">
      <c r="A782" s="10" t="s">
        <v>65</v>
      </c>
      <c r="B782" s="10" t="str">
        <f aca="false">INDEX('Site-uri'!$B$2:$B$20,MATCH(A782,'Site-uri'!$A$2:$A$20,0))</f>
        <v>eu-ai-audit.eu</v>
      </c>
      <c r="C782" s="10" t="s">
        <v>184</v>
      </c>
      <c r="D782" s="10" t="s">
        <v>219</v>
      </c>
      <c r="E782" s="10" t="str">
        <f aca="false">INDEX(Canale!$C$2:$C$30,MATCH(C782,Canale!$A$2:$A$30,0))</f>
        <v>udemy</v>
      </c>
      <c r="F782" s="10" t="str">
        <f aca="false">INDEX(Canale!$D$2:$D$30,MATCH(C782,Canale!$A$2:$A$30,0))</f>
        <v>course</v>
      </c>
      <c r="G782" s="10" t="str">
        <f aca="false">INDEX('Site-uri'!$C$2:$C$20,MATCH(A782,'Site-uri'!$A$2:$A$20,0))</f>
        <v>/</v>
      </c>
      <c r="H782" s="10" t="str">
        <f aca="false">Config!$B$3</f>
        <v>2610_ff_lansare</v>
      </c>
      <c r="I782" s="10" t="str">
        <f aca="false">D782&amp;"_"&amp;Config!$B$4</f>
        <v>rece_general</v>
      </c>
      <c r="J782" s="10" t="str">
        <f aca="false">"https://"&amp;B782&amp;G782&amp;"?utm_source="&amp;E782&amp;"&amp;utm_medium="&amp;F782&amp;"&amp;utm_campaign="&amp;H782&amp;"&amp;utm_content="&amp;I782</f>
        <v>https://eu-ai-audit.eu/?utm_source=udemy&amp;utm_medium=course&amp;utm_campaign=2610_ff_lansare&amp;utm_content=rece_general</v>
      </c>
    </row>
    <row r="783" customFormat="false" ht="15" hidden="false" customHeight="false" outlineLevel="0" collapsed="false">
      <c r="A783" s="10" t="s">
        <v>65</v>
      </c>
      <c r="B783" s="10" t="str">
        <f aca="false">INDEX('Site-uri'!$B$2:$B$20,MATCH(A783,'Site-uri'!$A$2:$A$20,0))</f>
        <v>eu-ai-audit.eu</v>
      </c>
      <c r="C783" s="10" t="s">
        <v>184</v>
      </c>
      <c r="D783" s="10" t="s">
        <v>225</v>
      </c>
      <c r="E783" s="10" t="str">
        <f aca="false">INDEX(Canale!$C$2:$C$30,MATCH(C783,Canale!$A$2:$A$30,0))</f>
        <v>udemy</v>
      </c>
      <c r="F783" s="10" t="str">
        <f aca="false">INDEX(Canale!$D$2:$D$30,MATCH(C783,Canale!$A$2:$A$30,0))</f>
        <v>course</v>
      </c>
      <c r="G783" s="10" t="str">
        <f aca="false">INDEX('Site-uri'!$C$2:$C$20,MATCH(A783,'Site-uri'!$A$2:$A$20,0))</f>
        <v>/</v>
      </c>
      <c r="H783" s="10" t="str">
        <f aca="false">Config!$B$3</f>
        <v>2610_ff_lansare</v>
      </c>
      <c r="I783" s="10" t="str">
        <f aca="false">D783&amp;"_"&amp;Config!$B$4</f>
        <v>cald_general</v>
      </c>
      <c r="J783" s="10" t="str">
        <f aca="false">"https://"&amp;B783&amp;G783&amp;"?utm_source="&amp;E783&amp;"&amp;utm_medium="&amp;F783&amp;"&amp;utm_campaign="&amp;H783&amp;"&amp;utm_content="&amp;I783</f>
        <v>https://eu-ai-audit.eu/?utm_source=udemy&amp;utm_medium=course&amp;utm_campaign=2610_ff_lansare&amp;utm_content=cald_general</v>
      </c>
    </row>
    <row r="784" customFormat="false" ht="15" hidden="false" customHeight="false" outlineLevel="0" collapsed="false">
      <c r="A784" s="10" t="s">
        <v>65</v>
      </c>
      <c r="B784" s="10" t="str">
        <f aca="false">INDEX('Site-uri'!$B$2:$B$20,MATCH(A784,'Site-uri'!$A$2:$A$20,0))</f>
        <v>eu-ai-audit.eu</v>
      </c>
      <c r="C784" s="10" t="s">
        <v>184</v>
      </c>
      <c r="D784" s="10" t="s">
        <v>231</v>
      </c>
      <c r="E784" s="10" t="str">
        <f aca="false">INDEX(Canale!$C$2:$C$30,MATCH(C784,Canale!$A$2:$A$30,0))</f>
        <v>udemy</v>
      </c>
      <c r="F784" s="10" t="str">
        <f aca="false">INDEX(Canale!$D$2:$D$30,MATCH(C784,Canale!$A$2:$A$30,0))</f>
        <v>course</v>
      </c>
      <c r="G784" s="10" t="str">
        <f aca="false">INDEX('Site-uri'!$C$2:$C$20,MATCH(A784,'Site-uri'!$A$2:$A$20,0))</f>
        <v>/</v>
      </c>
      <c r="H784" s="10" t="str">
        <f aca="false">Config!$B$3</f>
        <v>2610_ff_lansare</v>
      </c>
      <c r="I784" s="10" t="str">
        <f aca="false">D784&amp;"_"&amp;Config!$B$4</f>
        <v>fierbinte_general</v>
      </c>
      <c r="J784" s="10" t="str">
        <f aca="false">"https://"&amp;B784&amp;G784&amp;"?utm_source="&amp;E784&amp;"&amp;utm_medium="&amp;F784&amp;"&amp;utm_campaign="&amp;H784&amp;"&amp;utm_content="&amp;I784</f>
        <v>https://eu-ai-audit.eu/?utm_source=udemy&amp;utm_medium=course&amp;utm_campaign=2610_ff_lansare&amp;utm_content=fierbinte_general</v>
      </c>
    </row>
    <row r="785" customFormat="false" ht="15" hidden="false" customHeight="false" outlineLevel="0" collapsed="false">
      <c r="A785" s="10" t="s">
        <v>65</v>
      </c>
      <c r="B785" s="10" t="str">
        <f aca="false">INDEX('Site-uri'!$B$2:$B$20,MATCH(A785,'Site-uri'!$A$2:$A$20,0))</f>
        <v>eu-ai-audit.eu</v>
      </c>
      <c r="C785" s="10" t="s">
        <v>184</v>
      </c>
      <c r="D785" s="10" t="s">
        <v>237</v>
      </c>
      <c r="E785" s="10" t="str">
        <f aca="false">INDEX(Canale!$C$2:$C$30,MATCH(C785,Canale!$A$2:$A$30,0))</f>
        <v>udemy</v>
      </c>
      <c r="F785" s="10" t="str">
        <f aca="false">INDEX(Canale!$D$2:$D$30,MATCH(C785,Canale!$A$2:$A$30,0))</f>
        <v>course</v>
      </c>
      <c r="G785" s="10" t="str">
        <f aca="false">INDEX('Site-uri'!$C$2:$C$20,MATCH(A785,'Site-uri'!$A$2:$A$20,0))</f>
        <v>/</v>
      </c>
      <c r="H785" s="10" t="str">
        <f aca="false">Config!$B$3</f>
        <v>2610_ff_lansare</v>
      </c>
      <c r="I785" s="10" t="str">
        <f aca="false">D785&amp;"_"&amp;Config!$B$4</f>
        <v>client_general</v>
      </c>
      <c r="J785" s="10" t="str">
        <f aca="false">"https://"&amp;B785&amp;G785&amp;"?utm_source="&amp;E785&amp;"&amp;utm_medium="&amp;F785&amp;"&amp;utm_campaign="&amp;H785&amp;"&amp;utm_content="&amp;I785</f>
        <v>https://eu-ai-audit.eu/?utm_source=udemy&amp;utm_medium=course&amp;utm_campaign=2610_ff_lansare&amp;utm_content=client_general</v>
      </c>
    </row>
    <row r="786" customFormat="false" ht="15" hidden="false" customHeight="false" outlineLevel="0" collapsed="false">
      <c r="A786" s="10" t="s">
        <v>65</v>
      </c>
      <c r="B786" s="10" t="str">
        <f aca="false">INDEX('Site-uri'!$B$2:$B$20,MATCH(A786,'Site-uri'!$A$2:$A$20,0))</f>
        <v>eu-ai-audit.eu</v>
      </c>
      <c r="C786" s="10" t="s">
        <v>187</v>
      </c>
      <c r="D786" s="10" t="s">
        <v>219</v>
      </c>
      <c r="E786" s="10" t="str">
        <f aca="false">INDEX(Canale!$C$2:$C$30,MATCH(C786,Canale!$A$2:$A$30,0))</f>
        <v>directory</v>
      </c>
      <c r="F786" s="10" t="str">
        <f aca="false">INDEX(Canale!$D$2:$D$30,MATCH(C786,Canale!$A$2:$A$30,0))</f>
        <v>referral</v>
      </c>
      <c r="G786" s="10" t="str">
        <f aca="false">INDEX('Site-uri'!$C$2:$C$20,MATCH(A786,'Site-uri'!$A$2:$A$20,0))</f>
        <v>/</v>
      </c>
      <c r="H786" s="10" t="str">
        <f aca="false">Config!$B$3</f>
        <v>2610_ff_lansare</v>
      </c>
      <c r="I786" s="10" t="str">
        <f aca="false">D786&amp;"_"&amp;Config!$B$4</f>
        <v>rece_general</v>
      </c>
      <c r="J786" s="10" t="str">
        <f aca="false">"https://"&amp;B786&amp;G786&amp;"?utm_source="&amp;E786&amp;"&amp;utm_medium="&amp;F786&amp;"&amp;utm_campaign="&amp;H786&amp;"&amp;utm_content="&amp;I786</f>
        <v>https://eu-ai-audit.eu/?utm_source=directory&amp;utm_medium=referral&amp;utm_campaign=2610_ff_lansare&amp;utm_content=rece_general</v>
      </c>
    </row>
    <row r="787" customFormat="false" ht="15" hidden="false" customHeight="false" outlineLevel="0" collapsed="false">
      <c r="A787" s="10" t="s">
        <v>65</v>
      </c>
      <c r="B787" s="10" t="str">
        <f aca="false">INDEX('Site-uri'!$B$2:$B$20,MATCH(A787,'Site-uri'!$A$2:$A$20,0))</f>
        <v>eu-ai-audit.eu</v>
      </c>
      <c r="C787" s="10" t="s">
        <v>187</v>
      </c>
      <c r="D787" s="10" t="s">
        <v>225</v>
      </c>
      <c r="E787" s="10" t="str">
        <f aca="false">INDEX(Canale!$C$2:$C$30,MATCH(C787,Canale!$A$2:$A$30,0))</f>
        <v>directory</v>
      </c>
      <c r="F787" s="10" t="str">
        <f aca="false">INDEX(Canale!$D$2:$D$30,MATCH(C787,Canale!$A$2:$A$30,0))</f>
        <v>referral</v>
      </c>
      <c r="G787" s="10" t="str">
        <f aca="false">INDEX('Site-uri'!$C$2:$C$20,MATCH(A787,'Site-uri'!$A$2:$A$20,0))</f>
        <v>/</v>
      </c>
      <c r="H787" s="10" t="str">
        <f aca="false">Config!$B$3</f>
        <v>2610_ff_lansare</v>
      </c>
      <c r="I787" s="10" t="str">
        <f aca="false">D787&amp;"_"&amp;Config!$B$4</f>
        <v>cald_general</v>
      </c>
      <c r="J787" s="10" t="str">
        <f aca="false">"https://"&amp;B787&amp;G787&amp;"?utm_source="&amp;E787&amp;"&amp;utm_medium="&amp;F787&amp;"&amp;utm_campaign="&amp;H787&amp;"&amp;utm_content="&amp;I787</f>
        <v>https://eu-ai-audit.eu/?utm_source=directory&amp;utm_medium=referral&amp;utm_campaign=2610_ff_lansare&amp;utm_content=cald_general</v>
      </c>
    </row>
    <row r="788" customFormat="false" ht="15" hidden="false" customHeight="false" outlineLevel="0" collapsed="false">
      <c r="A788" s="10" t="s">
        <v>65</v>
      </c>
      <c r="B788" s="10" t="str">
        <f aca="false">INDEX('Site-uri'!$B$2:$B$20,MATCH(A788,'Site-uri'!$A$2:$A$20,0))</f>
        <v>eu-ai-audit.eu</v>
      </c>
      <c r="C788" s="10" t="s">
        <v>187</v>
      </c>
      <c r="D788" s="10" t="s">
        <v>231</v>
      </c>
      <c r="E788" s="10" t="str">
        <f aca="false">INDEX(Canale!$C$2:$C$30,MATCH(C788,Canale!$A$2:$A$30,0))</f>
        <v>directory</v>
      </c>
      <c r="F788" s="10" t="str">
        <f aca="false">INDEX(Canale!$D$2:$D$30,MATCH(C788,Canale!$A$2:$A$30,0))</f>
        <v>referral</v>
      </c>
      <c r="G788" s="10" t="str">
        <f aca="false">INDEX('Site-uri'!$C$2:$C$20,MATCH(A788,'Site-uri'!$A$2:$A$20,0))</f>
        <v>/</v>
      </c>
      <c r="H788" s="10" t="str">
        <f aca="false">Config!$B$3</f>
        <v>2610_ff_lansare</v>
      </c>
      <c r="I788" s="10" t="str">
        <f aca="false">D788&amp;"_"&amp;Config!$B$4</f>
        <v>fierbinte_general</v>
      </c>
      <c r="J788" s="10" t="str">
        <f aca="false">"https://"&amp;B788&amp;G788&amp;"?utm_source="&amp;E788&amp;"&amp;utm_medium="&amp;F788&amp;"&amp;utm_campaign="&amp;H788&amp;"&amp;utm_content="&amp;I788</f>
        <v>https://eu-ai-audit.eu/?utm_source=directory&amp;utm_medium=referral&amp;utm_campaign=2610_ff_lansare&amp;utm_content=fierbinte_general</v>
      </c>
    </row>
    <row r="789" customFormat="false" ht="15" hidden="false" customHeight="false" outlineLevel="0" collapsed="false">
      <c r="A789" s="10" t="s">
        <v>65</v>
      </c>
      <c r="B789" s="10" t="str">
        <f aca="false">INDEX('Site-uri'!$B$2:$B$20,MATCH(A789,'Site-uri'!$A$2:$A$20,0))</f>
        <v>eu-ai-audit.eu</v>
      </c>
      <c r="C789" s="10" t="s">
        <v>187</v>
      </c>
      <c r="D789" s="10" t="s">
        <v>237</v>
      </c>
      <c r="E789" s="10" t="str">
        <f aca="false">INDEX(Canale!$C$2:$C$30,MATCH(C789,Canale!$A$2:$A$30,0))</f>
        <v>directory</v>
      </c>
      <c r="F789" s="10" t="str">
        <f aca="false">INDEX(Canale!$D$2:$D$30,MATCH(C789,Canale!$A$2:$A$30,0))</f>
        <v>referral</v>
      </c>
      <c r="G789" s="10" t="str">
        <f aca="false">INDEX('Site-uri'!$C$2:$C$20,MATCH(A789,'Site-uri'!$A$2:$A$20,0))</f>
        <v>/</v>
      </c>
      <c r="H789" s="10" t="str">
        <f aca="false">Config!$B$3</f>
        <v>2610_ff_lansare</v>
      </c>
      <c r="I789" s="10" t="str">
        <f aca="false">D789&amp;"_"&amp;Config!$B$4</f>
        <v>client_general</v>
      </c>
      <c r="J789" s="10" t="str">
        <f aca="false">"https://"&amp;B789&amp;G789&amp;"?utm_source="&amp;E789&amp;"&amp;utm_medium="&amp;F789&amp;"&amp;utm_campaign="&amp;H789&amp;"&amp;utm_content="&amp;I789</f>
        <v>https://eu-ai-audit.eu/?utm_source=directory&amp;utm_medium=referral&amp;utm_campaign=2610_ff_lansare&amp;utm_content=client_general</v>
      </c>
    </row>
    <row r="790" customFormat="false" ht="15" hidden="false" customHeight="false" outlineLevel="0" collapsed="false">
      <c r="A790" s="10" t="s">
        <v>65</v>
      </c>
      <c r="B790" s="10" t="str">
        <f aca="false">INDEX('Site-uri'!$B$2:$B$20,MATCH(A790,'Site-uri'!$A$2:$A$20,0))</f>
        <v>eu-ai-audit.eu</v>
      </c>
      <c r="C790" s="10" t="s">
        <v>191</v>
      </c>
      <c r="D790" s="10" t="s">
        <v>219</v>
      </c>
      <c r="E790" s="10" t="str">
        <f aca="false">INDEX(Canale!$C$2:$C$30,MATCH(C790,Canale!$A$2:$A$30,0))</f>
        <v>partner</v>
      </c>
      <c r="F790" s="10" t="str">
        <f aca="false">INDEX(Canale!$D$2:$D$30,MATCH(C790,Canale!$A$2:$A$30,0))</f>
        <v>partner</v>
      </c>
      <c r="G790" s="10" t="str">
        <f aca="false">INDEX('Site-uri'!$C$2:$C$20,MATCH(A790,'Site-uri'!$A$2:$A$20,0))</f>
        <v>/</v>
      </c>
      <c r="H790" s="10" t="str">
        <f aca="false">Config!$B$3</f>
        <v>2610_ff_lansare</v>
      </c>
      <c r="I790" s="10" t="str">
        <f aca="false">D790&amp;"_"&amp;Config!$B$4</f>
        <v>rece_general</v>
      </c>
      <c r="J790" s="10" t="str">
        <f aca="false">"https://"&amp;B790&amp;G790&amp;"?utm_source="&amp;E790&amp;"&amp;utm_medium="&amp;F790&amp;"&amp;utm_campaign="&amp;H790&amp;"&amp;utm_content="&amp;I790</f>
        <v>https://eu-ai-audit.eu/?utm_source=partner&amp;utm_medium=partner&amp;utm_campaign=2610_ff_lansare&amp;utm_content=rece_general</v>
      </c>
    </row>
    <row r="791" customFormat="false" ht="15" hidden="false" customHeight="false" outlineLevel="0" collapsed="false">
      <c r="A791" s="10" t="s">
        <v>65</v>
      </c>
      <c r="B791" s="10" t="str">
        <f aca="false">INDEX('Site-uri'!$B$2:$B$20,MATCH(A791,'Site-uri'!$A$2:$A$20,0))</f>
        <v>eu-ai-audit.eu</v>
      </c>
      <c r="C791" s="10" t="s">
        <v>191</v>
      </c>
      <c r="D791" s="10" t="s">
        <v>225</v>
      </c>
      <c r="E791" s="10" t="str">
        <f aca="false">INDEX(Canale!$C$2:$C$30,MATCH(C791,Canale!$A$2:$A$30,0))</f>
        <v>partner</v>
      </c>
      <c r="F791" s="10" t="str">
        <f aca="false">INDEX(Canale!$D$2:$D$30,MATCH(C791,Canale!$A$2:$A$30,0))</f>
        <v>partner</v>
      </c>
      <c r="G791" s="10" t="str">
        <f aca="false">INDEX('Site-uri'!$C$2:$C$20,MATCH(A791,'Site-uri'!$A$2:$A$20,0))</f>
        <v>/</v>
      </c>
      <c r="H791" s="10" t="str">
        <f aca="false">Config!$B$3</f>
        <v>2610_ff_lansare</v>
      </c>
      <c r="I791" s="10" t="str">
        <f aca="false">D791&amp;"_"&amp;Config!$B$4</f>
        <v>cald_general</v>
      </c>
      <c r="J791" s="10" t="str">
        <f aca="false">"https://"&amp;B791&amp;G791&amp;"?utm_source="&amp;E791&amp;"&amp;utm_medium="&amp;F791&amp;"&amp;utm_campaign="&amp;H791&amp;"&amp;utm_content="&amp;I791</f>
        <v>https://eu-ai-audit.eu/?utm_source=partner&amp;utm_medium=partner&amp;utm_campaign=2610_ff_lansare&amp;utm_content=cald_general</v>
      </c>
    </row>
    <row r="792" customFormat="false" ht="15" hidden="false" customHeight="false" outlineLevel="0" collapsed="false">
      <c r="A792" s="10" t="s">
        <v>65</v>
      </c>
      <c r="B792" s="10" t="str">
        <f aca="false">INDEX('Site-uri'!$B$2:$B$20,MATCH(A792,'Site-uri'!$A$2:$A$20,0))</f>
        <v>eu-ai-audit.eu</v>
      </c>
      <c r="C792" s="10" t="s">
        <v>191</v>
      </c>
      <c r="D792" s="10" t="s">
        <v>231</v>
      </c>
      <c r="E792" s="10" t="str">
        <f aca="false">INDEX(Canale!$C$2:$C$30,MATCH(C792,Canale!$A$2:$A$30,0))</f>
        <v>partner</v>
      </c>
      <c r="F792" s="10" t="str">
        <f aca="false">INDEX(Canale!$D$2:$D$30,MATCH(C792,Canale!$A$2:$A$30,0))</f>
        <v>partner</v>
      </c>
      <c r="G792" s="10" t="str">
        <f aca="false">INDEX('Site-uri'!$C$2:$C$20,MATCH(A792,'Site-uri'!$A$2:$A$20,0))</f>
        <v>/</v>
      </c>
      <c r="H792" s="10" t="str">
        <f aca="false">Config!$B$3</f>
        <v>2610_ff_lansare</v>
      </c>
      <c r="I792" s="10" t="str">
        <f aca="false">D792&amp;"_"&amp;Config!$B$4</f>
        <v>fierbinte_general</v>
      </c>
      <c r="J792" s="10" t="str">
        <f aca="false">"https://"&amp;B792&amp;G792&amp;"?utm_source="&amp;E792&amp;"&amp;utm_medium="&amp;F792&amp;"&amp;utm_campaign="&amp;H792&amp;"&amp;utm_content="&amp;I792</f>
        <v>https://eu-ai-audit.eu/?utm_source=partner&amp;utm_medium=partner&amp;utm_campaign=2610_ff_lansare&amp;utm_content=fierbinte_general</v>
      </c>
    </row>
    <row r="793" customFormat="false" ht="15" hidden="false" customHeight="false" outlineLevel="0" collapsed="false">
      <c r="A793" s="10" t="s">
        <v>65</v>
      </c>
      <c r="B793" s="10" t="str">
        <f aca="false">INDEX('Site-uri'!$B$2:$B$20,MATCH(A793,'Site-uri'!$A$2:$A$20,0))</f>
        <v>eu-ai-audit.eu</v>
      </c>
      <c r="C793" s="10" t="s">
        <v>191</v>
      </c>
      <c r="D793" s="10" t="s">
        <v>237</v>
      </c>
      <c r="E793" s="10" t="str">
        <f aca="false">INDEX(Canale!$C$2:$C$30,MATCH(C793,Canale!$A$2:$A$30,0))</f>
        <v>partner</v>
      </c>
      <c r="F793" s="10" t="str">
        <f aca="false">INDEX(Canale!$D$2:$D$30,MATCH(C793,Canale!$A$2:$A$30,0))</f>
        <v>partner</v>
      </c>
      <c r="G793" s="10" t="str">
        <f aca="false">INDEX('Site-uri'!$C$2:$C$20,MATCH(A793,'Site-uri'!$A$2:$A$20,0))</f>
        <v>/</v>
      </c>
      <c r="H793" s="10" t="str">
        <f aca="false">Config!$B$3</f>
        <v>2610_ff_lansare</v>
      </c>
      <c r="I793" s="10" t="str">
        <f aca="false">D793&amp;"_"&amp;Config!$B$4</f>
        <v>client_general</v>
      </c>
      <c r="J793" s="10" t="str">
        <f aca="false">"https://"&amp;B793&amp;G793&amp;"?utm_source="&amp;E793&amp;"&amp;utm_medium="&amp;F793&amp;"&amp;utm_campaign="&amp;H793&amp;"&amp;utm_content="&amp;I793</f>
        <v>https://eu-ai-audit.eu/?utm_source=partner&amp;utm_medium=partner&amp;utm_campaign=2610_ff_lansare&amp;utm_content=client_general</v>
      </c>
    </row>
    <row r="794" customFormat="false" ht="15" hidden="false" customHeight="false" outlineLevel="0" collapsed="false">
      <c r="A794" s="10" t="s">
        <v>65</v>
      </c>
      <c r="B794" s="10" t="str">
        <f aca="false">INDEX('Site-uri'!$B$2:$B$20,MATCH(A794,'Site-uri'!$A$2:$A$20,0))</f>
        <v>eu-ai-audit.eu</v>
      </c>
      <c r="C794" s="10" t="s">
        <v>193</v>
      </c>
      <c r="D794" s="10" t="s">
        <v>219</v>
      </c>
      <c r="E794" s="10" t="str">
        <f aca="false">INDEX(Canale!$C$2:$C$30,MATCH(C794,Canale!$A$2:$A$30,0))</f>
        <v>pdf_proposal</v>
      </c>
      <c r="F794" s="10" t="str">
        <f aca="false">INDEX(Canale!$D$2:$D$30,MATCH(C794,Canale!$A$2:$A$30,0))</f>
        <v>document</v>
      </c>
      <c r="G794" s="10" t="str">
        <f aca="false">INDEX('Site-uri'!$C$2:$C$20,MATCH(A794,'Site-uri'!$A$2:$A$20,0))</f>
        <v>/</v>
      </c>
      <c r="H794" s="10" t="str">
        <f aca="false">Config!$B$3</f>
        <v>2610_ff_lansare</v>
      </c>
      <c r="I794" s="10" t="str">
        <f aca="false">D794&amp;"_"&amp;Config!$B$4</f>
        <v>rece_general</v>
      </c>
      <c r="J794" s="10" t="str">
        <f aca="false">"https://"&amp;B794&amp;G794&amp;"?utm_source="&amp;E794&amp;"&amp;utm_medium="&amp;F794&amp;"&amp;utm_campaign="&amp;H794&amp;"&amp;utm_content="&amp;I794</f>
        <v>https://eu-ai-audit.eu/?utm_source=pdf_proposal&amp;utm_medium=document&amp;utm_campaign=2610_ff_lansare&amp;utm_content=rece_general</v>
      </c>
    </row>
    <row r="795" customFormat="false" ht="15" hidden="false" customHeight="false" outlineLevel="0" collapsed="false">
      <c r="A795" s="10" t="s">
        <v>65</v>
      </c>
      <c r="B795" s="10" t="str">
        <f aca="false">INDEX('Site-uri'!$B$2:$B$20,MATCH(A795,'Site-uri'!$A$2:$A$20,0))</f>
        <v>eu-ai-audit.eu</v>
      </c>
      <c r="C795" s="10" t="s">
        <v>193</v>
      </c>
      <c r="D795" s="10" t="s">
        <v>225</v>
      </c>
      <c r="E795" s="10" t="str">
        <f aca="false">INDEX(Canale!$C$2:$C$30,MATCH(C795,Canale!$A$2:$A$30,0))</f>
        <v>pdf_proposal</v>
      </c>
      <c r="F795" s="10" t="str">
        <f aca="false">INDEX(Canale!$D$2:$D$30,MATCH(C795,Canale!$A$2:$A$30,0))</f>
        <v>document</v>
      </c>
      <c r="G795" s="10" t="str">
        <f aca="false">INDEX('Site-uri'!$C$2:$C$20,MATCH(A795,'Site-uri'!$A$2:$A$20,0))</f>
        <v>/</v>
      </c>
      <c r="H795" s="10" t="str">
        <f aca="false">Config!$B$3</f>
        <v>2610_ff_lansare</v>
      </c>
      <c r="I795" s="10" t="str">
        <f aca="false">D795&amp;"_"&amp;Config!$B$4</f>
        <v>cald_general</v>
      </c>
      <c r="J795" s="10" t="str">
        <f aca="false">"https://"&amp;B795&amp;G795&amp;"?utm_source="&amp;E795&amp;"&amp;utm_medium="&amp;F795&amp;"&amp;utm_campaign="&amp;H795&amp;"&amp;utm_content="&amp;I795</f>
        <v>https://eu-ai-audit.eu/?utm_source=pdf_proposal&amp;utm_medium=document&amp;utm_campaign=2610_ff_lansare&amp;utm_content=cald_general</v>
      </c>
    </row>
    <row r="796" customFormat="false" ht="15" hidden="false" customHeight="false" outlineLevel="0" collapsed="false">
      <c r="A796" s="10" t="s">
        <v>65</v>
      </c>
      <c r="B796" s="10" t="str">
        <f aca="false">INDEX('Site-uri'!$B$2:$B$20,MATCH(A796,'Site-uri'!$A$2:$A$20,0))</f>
        <v>eu-ai-audit.eu</v>
      </c>
      <c r="C796" s="10" t="s">
        <v>193</v>
      </c>
      <c r="D796" s="10" t="s">
        <v>231</v>
      </c>
      <c r="E796" s="10" t="str">
        <f aca="false">INDEX(Canale!$C$2:$C$30,MATCH(C796,Canale!$A$2:$A$30,0))</f>
        <v>pdf_proposal</v>
      </c>
      <c r="F796" s="10" t="str">
        <f aca="false">INDEX(Canale!$D$2:$D$30,MATCH(C796,Canale!$A$2:$A$30,0))</f>
        <v>document</v>
      </c>
      <c r="G796" s="10" t="str">
        <f aca="false">INDEX('Site-uri'!$C$2:$C$20,MATCH(A796,'Site-uri'!$A$2:$A$20,0))</f>
        <v>/</v>
      </c>
      <c r="H796" s="10" t="str">
        <f aca="false">Config!$B$3</f>
        <v>2610_ff_lansare</v>
      </c>
      <c r="I796" s="10" t="str">
        <f aca="false">D796&amp;"_"&amp;Config!$B$4</f>
        <v>fierbinte_general</v>
      </c>
      <c r="J796" s="10" t="str">
        <f aca="false">"https://"&amp;B796&amp;G796&amp;"?utm_source="&amp;E796&amp;"&amp;utm_medium="&amp;F796&amp;"&amp;utm_campaign="&amp;H796&amp;"&amp;utm_content="&amp;I796</f>
        <v>https://eu-ai-audit.eu/?utm_source=pdf_proposal&amp;utm_medium=document&amp;utm_campaign=2610_ff_lansare&amp;utm_content=fierbinte_general</v>
      </c>
    </row>
    <row r="797" customFormat="false" ht="15" hidden="false" customHeight="false" outlineLevel="0" collapsed="false">
      <c r="A797" s="10" t="s">
        <v>65</v>
      </c>
      <c r="B797" s="10" t="str">
        <f aca="false">INDEX('Site-uri'!$B$2:$B$20,MATCH(A797,'Site-uri'!$A$2:$A$20,0))</f>
        <v>eu-ai-audit.eu</v>
      </c>
      <c r="C797" s="10" t="s">
        <v>193</v>
      </c>
      <c r="D797" s="10" t="s">
        <v>237</v>
      </c>
      <c r="E797" s="10" t="str">
        <f aca="false">INDEX(Canale!$C$2:$C$30,MATCH(C797,Canale!$A$2:$A$30,0))</f>
        <v>pdf_proposal</v>
      </c>
      <c r="F797" s="10" t="str">
        <f aca="false">INDEX(Canale!$D$2:$D$30,MATCH(C797,Canale!$A$2:$A$30,0))</f>
        <v>document</v>
      </c>
      <c r="G797" s="10" t="str">
        <f aca="false">INDEX('Site-uri'!$C$2:$C$20,MATCH(A797,'Site-uri'!$A$2:$A$20,0))</f>
        <v>/</v>
      </c>
      <c r="H797" s="10" t="str">
        <f aca="false">Config!$B$3</f>
        <v>2610_ff_lansare</v>
      </c>
      <c r="I797" s="10" t="str">
        <f aca="false">D797&amp;"_"&amp;Config!$B$4</f>
        <v>client_general</v>
      </c>
      <c r="J797" s="10" t="str">
        <f aca="false">"https://"&amp;B797&amp;G797&amp;"?utm_source="&amp;E797&amp;"&amp;utm_medium="&amp;F797&amp;"&amp;utm_campaign="&amp;H797&amp;"&amp;utm_content="&amp;I797</f>
        <v>https://eu-ai-audit.eu/?utm_source=pdf_proposal&amp;utm_medium=document&amp;utm_campaign=2610_ff_lansare&amp;utm_content=client_general</v>
      </c>
    </row>
    <row r="798" customFormat="false" ht="15" hidden="false" customHeight="false" outlineLevel="0" collapsed="false">
      <c r="A798" s="10" t="s">
        <v>65</v>
      </c>
      <c r="B798" s="10" t="str">
        <f aca="false">INDEX('Site-uri'!$B$2:$B$20,MATCH(A798,'Site-uri'!$A$2:$A$20,0))</f>
        <v>eu-ai-audit.eu</v>
      </c>
      <c r="C798" s="10" t="s">
        <v>198</v>
      </c>
      <c r="D798" s="10" t="s">
        <v>219</v>
      </c>
      <c r="E798" s="10" t="str">
        <f aca="false">INDEX(Canale!$C$2:$C$30,MATCH(C798,Canale!$A$2:$A$30,0))</f>
        <v>qr_print</v>
      </c>
      <c r="F798" s="10" t="str">
        <f aca="false">INDEX(Canale!$D$2:$D$30,MATCH(C798,Canale!$A$2:$A$30,0))</f>
        <v>qr</v>
      </c>
      <c r="G798" s="10" t="str">
        <f aca="false">INDEX('Site-uri'!$C$2:$C$20,MATCH(A798,'Site-uri'!$A$2:$A$20,0))</f>
        <v>/</v>
      </c>
      <c r="H798" s="10" t="str">
        <f aca="false">Config!$B$3</f>
        <v>2610_ff_lansare</v>
      </c>
      <c r="I798" s="10" t="str">
        <f aca="false">D798&amp;"_"&amp;Config!$B$4</f>
        <v>rece_general</v>
      </c>
      <c r="J798" s="10" t="str">
        <f aca="false">"https://"&amp;B798&amp;G798&amp;"?utm_source="&amp;E798&amp;"&amp;utm_medium="&amp;F798&amp;"&amp;utm_campaign="&amp;H798&amp;"&amp;utm_content="&amp;I798</f>
        <v>https://eu-ai-audit.eu/?utm_source=qr_print&amp;utm_medium=qr&amp;utm_campaign=2610_ff_lansare&amp;utm_content=rece_general</v>
      </c>
    </row>
    <row r="799" customFormat="false" ht="15" hidden="false" customHeight="false" outlineLevel="0" collapsed="false">
      <c r="A799" s="10" t="s">
        <v>65</v>
      </c>
      <c r="B799" s="10" t="str">
        <f aca="false">INDEX('Site-uri'!$B$2:$B$20,MATCH(A799,'Site-uri'!$A$2:$A$20,0))</f>
        <v>eu-ai-audit.eu</v>
      </c>
      <c r="C799" s="10" t="s">
        <v>198</v>
      </c>
      <c r="D799" s="10" t="s">
        <v>225</v>
      </c>
      <c r="E799" s="10" t="str">
        <f aca="false">INDEX(Canale!$C$2:$C$30,MATCH(C799,Canale!$A$2:$A$30,0))</f>
        <v>qr_print</v>
      </c>
      <c r="F799" s="10" t="str">
        <f aca="false">INDEX(Canale!$D$2:$D$30,MATCH(C799,Canale!$A$2:$A$30,0))</f>
        <v>qr</v>
      </c>
      <c r="G799" s="10" t="str">
        <f aca="false">INDEX('Site-uri'!$C$2:$C$20,MATCH(A799,'Site-uri'!$A$2:$A$20,0))</f>
        <v>/</v>
      </c>
      <c r="H799" s="10" t="str">
        <f aca="false">Config!$B$3</f>
        <v>2610_ff_lansare</v>
      </c>
      <c r="I799" s="10" t="str">
        <f aca="false">D799&amp;"_"&amp;Config!$B$4</f>
        <v>cald_general</v>
      </c>
      <c r="J799" s="10" t="str">
        <f aca="false">"https://"&amp;B799&amp;G799&amp;"?utm_source="&amp;E799&amp;"&amp;utm_medium="&amp;F799&amp;"&amp;utm_campaign="&amp;H799&amp;"&amp;utm_content="&amp;I799</f>
        <v>https://eu-ai-audit.eu/?utm_source=qr_print&amp;utm_medium=qr&amp;utm_campaign=2610_ff_lansare&amp;utm_content=cald_general</v>
      </c>
    </row>
    <row r="800" customFormat="false" ht="15" hidden="false" customHeight="false" outlineLevel="0" collapsed="false">
      <c r="A800" s="10" t="s">
        <v>65</v>
      </c>
      <c r="B800" s="10" t="str">
        <f aca="false">INDEX('Site-uri'!$B$2:$B$20,MATCH(A800,'Site-uri'!$A$2:$A$20,0))</f>
        <v>eu-ai-audit.eu</v>
      </c>
      <c r="C800" s="10" t="s">
        <v>198</v>
      </c>
      <c r="D800" s="10" t="s">
        <v>231</v>
      </c>
      <c r="E800" s="10" t="str">
        <f aca="false">INDEX(Canale!$C$2:$C$30,MATCH(C800,Canale!$A$2:$A$30,0))</f>
        <v>qr_print</v>
      </c>
      <c r="F800" s="10" t="str">
        <f aca="false">INDEX(Canale!$D$2:$D$30,MATCH(C800,Canale!$A$2:$A$30,0))</f>
        <v>qr</v>
      </c>
      <c r="G800" s="10" t="str">
        <f aca="false">INDEX('Site-uri'!$C$2:$C$20,MATCH(A800,'Site-uri'!$A$2:$A$20,0))</f>
        <v>/</v>
      </c>
      <c r="H800" s="10" t="str">
        <f aca="false">Config!$B$3</f>
        <v>2610_ff_lansare</v>
      </c>
      <c r="I800" s="10" t="str">
        <f aca="false">D800&amp;"_"&amp;Config!$B$4</f>
        <v>fierbinte_general</v>
      </c>
      <c r="J800" s="10" t="str">
        <f aca="false">"https://"&amp;B800&amp;G800&amp;"?utm_source="&amp;E800&amp;"&amp;utm_medium="&amp;F800&amp;"&amp;utm_campaign="&amp;H800&amp;"&amp;utm_content="&amp;I800</f>
        <v>https://eu-ai-audit.eu/?utm_source=qr_print&amp;utm_medium=qr&amp;utm_campaign=2610_ff_lansare&amp;utm_content=fierbinte_general</v>
      </c>
    </row>
    <row r="801" customFormat="false" ht="15" hidden="false" customHeight="false" outlineLevel="0" collapsed="false">
      <c r="A801" s="10" t="s">
        <v>65</v>
      </c>
      <c r="B801" s="10" t="str">
        <f aca="false">INDEX('Site-uri'!$B$2:$B$20,MATCH(A801,'Site-uri'!$A$2:$A$20,0))</f>
        <v>eu-ai-audit.eu</v>
      </c>
      <c r="C801" s="10" t="s">
        <v>198</v>
      </c>
      <c r="D801" s="10" t="s">
        <v>237</v>
      </c>
      <c r="E801" s="10" t="str">
        <f aca="false">INDEX(Canale!$C$2:$C$30,MATCH(C801,Canale!$A$2:$A$30,0))</f>
        <v>qr_print</v>
      </c>
      <c r="F801" s="10" t="str">
        <f aca="false">INDEX(Canale!$D$2:$D$30,MATCH(C801,Canale!$A$2:$A$30,0))</f>
        <v>qr</v>
      </c>
      <c r="G801" s="10" t="str">
        <f aca="false">INDEX('Site-uri'!$C$2:$C$20,MATCH(A801,'Site-uri'!$A$2:$A$20,0))</f>
        <v>/</v>
      </c>
      <c r="H801" s="10" t="str">
        <f aca="false">Config!$B$3</f>
        <v>2610_ff_lansare</v>
      </c>
      <c r="I801" s="10" t="str">
        <f aca="false">D801&amp;"_"&amp;Config!$B$4</f>
        <v>client_general</v>
      </c>
      <c r="J801" s="10" t="str">
        <f aca="false">"https://"&amp;B801&amp;G801&amp;"?utm_source="&amp;E801&amp;"&amp;utm_medium="&amp;F801&amp;"&amp;utm_campaign="&amp;H801&amp;"&amp;utm_content="&amp;I801</f>
        <v>https://eu-ai-audit.eu/?utm_source=qr_print&amp;utm_medium=qr&amp;utm_campaign=2610_ff_lansare&amp;utm_content=client_general</v>
      </c>
    </row>
    <row r="802" customFormat="false" ht="15" hidden="false" customHeight="false" outlineLevel="0" collapsed="false">
      <c r="A802" s="10" t="s">
        <v>65</v>
      </c>
      <c r="B802" s="10" t="str">
        <f aca="false">INDEX('Site-uri'!$B$2:$B$20,MATCH(A802,'Site-uri'!$A$2:$A$20,0))</f>
        <v>eu-ai-audit.eu</v>
      </c>
      <c r="C802" s="10" t="s">
        <v>202</v>
      </c>
      <c r="D802" s="10" t="s">
        <v>219</v>
      </c>
      <c r="E802" s="10" t="str">
        <f aca="false">INDEX(Canale!$C$2:$C$30,MATCH(C802,Canale!$A$2:$A$30,0))</f>
        <v>event</v>
      </c>
      <c r="F802" s="10" t="str">
        <f aca="false">INDEX(Canale!$D$2:$D$30,MATCH(C802,Canale!$A$2:$A$30,0))</f>
        <v>event</v>
      </c>
      <c r="G802" s="10" t="str">
        <f aca="false">INDEX('Site-uri'!$C$2:$C$20,MATCH(A802,'Site-uri'!$A$2:$A$20,0))</f>
        <v>/</v>
      </c>
      <c r="H802" s="10" t="str">
        <f aca="false">Config!$B$3</f>
        <v>2610_ff_lansare</v>
      </c>
      <c r="I802" s="10" t="str">
        <f aca="false">D802&amp;"_"&amp;Config!$B$4</f>
        <v>rece_general</v>
      </c>
      <c r="J802" s="10" t="str">
        <f aca="false">"https://"&amp;B802&amp;G802&amp;"?utm_source="&amp;E802&amp;"&amp;utm_medium="&amp;F802&amp;"&amp;utm_campaign="&amp;H802&amp;"&amp;utm_content="&amp;I802</f>
        <v>https://eu-ai-audit.eu/?utm_source=event&amp;utm_medium=event&amp;utm_campaign=2610_ff_lansare&amp;utm_content=rece_general</v>
      </c>
    </row>
    <row r="803" customFormat="false" ht="15" hidden="false" customHeight="false" outlineLevel="0" collapsed="false">
      <c r="A803" s="10" t="s">
        <v>65</v>
      </c>
      <c r="B803" s="10" t="str">
        <f aca="false">INDEX('Site-uri'!$B$2:$B$20,MATCH(A803,'Site-uri'!$A$2:$A$20,0))</f>
        <v>eu-ai-audit.eu</v>
      </c>
      <c r="C803" s="10" t="s">
        <v>202</v>
      </c>
      <c r="D803" s="10" t="s">
        <v>225</v>
      </c>
      <c r="E803" s="10" t="str">
        <f aca="false">INDEX(Canale!$C$2:$C$30,MATCH(C803,Canale!$A$2:$A$30,0))</f>
        <v>event</v>
      </c>
      <c r="F803" s="10" t="str">
        <f aca="false">INDEX(Canale!$D$2:$D$30,MATCH(C803,Canale!$A$2:$A$30,0))</f>
        <v>event</v>
      </c>
      <c r="G803" s="10" t="str">
        <f aca="false">INDEX('Site-uri'!$C$2:$C$20,MATCH(A803,'Site-uri'!$A$2:$A$20,0))</f>
        <v>/</v>
      </c>
      <c r="H803" s="10" t="str">
        <f aca="false">Config!$B$3</f>
        <v>2610_ff_lansare</v>
      </c>
      <c r="I803" s="10" t="str">
        <f aca="false">D803&amp;"_"&amp;Config!$B$4</f>
        <v>cald_general</v>
      </c>
      <c r="J803" s="10" t="str">
        <f aca="false">"https://"&amp;B803&amp;G803&amp;"?utm_source="&amp;E803&amp;"&amp;utm_medium="&amp;F803&amp;"&amp;utm_campaign="&amp;H803&amp;"&amp;utm_content="&amp;I803</f>
        <v>https://eu-ai-audit.eu/?utm_source=event&amp;utm_medium=event&amp;utm_campaign=2610_ff_lansare&amp;utm_content=cald_general</v>
      </c>
    </row>
    <row r="804" customFormat="false" ht="15" hidden="false" customHeight="false" outlineLevel="0" collapsed="false">
      <c r="A804" s="10" t="s">
        <v>65</v>
      </c>
      <c r="B804" s="10" t="str">
        <f aca="false">INDEX('Site-uri'!$B$2:$B$20,MATCH(A804,'Site-uri'!$A$2:$A$20,0))</f>
        <v>eu-ai-audit.eu</v>
      </c>
      <c r="C804" s="10" t="s">
        <v>202</v>
      </c>
      <c r="D804" s="10" t="s">
        <v>231</v>
      </c>
      <c r="E804" s="10" t="str">
        <f aca="false">INDEX(Canale!$C$2:$C$30,MATCH(C804,Canale!$A$2:$A$30,0))</f>
        <v>event</v>
      </c>
      <c r="F804" s="10" t="str">
        <f aca="false">INDEX(Canale!$D$2:$D$30,MATCH(C804,Canale!$A$2:$A$30,0))</f>
        <v>event</v>
      </c>
      <c r="G804" s="10" t="str">
        <f aca="false">INDEX('Site-uri'!$C$2:$C$20,MATCH(A804,'Site-uri'!$A$2:$A$20,0))</f>
        <v>/</v>
      </c>
      <c r="H804" s="10" t="str">
        <f aca="false">Config!$B$3</f>
        <v>2610_ff_lansare</v>
      </c>
      <c r="I804" s="10" t="str">
        <f aca="false">D804&amp;"_"&amp;Config!$B$4</f>
        <v>fierbinte_general</v>
      </c>
      <c r="J804" s="10" t="str">
        <f aca="false">"https://"&amp;B804&amp;G804&amp;"?utm_source="&amp;E804&amp;"&amp;utm_medium="&amp;F804&amp;"&amp;utm_campaign="&amp;H804&amp;"&amp;utm_content="&amp;I804</f>
        <v>https://eu-ai-audit.eu/?utm_source=event&amp;utm_medium=event&amp;utm_campaign=2610_ff_lansare&amp;utm_content=fierbinte_general</v>
      </c>
    </row>
    <row r="805" customFormat="false" ht="15" hidden="false" customHeight="false" outlineLevel="0" collapsed="false">
      <c r="A805" s="10" t="s">
        <v>65</v>
      </c>
      <c r="B805" s="10" t="str">
        <f aca="false">INDEX('Site-uri'!$B$2:$B$20,MATCH(A805,'Site-uri'!$A$2:$A$20,0))</f>
        <v>eu-ai-audit.eu</v>
      </c>
      <c r="C805" s="10" t="s">
        <v>202</v>
      </c>
      <c r="D805" s="10" t="s">
        <v>237</v>
      </c>
      <c r="E805" s="10" t="str">
        <f aca="false">INDEX(Canale!$C$2:$C$30,MATCH(C805,Canale!$A$2:$A$30,0))</f>
        <v>event</v>
      </c>
      <c r="F805" s="10" t="str">
        <f aca="false">INDEX(Canale!$D$2:$D$30,MATCH(C805,Canale!$A$2:$A$30,0))</f>
        <v>event</v>
      </c>
      <c r="G805" s="10" t="str">
        <f aca="false">INDEX('Site-uri'!$C$2:$C$20,MATCH(A805,'Site-uri'!$A$2:$A$20,0))</f>
        <v>/</v>
      </c>
      <c r="H805" s="10" t="str">
        <f aca="false">Config!$B$3</f>
        <v>2610_ff_lansare</v>
      </c>
      <c r="I805" s="10" t="str">
        <f aca="false">D805&amp;"_"&amp;Config!$B$4</f>
        <v>client_general</v>
      </c>
      <c r="J805" s="10" t="str">
        <f aca="false">"https://"&amp;B805&amp;G805&amp;"?utm_source="&amp;E805&amp;"&amp;utm_medium="&amp;F805&amp;"&amp;utm_campaign="&amp;H805&amp;"&amp;utm_content="&amp;I805</f>
        <v>https://eu-ai-audit.eu/?utm_source=event&amp;utm_medium=event&amp;utm_campaign=2610_ff_lansare&amp;utm_content=client_general</v>
      </c>
    </row>
    <row r="806" customFormat="false" ht="15" hidden="false" customHeight="false" outlineLevel="0" collapsed="false">
      <c r="A806" s="10" t="s">
        <v>65</v>
      </c>
      <c r="B806" s="10" t="str">
        <f aca="false">INDEX('Site-uri'!$B$2:$B$20,MATCH(A806,'Site-uri'!$A$2:$A$20,0))</f>
        <v>eu-ai-audit.eu</v>
      </c>
      <c r="C806" s="10" t="s">
        <v>204</v>
      </c>
      <c r="D806" s="10" t="s">
        <v>219</v>
      </c>
      <c r="E806" s="10" t="str">
        <f aca="false">INDEX(Canale!$C$2:$C$30,MATCH(C806,Canale!$A$2:$A$30,0))</f>
        <v>a2a_agent_card</v>
      </c>
      <c r="F806" s="10" t="str">
        <f aca="false">INDEX(Canale!$D$2:$D$30,MATCH(C806,Canale!$A$2:$A$30,0))</f>
        <v>agent</v>
      </c>
      <c r="G806" s="10" t="str">
        <f aca="false">INDEX('Site-uri'!$C$2:$C$20,MATCH(A806,'Site-uri'!$A$2:$A$20,0))</f>
        <v>/</v>
      </c>
      <c r="H806" s="10" t="str">
        <f aca="false">Config!$B$3</f>
        <v>2610_ff_lansare</v>
      </c>
      <c r="I806" s="10" t="str">
        <f aca="false">D806&amp;"_"&amp;Config!$B$4</f>
        <v>rece_general</v>
      </c>
      <c r="J806" s="10" t="str">
        <f aca="false">"https://"&amp;B806&amp;G806&amp;"?utm_source="&amp;E806&amp;"&amp;utm_medium="&amp;F806&amp;"&amp;utm_campaign="&amp;H806&amp;"&amp;utm_content="&amp;I806</f>
        <v>https://eu-ai-audit.eu/?utm_source=a2a_agent_card&amp;utm_medium=agent&amp;utm_campaign=2610_ff_lansare&amp;utm_content=rece_general</v>
      </c>
    </row>
    <row r="807" customFormat="false" ht="15" hidden="false" customHeight="false" outlineLevel="0" collapsed="false">
      <c r="A807" s="10" t="s">
        <v>65</v>
      </c>
      <c r="B807" s="10" t="str">
        <f aca="false">INDEX('Site-uri'!$B$2:$B$20,MATCH(A807,'Site-uri'!$A$2:$A$20,0))</f>
        <v>eu-ai-audit.eu</v>
      </c>
      <c r="C807" s="10" t="s">
        <v>204</v>
      </c>
      <c r="D807" s="10" t="s">
        <v>225</v>
      </c>
      <c r="E807" s="10" t="str">
        <f aca="false">INDEX(Canale!$C$2:$C$30,MATCH(C807,Canale!$A$2:$A$30,0))</f>
        <v>a2a_agent_card</v>
      </c>
      <c r="F807" s="10" t="str">
        <f aca="false">INDEX(Canale!$D$2:$D$30,MATCH(C807,Canale!$A$2:$A$30,0))</f>
        <v>agent</v>
      </c>
      <c r="G807" s="10" t="str">
        <f aca="false">INDEX('Site-uri'!$C$2:$C$20,MATCH(A807,'Site-uri'!$A$2:$A$20,0))</f>
        <v>/</v>
      </c>
      <c r="H807" s="10" t="str">
        <f aca="false">Config!$B$3</f>
        <v>2610_ff_lansare</v>
      </c>
      <c r="I807" s="10" t="str">
        <f aca="false">D807&amp;"_"&amp;Config!$B$4</f>
        <v>cald_general</v>
      </c>
      <c r="J807" s="10" t="str">
        <f aca="false">"https://"&amp;B807&amp;G807&amp;"?utm_source="&amp;E807&amp;"&amp;utm_medium="&amp;F807&amp;"&amp;utm_campaign="&amp;H807&amp;"&amp;utm_content="&amp;I807</f>
        <v>https://eu-ai-audit.eu/?utm_source=a2a_agent_card&amp;utm_medium=agent&amp;utm_campaign=2610_ff_lansare&amp;utm_content=cald_general</v>
      </c>
    </row>
    <row r="808" customFormat="false" ht="15" hidden="false" customHeight="false" outlineLevel="0" collapsed="false">
      <c r="A808" s="10" t="s">
        <v>65</v>
      </c>
      <c r="B808" s="10" t="str">
        <f aca="false">INDEX('Site-uri'!$B$2:$B$20,MATCH(A808,'Site-uri'!$A$2:$A$20,0))</f>
        <v>eu-ai-audit.eu</v>
      </c>
      <c r="C808" s="10" t="s">
        <v>204</v>
      </c>
      <c r="D808" s="10" t="s">
        <v>231</v>
      </c>
      <c r="E808" s="10" t="str">
        <f aca="false">INDEX(Canale!$C$2:$C$30,MATCH(C808,Canale!$A$2:$A$30,0))</f>
        <v>a2a_agent_card</v>
      </c>
      <c r="F808" s="10" t="str">
        <f aca="false">INDEX(Canale!$D$2:$D$30,MATCH(C808,Canale!$A$2:$A$30,0))</f>
        <v>agent</v>
      </c>
      <c r="G808" s="10" t="str">
        <f aca="false">INDEX('Site-uri'!$C$2:$C$20,MATCH(A808,'Site-uri'!$A$2:$A$20,0))</f>
        <v>/</v>
      </c>
      <c r="H808" s="10" t="str">
        <f aca="false">Config!$B$3</f>
        <v>2610_ff_lansare</v>
      </c>
      <c r="I808" s="10" t="str">
        <f aca="false">D808&amp;"_"&amp;Config!$B$4</f>
        <v>fierbinte_general</v>
      </c>
      <c r="J808" s="10" t="str">
        <f aca="false">"https://"&amp;B808&amp;G808&amp;"?utm_source="&amp;E808&amp;"&amp;utm_medium="&amp;F808&amp;"&amp;utm_campaign="&amp;H808&amp;"&amp;utm_content="&amp;I808</f>
        <v>https://eu-ai-audit.eu/?utm_source=a2a_agent_card&amp;utm_medium=agent&amp;utm_campaign=2610_ff_lansare&amp;utm_content=fierbinte_general</v>
      </c>
    </row>
    <row r="809" customFormat="false" ht="15" hidden="false" customHeight="false" outlineLevel="0" collapsed="false">
      <c r="A809" s="10" t="s">
        <v>65</v>
      </c>
      <c r="B809" s="10" t="str">
        <f aca="false">INDEX('Site-uri'!$B$2:$B$20,MATCH(A809,'Site-uri'!$A$2:$A$20,0))</f>
        <v>eu-ai-audit.eu</v>
      </c>
      <c r="C809" s="10" t="s">
        <v>204</v>
      </c>
      <c r="D809" s="10" t="s">
        <v>237</v>
      </c>
      <c r="E809" s="10" t="str">
        <f aca="false">INDEX(Canale!$C$2:$C$30,MATCH(C809,Canale!$A$2:$A$30,0))</f>
        <v>a2a_agent_card</v>
      </c>
      <c r="F809" s="10" t="str">
        <f aca="false">INDEX(Canale!$D$2:$D$30,MATCH(C809,Canale!$A$2:$A$30,0))</f>
        <v>agent</v>
      </c>
      <c r="G809" s="10" t="str">
        <f aca="false">INDEX('Site-uri'!$C$2:$C$20,MATCH(A809,'Site-uri'!$A$2:$A$20,0))</f>
        <v>/</v>
      </c>
      <c r="H809" s="10" t="str">
        <f aca="false">Config!$B$3</f>
        <v>2610_ff_lansare</v>
      </c>
      <c r="I809" s="10" t="str">
        <f aca="false">D809&amp;"_"&amp;Config!$B$4</f>
        <v>client_general</v>
      </c>
      <c r="J809" s="10" t="str">
        <f aca="false">"https://"&amp;B809&amp;G809&amp;"?utm_source="&amp;E809&amp;"&amp;utm_medium="&amp;F809&amp;"&amp;utm_campaign="&amp;H809&amp;"&amp;utm_content="&amp;I809</f>
        <v>https://eu-ai-audit.eu/?utm_source=a2a_agent_card&amp;utm_medium=agent&amp;utm_campaign=2610_ff_lansare&amp;utm_content=client_general</v>
      </c>
    </row>
    <row r="810" customFormat="false" ht="15" hidden="false" customHeight="false" outlineLevel="0" collapsed="false">
      <c r="A810" s="10" t="s">
        <v>65</v>
      </c>
      <c r="B810" s="10" t="str">
        <f aca="false">INDEX('Site-uri'!$B$2:$B$20,MATCH(A810,'Site-uri'!$A$2:$A$20,0))</f>
        <v>eu-ai-audit.eu</v>
      </c>
      <c r="C810" s="10" t="s">
        <v>209</v>
      </c>
      <c r="D810" s="10" t="s">
        <v>219</v>
      </c>
      <c r="E810" s="10" t="str">
        <f aca="false">INDEX(Canale!$C$2:$C$30,MATCH(C810,Canale!$A$2:$A$30,0))</f>
        <v>llms_txt</v>
      </c>
      <c r="F810" s="10" t="str">
        <f aca="false">INDEX(Canale!$D$2:$D$30,MATCH(C810,Canale!$A$2:$A$30,0))</f>
        <v>ai_web</v>
      </c>
      <c r="G810" s="10" t="str">
        <f aca="false">INDEX('Site-uri'!$C$2:$C$20,MATCH(A810,'Site-uri'!$A$2:$A$20,0))</f>
        <v>/</v>
      </c>
      <c r="H810" s="10" t="str">
        <f aca="false">Config!$B$3</f>
        <v>2610_ff_lansare</v>
      </c>
      <c r="I810" s="10" t="str">
        <f aca="false">D810&amp;"_"&amp;Config!$B$4</f>
        <v>rece_general</v>
      </c>
      <c r="J810" s="10" t="str">
        <f aca="false">"https://"&amp;B810&amp;G810&amp;"?utm_source="&amp;E810&amp;"&amp;utm_medium="&amp;F810&amp;"&amp;utm_campaign="&amp;H810&amp;"&amp;utm_content="&amp;I810</f>
        <v>https://eu-ai-audit.eu/?utm_source=llms_txt&amp;utm_medium=ai_web&amp;utm_campaign=2610_ff_lansare&amp;utm_content=rece_general</v>
      </c>
    </row>
    <row r="811" customFormat="false" ht="15" hidden="false" customHeight="false" outlineLevel="0" collapsed="false">
      <c r="A811" s="10" t="s">
        <v>65</v>
      </c>
      <c r="B811" s="10" t="str">
        <f aca="false">INDEX('Site-uri'!$B$2:$B$20,MATCH(A811,'Site-uri'!$A$2:$A$20,0))</f>
        <v>eu-ai-audit.eu</v>
      </c>
      <c r="C811" s="10" t="s">
        <v>209</v>
      </c>
      <c r="D811" s="10" t="s">
        <v>225</v>
      </c>
      <c r="E811" s="10" t="str">
        <f aca="false">INDEX(Canale!$C$2:$C$30,MATCH(C811,Canale!$A$2:$A$30,0))</f>
        <v>llms_txt</v>
      </c>
      <c r="F811" s="10" t="str">
        <f aca="false">INDEX(Canale!$D$2:$D$30,MATCH(C811,Canale!$A$2:$A$30,0))</f>
        <v>ai_web</v>
      </c>
      <c r="G811" s="10" t="str">
        <f aca="false">INDEX('Site-uri'!$C$2:$C$20,MATCH(A811,'Site-uri'!$A$2:$A$20,0))</f>
        <v>/</v>
      </c>
      <c r="H811" s="10" t="str">
        <f aca="false">Config!$B$3</f>
        <v>2610_ff_lansare</v>
      </c>
      <c r="I811" s="10" t="str">
        <f aca="false">D811&amp;"_"&amp;Config!$B$4</f>
        <v>cald_general</v>
      </c>
      <c r="J811" s="10" t="str">
        <f aca="false">"https://"&amp;B811&amp;G811&amp;"?utm_source="&amp;E811&amp;"&amp;utm_medium="&amp;F811&amp;"&amp;utm_campaign="&amp;H811&amp;"&amp;utm_content="&amp;I811</f>
        <v>https://eu-ai-audit.eu/?utm_source=llms_txt&amp;utm_medium=ai_web&amp;utm_campaign=2610_ff_lansare&amp;utm_content=cald_general</v>
      </c>
    </row>
    <row r="812" customFormat="false" ht="15" hidden="false" customHeight="false" outlineLevel="0" collapsed="false">
      <c r="A812" s="10" t="s">
        <v>65</v>
      </c>
      <c r="B812" s="10" t="str">
        <f aca="false">INDEX('Site-uri'!$B$2:$B$20,MATCH(A812,'Site-uri'!$A$2:$A$20,0))</f>
        <v>eu-ai-audit.eu</v>
      </c>
      <c r="C812" s="10" t="s">
        <v>209</v>
      </c>
      <c r="D812" s="10" t="s">
        <v>231</v>
      </c>
      <c r="E812" s="10" t="str">
        <f aca="false">INDEX(Canale!$C$2:$C$30,MATCH(C812,Canale!$A$2:$A$30,0))</f>
        <v>llms_txt</v>
      </c>
      <c r="F812" s="10" t="str">
        <f aca="false">INDEX(Canale!$D$2:$D$30,MATCH(C812,Canale!$A$2:$A$30,0))</f>
        <v>ai_web</v>
      </c>
      <c r="G812" s="10" t="str">
        <f aca="false">INDEX('Site-uri'!$C$2:$C$20,MATCH(A812,'Site-uri'!$A$2:$A$20,0))</f>
        <v>/</v>
      </c>
      <c r="H812" s="10" t="str">
        <f aca="false">Config!$B$3</f>
        <v>2610_ff_lansare</v>
      </c>
      <c r="I812" s="10" t="str">
        <f aca="false">D812&amp;"_"&amp;Config!$B$4</f>
        <v>fierbinte_general</v>
      </c>
      <c r="J812" s="10" t="str">
        <f aca="false">"https://"&amp;B812&amp;G812&amp;"?utm_source="&amp;E812&amp;"&amp;utm_medium="&amp;F812&amp;"&amp;utm_campaign="&amp;H812&amp;"&amp;utm_content="&amp;I812</f>
        <v>https://eu-ai-audit.eu/?utm_source=llms_txt&amp;utm_medium=ai_web&amp;utm_campaign=2610_ff_lansare&amp;utm_content=fierbinte_general</v>
      </c>
    </row>
    <row r="813" customFormat="false" ht="15" hidden="false" customHeight="false" outlineLevel="0" collapsed="false">
      <c r="A813" s="10" t="s">
        <v>65</v>
      </c>
      <c r="B813" s="10" t="str">
        <f aca="false">INDEX('Site-uri'!$B$2:$B$20,MATCH(A813,'Site-uri'!$A$2:$A$20,0))</f>
        <v>eu-ai-audit.eu</v>
      </c>
      <c r="C813" s="10" t="s">
        <v>209</v>
      </c>
      <c r="D813" s="10" t="s">
        <v>237</v>
      </c>
      <c r="E813" s="10" t="str">
        <f aca="false">INDEX(Canale!$C$2:$C$30,MATCH(C813,Canale!$A$2:$A$30,0))</f>
        <v>llms_txt</v>
      </c>
      <c r="F813" s="10" t="str">
        <f aca="false">INDEX(Canale!$D$2:$D$30,MATCH(C813,Canale!$A$2:$A$30,0))</f>
        <v>ai_web</v>
      </c>
      <c r="G813" s="10" t="str">
        <f aca="false">INDEX('Site-uri'!$C$2:$C$20,MATCH(A813,'Site-uri'!$A$2:$A$20,0))</f>
        <v>/</v>
      </c>
      <c r="H813" s="10" t="str">
        <f aca="false">Config!$B$3</f>
        <v>2610_ff_lansare</v>
      </c>
      <c r="I813" s="10" t="str">
        <f aca="false">D813&amp;"_"&amp;Config!$B$4</f>
        <v>client_general</v>
      </c>
      <c r="J813" s="10" t="str">
        <f aca="false">"https://"&amp;B813&amp;G813&amp;"?utm_source="&amp;E813&amp;"&amp;utm_medium="&amp;F813&amp;"&amp;utm_campaign="&amp;H813&amp;"&amp;utm_content="&amp;I813</f>
        <v>https://eu-ai-audit.eu/?utm_source=llms_txt&amp;utm_medium=ai_web&amp;utm_campaign=2610_ff_lansare&amp;utm_content=client_general</v>
      </c>
    </row>
    <row r="814" customFormat="false" ht="15" hidden="false" customHeight="false" outlineLevel="0" collapsed="false">
      <c r="A814" s="10" t="s">
        <v>68</v>
      </c>
      <c r="B814" s="10" t="str">
        <f aca="false">INDEX('Site-uri'!$B$2:$B$20,MATCH(A814,'Site-uri'!$A$2:$A$20,0))</f>
        <v>eu-ai-ready.eu</v>
      </c>
      <c r="C814" s="10" t="s">
        <v>104</v>
      </c>
      <c r="D814" s="10" t="s">
        <v>219</v>
      </c>
      <c r="E814" s="10" t="str">
        <f aca="false">INDEX(Canale!$C$2:$C$30,MATCH(C814,Canale!$A$2:$A$30,0))</f>
        <v>linkedin_personal</v>
      </c>
      <c r="F814" s="10" t="str">
        <f aca="false">INDEX(Canale!$D$2:$D$30,MATCH(C814,Canale!$A$2:$A$30,0))</f>
        <v>social</v>
      </c>
      <c r="G814" s="10" t="str">
        <f aca="false">INDEX('Site-uri'!$C$2:$C$20,MATCH(A814,'Site-uri'!$A$2:$A$20,0))</f>
        <v>/</v>
      </c>
      <c r="H814" s="10" t="str">
        <f aca="false">Config!$B$3</f>
        <v>2610_ff_lansare</v>
      </c>
      <c r="I814" s="10" t="str">
        <f aca="false">D814&amp;"_"&amp;Config!$B$4</f>
        <v>rece_general</v>
      </c>
      <c r="J814" s="10" t="str">
        <f aca="false">"https://"&amp;B814&amp;G814&amp;"?utm_source="&amp;E814&amp;"&amp;utm_medium="&amp;F814&amp;"&amp;utm_campaign="&amp;H814&amp;"&amp;utm_content="&amp;I814</f>
        <v>https://eu-ai-ready.eu/?utm_source=linkedin_personal&amp;utm_medium=social&amp;utm_campaign=2610_ff_lansare&amp;utm_content=rece_general</v>
      </c>
    </row>
    <row r="815" customFormat="false" ht="15" hidden="false" customHeight="false" outlineLevel="0" collapsed="false">
      <c r="A815" s="10" t="s">
        <v>68</v>
      </c>
      <c r="B815" s="10" t="str">
        <f aca="false">INDEX('Site-uri'!$B$2:$B$20,MATCH(A815,'Site-uri'!$A$2:$A$20,0))</f>
        <v>eu-ai-ready.eu</v>
      </c>
      <c r="C815" s="10" t="s">
        <v>104</v>
      </c>
      <c r="D815" s="10" t="s">
        <v>225</v>
      </c>
      <c r="E815" s="10" t="str">
        <f aca="false">INDEX(Canale!$C$2:$C$30,MATCH(C815,Canale!$A$2:$A$30,0))</f>
        <v>linkedin_personal</v>
      </c>
      <c r="F815" s="10" t="str">
        <f aca="false">INDEX(Canale!$D$2:$D$30,MATCH(C815,Canale!$A$2:$A$30,0))</f>
        <v>social</v>
      </c>
      <c r="G815" s="10" t="str">
        <f aca="false">INDEX('Site-uri'!$C$2:$C$20,MATCH(A815,'Site-uri'!$A$2:$A$20,0))</f>
        <v>/</v>
      </c>
      <c r="H815" s="10" t="str">
        <f aca="false">Config!$B$3</f>
        <v>2610_ff_lansare</v>
      </c>
      <c r="I815" s="10" t="str">
        <f aca="false">D815&amp;"_"&amp;Config!$B$4</f>
        <v>cald_general</v>
      </c>
      <c r="J815" s="10" t="str">
        <f aca="false">"https://"&amp;B815&amp;G815&amp;"?utm_source="&amp;E815&amp;"&amp;utm_medium="&amp;F815&amp;"&amp;utm_campaign="&amp;H815&amp;"&amp;utm_content="&amp;I815</f>
        <v>https://eu-ai-ready.eu/?utm_source=linkedin_personal&amp;utm_medium=social&amp;utm_campaign=2610_ff_lansare&amp;utm_content=cald_general</v>
      </c>
    </row>
    <row r="816" customFormat="false" ht="15" hidden="false" customHeight="false" outlineLevel="0" collapsed="false">
      <c r="A816" s="10" t="s">
        <v>68</v>
      </c>
      <c r="B816" s="10" t="str">
        <f aca="false">INDEX('Site-uri'!$B$2:$B$20,MATCH(A816,'Site-uri'!$A$2:$A$20,0))</f>
        <v>eu-ai-ready.eu</v>
      </c>
      <c r="C816" s="10" t="s">
        <v>104</v>
      </c>
      <c r="D816" s="10" t="s">
        <v>231</v>
      </c>
      <c r="E816" s="10" t="str">
        <f aca="false">INDEX(Canale!$C$2:$C$30,MATCH(C816,Canale!$A$2:$A$30,0))</f>
        <v>linkedin_personal</v>
      </c>
      <c r="F816" s="10" t="str">
        <f aca="false">INDEX(Canale!$D$2:$D$30,MATCH(C816,Canale!$A$2:$A$30,0))</f>
        <v>social</v>
      </c>
      <c r="G816" s="10" t="str">
        <f aca="false">INDEX('Site-uri'!$C$2:$C$20,MATCH(A816,'Site-uri'!$A$2:$A$20,0))</f>
        <v>/</v>
      </c>
      <c r="H816" s="10" t="str">
        <f aca="false">Config!$B$3</f>
        <v>2610_ff_lansare</v>
      </c>
      <c r="I816" s="10" t="str">
        <f aca="false">D816&amp;"_"&amp;Config!$B$4</f>
        <v>fierbinte_general</v>
      </c>
      <c r="J816" s="10" t="str">
        <f aca="false">"https://"&amp;B816&amp;G816&amp;"?utm_source="&amp;E816&amp;"&amp;utm_medium="&amp;F816&amp;"&amp;utm_campaign="&amp;H816&amp;"&amp;utm_content="&amp;I816</f>
        <v>https://eu-ai-ready.eu/?utm_source=linkedin_personal&amp;utm_medium=social&amp;utm_campaign=2610_ff_lansare&amp;utm_content=fierbinte_general</v>
      </c>
    </row>
    <row r="817" customFormat="false" ht="15" hidden="false" customHeight="false" outlineLevel="0" collapsed="false">
      <c r="A817" s="10" t="s">
        <v>68</v>
      </c>
      <c r="B817" s="10" t="str">
        <f aca="false">INDEX('Site-uri'!$B$2:$B$20,MATCH(A817,'Site-uri'!$A$2:$A$20,0))</f>
        <v>eu-ai-ready.eu</v>
      </c>
      <c r="C817" s="10" t="s">
        <v>104</v>
      </c>
      <c r="D817" s="10" t="s">
        <v>237</v>
      </c>
      <c r="E817" s="10" t="str">
        <f aca="false">INDEX(Canale!$C$2:$C$30,MATCH(C817,Canale!$A$2:$A$30,0))</f>
        <v>linkedin_personal</v>
      </c>
      <c r="F817" s="10" t="str">
        <f aca="false">INDEX(Canale!$D$2:$D$30,MATCH(C817,Canale!$A$2:$A$30,0))</f>
        <v>social</v>
      </c>
      <c r="G817" s="10" t="str">
        <f aca="false">INDEX('Site-uri'!$C$2:$C$20,MATCH(A817,'Site-uri'!$A$2:$A$20,0))</f>
        <v>/</v>
      </c>
      <c r="H817" s="10" t="str">
        <f aca="false">Config!$B$3</f>
        <v>2610_ff_lansare</v>
      </c>
      <c r="I817" s="10" t="str">
        <f aca="false">D817&amp;"_"&amp;Config!$B$4</f>
        <v>client_general</v>
      </c>
      <c r="J817" s="10" t="str">
        <f aca="false">"https://"&amp;B817&amp;G817&amp;"?utm_source="&amp;E817&amp;"&amp;utm_medium="&amp;F817&amp;"&amp;utm_campaign="&amp;H817&amp;"&amp;utm_content="&amp;I817</f>
        <v>https://eu-ai-ready.eu/?utm_source=linkedin_personal&amp;utm_medium=social&amp;utm_campaign=2610_ff_lansare&amp;utm_content=client_general</v>
      </c>
    </row>
    <row r="818" customFormat="false" ht="15" hidden="false" customHeight="false" outlineLevel="0" collapsed="false">
      <c r="A818" s="10" t="s">
        <v>68</v>
      </c>
      <c r="B818" s="10" t="str">
        <f aca="false">INDEX('Site-uri'!$B$2:$B$20,MATCH(A818,'Site-uri'!$A$2:$A$20,0))</f>
        <v>eu-ai-ready.eu</v>
      </c>
      <c r="C818" s="10" t="s">
        <v>109</v>
      </c>
      <c r="D818" s="10" t="s">
        <v>219</v>
      </c>
      <c r="E818" s="10" t="str">
        <f aca="false">INDEX(Canale!$C$2:$C$30,MATCH(C818,Canale!$A$2:$A$30,0))</f>
        <v>linkedin_company</v>
      </c>
      <c r="F818" s="10" t="str">
        <f aca="false">INDEX(Canale!$D$2:$D$30,MATCH(C818,Canale!$A$2:$A$30,0))</f>
        <v>social</v>
      </c>
      <c r="G818" s="10" t="str">
        <f aca="false">INDEX('Site-uri'!$C$2:$C$20,MATCH(A818,'Site-uri'!$A$2:$A$20,0))</f>
        <v>/</v>
      </c>
      <c r="H818" s="10" t="str">
        <f aca="false">Config!$B$3</f>
        <v>2610_ff_lansare</v>
      </c>
      <c r="I818" s="10" t="str">
        <f aca="false">D818&amp;"_"&amp;Config!$B$4</f>
        <v>rece_general</v>
      </c>
      <c r="J818" s="10" t="str">
        <f aca="false">"https://"&amp;B818&amp;G818&amp;"?utm_source="&amp;E818&amp;"&amp;utm_medium="&amp;F818&amp;"&amp;utm_campaign="&amp;H818&amp;"&amp;utm_content="&amp;I818</f>
        <v>https://eu-ai-ready.eu/?utm_source=linkedin_company&amp;utm_medium=social&amp;utm_campaign=2610_ff_lansare&amp;utm_content=rece_general</v>
      </c>
    </row>
    <row r="819" customFormat="false" ht="15" hidden="false" customHeight="false" outlineLevel="0" collapsed="false">
      <c r="A819" s="10" t="s">
        <v>68</v>
      </c>
      <c r="B819" s="10" t="str">
        <f aca="false">INDEX('Site-uri'!$B$2:$B$20,MATCH(A819,'Site-uri'!$A$2:$A$20,0))</f>
        <v>eu-ai-ready.eu</v>
      </c>
      <c r="C819" s="10" t="s">
        <v>109</v>
      </c>
      <c r="D819" s="10" t="s">
        <v>225</v>
      </c>
      <c r="E819" s="10" t="str">
        <f aca="false">INDEX(Canale!$C$2:$C$30,MATCH(C819,Canale!$A$2:$A$30,0))</f>
        <v>linkedin_company</v>
      </c>
      <c r="F819" s="10" t="str">
        <f aca="false">INDEX(Canale!$D$2:$D$30,MATCH(C819,Canale!$A$2:$A$30,0))</f>
        <v>social</v>
      </c>
      <c r="G819" s="10" t="str">
        <f aca="false">INDEX('Site-uri'!$C$2:$C$20,MATCH(A819,'Site-uri'!$A$2:$A$20,0))</f>
        <v>/</v>
      </c>
      <c r="H819" s="10" t="str">
        <f aca="false">Config!$B$3</f>
        <v>2610_ff_lansare</v>
      </c>
      <c r="I819" s="10" t="str">
        <f aca="false">D819&amp;"_"&amp;Config!$B$4</f>
        <v>cald_general</v>
      </c>
      <c r="J819" s="10" t="str">
        <f aca="false">"https://"&amp;B819&amp;G819&amp;"?utm_source="&amp;E819&amp;"&amp;utm_medium="&amp;F819&amp;"&amp;utm_campaign="&amp;H819&amp;"&amp;utm_content="&amp;I819</f>
        <v>https://eu-ai-ready.eu/?utm_source=linkedin_company&amp;utm_medium=social&amp;utm_campaign=2610_ff_lansare&amp;utm_content=cald_general</v>
      </c>
    </row>
    <row r="820" customFormat="false" ht="15" hidden="false" customHeight="false" outlineLevel="0" collapsed="false">
      <c r="A820" s="10" t="s">
        <v>68</v>
      </c>
      <c r="B820" s="10" t="str">
        <f aca="false">INDEX('Site-uri'!$B$2:$B$20,MATCH(A820,'Site-uri'!$A$2:$A$20,0))</f>
        <v>eu-ai-ready.eu</v>
      </c>
      <c r="C820" s="10" t="s">
        <v>109</v>
      </c>
      <c r="D820" s="10" t="s">
        <v>231</v>
      </c>
      <c r="E820" s="10" t="str">
        <f aca="false">INDEX(Canale!$C$2:$C$30,MATCH(C820,Canale!$A$2:$A$30,0))</f>
        <v>linkedin_company</v>
      </c>
      <c r="F820" s="10" t="str">
        <f aca="false">INDEX(Canale!$D$2:$D$30,MATCH(C820,Canale!$A$2:$A$30,0))</f>
        <v>social</v>
      </c>
      <c r="G820" s="10" t="str">
        <f aca="false">INDEX('Site-uri'!$C$2:$C$20,MATCH(A820,'Site-uri'!$A$2:$A$20,0))</f>
        <v>/</v>
      </c>
      <c r="H820" s="10" t="str">
        <f aca="false">Config!$B$3</f>
        <v>2610_ff_lansare</v>
      </c>
      <c r="I820" s="10" t="str">
        <f aca="false">D820&amp;"_"&amp;Config!$B$4</f>
        <v>fierbinte_general</v>
      </c>
      <c r="J820" s="10" t="str">
        <f aca="false">"https://"&amp;B820&amp;G820&amp;"?utm_source="&amp;E820&amp;"&amp;utm_medium="&amp;F820&amp;"&amp;utm_campaign="&amp;H820&amp;"&amp;utm_content="&amp;I820</f>
        <v>https://eu-ai-ready.eu/?utm_source=linkedin_company&amp;utm_medium=social&amp;utm_campaign=2610_ff_lansare&amp;utm_content=fierbinte_general</v>
      </c>
    </row>
    <row r="821" customFormat="false" ht="15" hidden="false" customHeight="false" outlineLevel="0" collapsed="false">
      <c r="A821" s="10" t="s">
        <v>68</v>
      </c>
      <c r="B821" s="10" t="str">
        <f aca="false">INDEX('Site-uri'!$B$2:$B$20,MATCH(A821,'Site-uri'!$A$2:$A$20,0))</f>
        <v>eu-ai-ready.eu</v>
      </c>
      <c r="C821" s="10" t="s">
        <v>109</v>
      </c>
      <c r="D821" s="10" t="s">
        <v>237</v>
      </c>
      <c r="E821" s="10" t="str">
        <f aca="false">INDEX(Canale!$C$2:$C$30,MATCH(C821,Canale!$A$2:$A$30,0))</f>
        <v>linkedin_company</v>
      </c>
      <c r="F821" s="10" t="str">
        <f aca="false">INDEX(Canale!$D$2:$D$30,MATCH(C821,Canale!$A$2:$A$30,0))</f>
        <v>social</v>
      </c>
      <c r="G821" s="10" t="str">
        <f aca="false">INDEX('Site-uri'!$C$2:$C$20,MATCH(A821,'Site-uri'!$A$2:$A$20,0))</f>
        <v>/</v>
      </c>
      <c r="H821" s="10" t="str">
        <f aca="false">Config!$B$3</f>
        <v>2610_ff_lansare</v>
      </c>
      <c r="I821" s="10" t="str">
        <f aca="false">D821&amp;"_"&amp;Config!$B$4</f>
        <v>client_general</v>
      </c>
      <c r="J821" s="10" t="str">
        <f aca="false">"https://"&amp;B821&amp;G821&amp;"?utm_source="&amp;E821&amp;"&amp;utm_medium="&amp;F821&amp;"&amp;utm_campaign="&amp;H821&amp;"&amp;utm_content="&amp;I821</f>
        <v>https://eu-ai-ready.eu/?utm_source=linkedin_company&amp;utm_medium=social&amp;utm_campaign=2610_ff_lansare&amp;utm_content=client_general</v>
      </c>
    </row>
    <row r="822" customFormat="false" ht="15" hidden="false" customHeight="false" outlineLevel="0" collapsed="false">
      <c r="A822" s="10" t="s">
        <v>68</v>
      </c>
      <c r="B822" s="10" t="str">
        <f aca="false">INDEX('Site-uri'!$B$2:$B$20,MATCH(A822,'Site-uri'!$A$2:$A$20,0))</f>
        <v>eu-ai-ready.eu</v>
      </c>
      <c r="C822" s="10" t="s">
        <v>112</v>
      </c>
      <c r="D822" s="10" t="s">
        <v>219</v>
      </c>
      <c r="E822" s="10" t="str">
        <f aca="false">INDEX(Canale!$C$2:$C$30,MATCH(C822,Canale!$A$2:$A$30,0))</f>
        <v>linkedin_showcase</v>
      </c>
      <c r="F822" s="10" t="str">
        <f aca="false">INDEX(Canale!$D$2:$D$30,MATCH(C822,Canale!$A$2:$A$30,0))</f>
        <v>social</v>
      </c>
      <c r="G822" s="10" t="str">
        <f aca="false">INDEX('Site-uri'!$C$2:$C$20,MATCH(A822,'Site-uri'!$A$2:$A$20,0))</f>
        <v>/</v>
      </c>
      <c r="H822" s="10" t="str">
        <f aca="false">Config!$B$3</f>
        <v>2610_ff_lansare</v>
      </c>
      <c r="I822" s="10" t="str">
        <f aca="false">D822&amp;"_"&amp;Config!$B$4</f>
        <v>rece_general</v>
      </c>
      <c r="J822" s="10" t="str">
        <f aca="false">"https://"&amp;B822&amp;G822&amp;"?utm_source="&amp;E822&amp;"&amp;utm_medium="&amp;F822&amp;"&amp;utm_campaign="&amp;H822&amp;"&amp;utm_content="&amp;I822</f>
        <v>https://eu-ai-ready.eu/?utm_source=linkedin_showcase&amp;utm_medium=social&amp;utm_campaign=2610_ff_lansare&amp;utm_content=rece_general</v>
      </c>
    </row>
    <row r="823" customFormat="false" ht="15" hidden="false" customHeight="false" outlineLevel="0" collapsed="false">
      <c r="A823" s="10" t="s">
        <v>68</v>
      </c>
      <c r="B823" s="10" t="str">
        <f aca="false">INDEX('Site-uri'!$B$2:$B$20,MATCH(A823,'Site-uri'!$A$2:$A$20,0))</f>
        <v>eu-ai-ready.eu</v>
      </c>
      <c r="C823" s="10" t="s">
        <v>112</v>
      </c>
      <c r="D823" s="10" t="s">
        <v>225</v>
      </c>
      <c r="E823" s="10" t="str">
        <f aca="false">INDEX(Canale!$C$2:$C$30,MATCH(C823,Canale!$A$2:$A$30,0))</f>
        <v>linkedin_showcase</v>
      </c>
      <c r="F823" s="10" t="str">
        <f aca="false">INDEX(Canale!$D$2:$D$30,MATCH(C823,Canale!$A$2:$A$30,0))</f>
        <v>social</v>
      </c>
      <c r="G823" s="10" t="str">
        <f aca="false">INDEX('Site-uri'!$C$2:$C$20,MATCH(A823,'Site-uri'!$A$2:$A$20,0))</f>
        <v>/</v>
      </c>
      <c r="H823" s="10" t="str">
        <f aca="false">Config!$B$3</f>
        <v>2610_ff_lansare</v>
      </c>
      <c r="I823" s="10" t="str">
        <f aca="false">D823&amp;"_"&amp;Config!$B$4</f>
        <v>cald_general</v>
      </c>
      <c r="J823" s="10" t="str">
        <f aca="false">"https://"&amp;B823&amp;G823&amp;"?utm_source="&amp;E823&amp;"&amp;utm_medium="&amp;F823&amp;"&amp;utm_campaign="&amp;H823&amp;"&amp;utm_content="&amp;I823</f>
        <v>https://eu-ai-ready.eu/?utm_source=linkedin_showcase&amp;utm_medium=social&amp;utm_campaign=2610_ff_lansare&amp;utm_content=cald_general</v>
      </c>
    </row>
    <row r="824" customFormat="false" ht="15" hidden="false" customHeight="false" outlineLevel="0" collapsed="false">
      <c r="A824" s="10" t="s">
        <v>68</v>
      </c>
      <c r="B824" s="10" t="str">
        <f aca="false">INDEX('Site-uri'!$B$2:$B$20,MATCH(A824,'Site-uri'!$A$2:$A$20,0))</f>
        <v>eu-ai-ready.eu</v>
      </c>
      <c r="C824" s="10" t="s">
        <v>112</v>
      </c>
      <c r="D824" s="10" t="s">
        <v>231</v>
      </c>
      <c r="E824" s="10" t="str">
        <f aca="false">INDEX(Canale!$C$2:$C$30,MATCH(C824,Canale!$A$2:$A$30,0))</f>
        <v>linkedin_showcase</v>
      </c>
      <c r="F824" s="10" t="str">
        <f aca="false">INDEX(Canale!$D$2:$D$30,MATCH(C824,Canale!$A$2:$A$30,0))</f>
        <v>social</v>
      </c>
      <c r="G824" s="10" t="str">
        <f aca="false">INDEX('Site-uri'!$C$2:$C$20,MATCH(A824,'Site-uri'!$A$2:$A$20,0))</f>
        <v>/</v>
      </c>
      <c r="H824" s="10" t="str">
        <f aca="false">Config!$B$3</f>
        <v>2610_ff_lansare</v>
      </c>
      <c r="I824" s="10" t="str">
        <f aca="false">D824&amp;"_"&amp;Config!$B$4</f>
        <v>fierbinte_general</v>
      </c>
      <c r="J824" s="10" t="str">
        <f aca="false">"https://"&amp;B824&amp;G824&amp;"?utm_source="&amp;E824&amp;"&amp;utm_medium="&amp;F824&amp;"&amp;utm_campaign="&amp;H824&amp;"&amp;utm_content="&amp;I824</f>
        <v>https://eu-ai-ready.eu/?utm_source=linkedin_showcase&amp;utm_medium=social&amp;utm_campaign=2610_ff_lansare&amp;utm_content=fierbinte_general</v>
      </c>
    </row>
    <row r="825" customFormat="false" ht="15" hidden="false" customHeight="false" outlineLevel="0" collapsed="false">
      <c r="A825" s="10" t="s">
        <v>68</v>
      </c>
      <c r="B825" s="10" t="str">
        <f aca="false">INDEX('Site-uri'!$B$2:$B$20,MATCH(A825,'Site-uri'!$A$2:$A$20,0))</f>
        <v>eu-ai-ready.eu</v>
      </c>
      <c r="C825" s="10" t="s">
        <v>112</v>
      </c>
      <c r="D825" s="10" t="s">
        <v>237</v>
      </c>
      <c r="E825" s="10" t="str">
        <f aca="false">INDEX(Canale!$C$2:$C$30,MATCH(C825,Canale!$A$2:$A$30,0))</f>
        <v>linkedin_showcase</v>
      </c>
      <c r="F825" s="10" t="str">
        <f aca="false">INDEX(Canale!$D$2:$D$30,MATCH(C825,Canale!$A$2:$A$30,0))</f>
        <v>social</v>
      </c>
      <c r="G825" s="10" t="str">
        <f aca="false">INDEX('Site-uri'!$C$2:$C$20,MATCH(A825,'Site-uri'!$A$2:$A$20,0))</f>
        <v>/</v>
      </c>
      <c r="H825" s="10" t="str">
        <f aca="false">Config!$B$3</f>
        <v>2610_ff_lansare</v>
      </c>
      <c r="I825" s="10" t="str">
        <f aca="false">D825&amp;"_"&amp;Config!$B$4</f>
        <v>client_general</v>
      </c>
      <c r="J825" s="10" t="str">
        <f aca="false">"https://"&amp;B825&amp;G825&amp;"?utm_source="&amp;E825&amp;"&amp;utm_medium="&amp;F825&amp;"&amp;utm_campaign="&amp;H825&amp;"&amp;utm_content="&amp;I825</f>
        <v>https://eu-ai-ready.eu/?utm_source=linkedin_showcase&amp;utm_medium=social&amp;utm_campaign=2610_ff_lansare&amp;utm_content=client_general</v>
      </c>
    </row>
    <row r="826" customFormat="false" ht="15" hidden="false" customHeight="false" outlineLevel="0" collapsed="false">
      <c r="A826" s="10" t="s">
        <v>68</v>
      </c>
      <c r="B826" s="10" t="str">
        <f aca="false">INDEX('Site-uri'!$B$2:$B$20,MATCH(A826,'Site-uri'!$A$2:$A$20,0))</f>
        <v>eu-ai-ready.eu</v>
      </c>
      <c r="C826" s="10" t="s">
        <v>115</v>
      </c>
      <c r="D826" s="10" t="s">
        <v>219</v>
      </c>
      <c r="E826" s="10" t="str">
        <f aca="false">INDEX(Canale!$C$2:$C$30,MATCH(C826,Canale!$A$2:$A$30,0))</f>
        <v>linkedin_newsletter</v>
      </c>
      <c r="F826" s="10" t="str">
        <f aca="false">INDEX(Canale!$D$2:$D$30,MATCH(C826,Canale!$A$2:$A$30,0))</f>
        <v>social</v>
      </c>
      <c r="G826" s="10" t="str">
        <f aca="false">INDEX('Site-uri'!$C$2:$C$20,MATCH(A826,'Site-uri'!$A$2:$A$20,0))</f>
        <v>/</v>
      </c>
      <c r="H826" s="10" t="str">
        <f aca="false">Config!$B$3</f>
        <v>2610_ff_lansare</v>
      </c>
      <c r="I826" s="10" t="str">
        <f aca="false">D826&amp;"_"&amp;Config!$B$4</f>
        <v>rece_general</v>
      </c>
      <c r="J826" s="10" t="str">
        <f aca="false">"https://"&amp;B826&amp;G826&amp;"?utm_source="&amp;E826&amp;"&amp;utm_medium="&amp;F826&amp;"&amp;utm_campaign="&amp;H826&amp;"&amp;utm_content="&amp;I826</f>
        <v>https://eu-ai-ready.eu/?utm_source=linkedin_newsletter&amp;utm_medium=social&amp;utm_campaign=2610_ff_lansare&amp;utm_content=rece_general</v>
      </c>
    </row>
    <row r="827" customFormat="false" ht="15" hidden="false" customHeight="false" outlineLevel="0" collapsed="false">
      <c r="A827" s="10" t="s">
        <v>68</v>
      </c>
      <c r="B827" s="10" t="str">
        <f aca="false">INDEX('Site-uri'!$B$2:$B$20,MATCH(A827,'Site-uri'!$A$2:$A$20,0))</f>
        <v>eu-ai-ready.eu</v>
      </c>
      <c r="C827" s="10" t="s">
        <v>115</v>
      </c>
      <c r="D827" s="10" t="s">
        <v>225</v>
      </c>
      <c r="E827" s="10" t="str">
        <f aca="false">INDEX(Canale!$C$2:$C$30,MATCH(C827,Canale!$A$2:$A$30,0))</f>
        <v>linkedin_newsletter</v>
      </c>
      <c r="F827" s="10" t="str">
        <f aca="false">INDEX(Canale!$D$2:$D$30,MATCH(C827,Canale!$A$2:$A$30,0))</f>
        <v>social</v>
      </c>
      <c r="G827" s="10" t="str">
        <f aca="false">INDEX('Site-uri'!$C$2:$C$20,MATCH(A827,'Site-uri'!$A$2:$A$20,0))</f>
        <v>/</v>
      </c>
      <c r="H827" s="10" t="str">
        <f aca="false">Config!$B$3</f>
        <v>2610_ff_lansare</v>
      </c>
      <c r="I827" s="10" t="str">
        <f aca="false">D827&amp;"_"&amp;Config!$B$4</f>
        <v>cald_general</v>
      </c>
      <c r="J827" s="10" t="str">
        <f aca="false">"https://"&amp;B827&amp;G827&amp;"?utm_source="&amp;E827&amp;"&amp;utm_medium="&amp;F827&amp;"&amp;utm_campaign="&amp;H827&amp;"&amp;utm_content="&amp;I827</f>
        <v>https://eu-ai-ready.eu/?utm_source=linkedin_newsletter&amp;utm_medium=social&amp;utm_campaign=2610_ff_lansare&amp;utm_content=cald_general</v>
      </c>
    </row>
    <row r="828" customFormat="false" ht="15" hidden="false" customHeight="false" outlineLevel="0" collapsed="false">
      <c r="A828" s="10" t="s">
        <v>68</v>
      </c>
      <c r="B828" s="10" t="str">
        <f aca="false">INDEX('Site-uri'!$B$2:$B$20,MATCH(A828,'Site-uri'!$A$2:$A$20,0))</f>
        <v>eu-ai-ready.eu</v>
      </c>
      <c r="C828" s="10" t="s">
        <v>115</v>
      </c>
      <c r="D828" s="10" t="s">
        <v>231</v>
      </c>
      <c r="E828" s="10" t="str">
        <f aca="false">INDEX(Canale!$C$2:$C$30,MATCH(C828,Canale!$A$2:$A$30,0))</f>
        <v>linkedin_newsletter</v>
      </c>
      <c r="F828" s="10" t="str">
        <f aca="false">INDEX(Canale!$D$2:$D$30,MATCH(C828,Canale!$A$2:$A$30,0))</f>
        <v>social</v>
      </c>
      <c r="G828" s="10" t="str">
        <f aca="false">INDEX('Site-uri'!$C$2:$C$20,MATCH(A828,'Site-uri'!$A$2:$A$20,0))</f>
        <v>/</v>
      </c>
      <c r="H828" s="10" t="str">
        <f aca="false">Config!$B$3</f>
        <v>2610_ff_lansare</v>
      </c>
      <c r="I828" s="10" t="str">
        <f aca="false">D828&amp;"_"&amp;Config!$B$4</f>
        <v>fierbinte_general</v>
      </c>
      <c r="J828" s="10" t="str">
        <f aca="false">"https://"&amp;B828&amp;G828&amp;"?utm_source="&amp;E828&amp;"&amp;utm_medium="&amp;F828&amp;"&amp;utm_campaign="&amp;H828&amp;"&amp;utm_content="&amp;I828</f>
        <v>https://eu-ai-ready.eu/?utm_source=linkedin_newsletter&amp;utm_medium=social&amp;utm_campaign=2610_ff_lansare&amp;utm_content=fierbinte_general</v>
      </c>
    </row>
    <row r="829" customFormat="false" ht="15" hidden="false" customHeight="false" outlineLevel="0" collapsed="false">
      <c r="A829" s="10" t="s">
        <v>68</v>
      </c>
      <c r="B829" s="10" t="str">
        <f aca="false">INDEX('Site-uri'!$B$2:$B$20,MATCH(A829,'Site-uri'!$A$2:$A$20,0))</f>
        <v>eu-ai-ready.eu</v>
      </c>
      <c r="C829" s="10" t="s">
        <v>115</v>
      </c>
      <c r="D829" s="10" t="s">
        <v>237</v>
      </c>
      <c r="E829" s="10" t="str">
        <f aca="false">INDEX(Canale!$C$2:$C$30,MATCH(C829,Canale!$A$2:$A$30,0))</f>
        <v>linkedin_newsletter</v>
      </c>
      <c r="F829" s="10" t="str">
        <f aca="false">INDEX(Canale!$D$2:$D$30,MATCH(C829,Canale!$A$2:$A$30,0))</f>
        <v>social</v>
      </c>
      <c r="G829" s="10" t="str">
        <f aca="false">INDEX('Site-uri'!$C$2:$C$20,MATCH(A829,'Site-uri'!$A$2:$A$20,0))</f>
        <v>/</v>
      </c>
      <c r="H829" s="10" t="str">
        <f aca="false">Config!$B$3</f>
        <v>2610_ff_lansare</v>
      </c>
      <c r="I829" s="10" t="str">
        <f aca="false">D829&amp;"_"&amp;Config!$B$4</f>
        <v>client_general</v>
      </c>
      <c r="J829" s="10" t="str">
        <f aca="false">"https://"&amp;B829&amp;G829&amp;"?utm_source="&amp;E829&amp;"&amp;utm_medium="&amp;F829&amp;"&amp;utm_campaign="&amp;H829&amp;"&amp;utm_content="&amp;I829</f>
        <v>https://eu-ai-ready.eu/?utm_source=linkedin_newsletter&amp;utm_medium=social&amp;utm_campaign=2610_ff_lansare&amp;utm_content=client_general</v>
      </c>
    </row>
    <row r="830" customFormat="false" ht="15" hidden="false" customHeight="false" outlineLevel="0" collapsed="false">
      <c r="A830" s="10" t="s">
        <v>68</v>
      </c>
      <c r="B830" s="10" t="str">
        <f aca="false">INDEX('Site-uri'!$B$2:$B$20,MATCH(A830,'Site-uri'!$A$2:$A$20,0))</f>
        <v>eu-ai-ready.eu</v>
      </c>
      <c r="C830" s="10" t="s">
        <v>118</v>
      </c>
      <c r="D830" s="10" t="s">
        <v>219</v>
      </c>
      <c r="E830" s="10" t="str">
        <f aca="false">INDEX(Canale!$C$2:$C$30,MATCH(C830,Canale!$A$2:$A$30,0))</f>
        <v>linkedin_ads</v>
      </c>
      <c r="F830" s="10" t="str">
        <f aca="false">INDEX(Canale!$D$2:$D$30,MATCH(C830,Canale!$A$2:$A$30,0))</f>
        <v>paid_social</v>
      </c>
      <c r="G830" s="10" t="str">
        <f aca="false">INDEX('Site-uri'!$C$2:$C$20,MATCH(A830,'Site-uri'!$A$2:$A$20,0))</f>
        <v>/</v>
      </c>
      <c r="H830" s="10" t="str">
        <f aca="false">Config!$B$3</f>
        <v>2610_ff_lansare</v>
      </c>
      <c r="I830" s="10" t="str">
        <f aca="false">D830&amp;"_"&amp;Config!$B$4</f>
        <v>rece_general</v>
      </c>
      <c r="J830" s="10" t="str">
        <f aca="false">"https://"&amp;B830&amp;G830&amp;"?utm_source="&amp;E830&amp;"&amp;utm_medium="&amp;F830&amp;"&amp;utm_campaign="&amp;H830&amp;"&amp;utm_content="&amp;I830</f>
        <v>https://eu-ai-ready.eu/?utm_source=linkedin_ads&amp;utm_medium=paid_social&amp;utm_campaign=2610_ff_lansare&amp;utm_content=rece_general</v>
      </c>
    </row>
    <row r="831" customFormat="false" ht="15" hidden="false" customHeight="false" outlineLevel="0" collapsed="false">
      <c r="A831" s="10" t="s">
        <v>68</v>
      </c>
      <c r="B831" s="10" t="str">
        <f aca="false">INDEX('Site-uri'!$B$2:$B$20,MATCH(A831,'Site-uri'!$A$2:$A$20,0))</f>
        <v>eu-ai-ready.eu</v>
      </c>
      <c r="C831" s="10" t="s">
        <v>118</v>
      </c>
      <c r="D831" s="10" t="s">
        <v>225</v>
      </c>
      <c r="E831" s="10" t="str">
        <f aca="false">INDEX(Canale!$C$2:$C$30,MATCH(C831,Canale!$A$2:$A$30,0))</f>
        <v>linkedin_ads</v>
      </c>
      <c r="F831" s="10" t="str">
        <f aca="false">INDEX(Canale!$D$2:$D$30,MATCH(C831,Canale!$A$2:$A$30,0))</f>
        <v>paid_social</v>
      </c>
      <c r="G831" s="10" t="str">
        <f aca="false">INDEX('Site-uri'!$C$2:$C$20,MATCH(A831,'Site-uri'!$A$2:$A$20,0))</f>
        <v>/</v>
      </c>
      <c r="H831" s="10" t="str">
        <f aca="false">Config!$B$3</f>
        <v>2610_ff_lansare</v>
      </c>
      <c r="I831" s="10" t="str">
        <f aca="false">D831&amp;"_"&amp;Config!$B$4</f>
        <v>cald_general</v>
      </c>
      <c r="J831" s="10" t="str">
        <f aca="false">"https://"&amp;B831&amp;G831&amp;"?utm_source="&amp;E831&amp;"&amp;utm_medium="&amp;F831&amp;"&amp;utm_campaign="&amp;H831&amp;"&amp;utm_content="&amp;I831</f>
        <v>https://eu-ai-ready.eu/?utm_source=linkedin_ads&amp;utm_medium=paid_social&amp;utm_campaign=2610_ff_lansare&amp;utm_content=cald_general</v>
      </c>
    </row>
    <row r="832" customFormat="false" ht="15" hidden="false" customHeight="false" outlineLevel="0" collapsed="false">
      <c r="A832" s="10" t="s">
        <v>68</v>
      </c>
      <c r="B832" s="10" t="str">
        <f aca="false">INDEX('Site-uri'!$B$2:$B$20,MATCH(A832,'Site-uri'!$A$2:$A$20,0))</f>
        <v>eu-ai-ready.eu</v>
      </c>
      <c r="C832" s="10" t="s">
        <v>118</v>
      </c>
      <c r="D832" s="10" t="s">
        <v>231</v>
      </c>
      <c r="E832" s="10" t="str">
        <f aca="false">INDEX(Canale!$C$2:$C$30,MATCH(C832,Canale!$A$2:$A$30,0))</f>
        <v>linkedin_ads</v>
      </c>
      <c r="F832" s="10" t="str">
        <f aca="false">INDEX(Canale!$D$2:$D$30,MATCH(C832,Canale!$A$2:$A$30,0))</f>
        <v>paid_social</v>
      </c>
      <c r="G832" s="10" t="str">
        <f aca="false">INDEX('Site-uri'!$C$2:$C$20,MATCH(A832,'Site-uri'!$A$2:$A$20,0))</f>
        <v>/</v>
      </c>
      <c r="H832" s="10" t="str">
        <f aca="false">Config!$B$3</f>
        <v>2610_ff_lansare</v>
      </c>
      <c r="I832" s="10" t="str">
        <f aca="false">D832&amp;"_"&amp;Config!$B$4</f>
        <v>fierbinte_general</v>
      </c>
      <c r="J832" s="10" t="str">
        <f aca="false">"https://"&amp;B832&amp;G832&amp;"?utm_source="&amp;E832&amp;"&amp;utm_medium="&amp;F832&amp;"&amp;utm_campaign="&amp;H832&amp;"&amp;utm_content="&amp;I832</f>
        <v>https://eu-ai-ready.eu/?utm_source=linkedin_ads&amp;utm_medium=paid_social&amp;utm_campaign=2610_ff_lansare&amp;utm_content=fierbinte_general</v>
      </c>
    </row>
    <row r="833" customFormat="false" ht="15" hidden="false" customHeight="false" outlineLevel="0" collapsed="false">
      <c r="A833" s="10" t="s">
        <v>68</v>
      </c>
      <c r="B833" s="10" t="str">
        <f aca="false">INDEX('Site-uri'!$B$2:$B$20,MATCH(A833,'Site-uri'!$A$2:$A$20,0))</f>
        <v>eu-ai-ready.eu</v>
      </c>
      <c r="C833" s="10" t="s">
        <v>118</v>
      </c>
      <c r="D833" s="10" t="s">
        <v>237</v>
      </c>
      <c r="E833" s="10" t="str">
        <f aca="false">INDEX(Canale!$C$2:$C$30,MATCH(C833,Canale!$A$2:$A$30,0))</f>
        <v>linkedin_ads</v>
      </c>
      <c r="F833" s="10" t="str">
        <f aca="false">INDEX(Canale!$D$2:$D$30,MATCH(C833,Canale!$A$2:$A$30,0))</f>
        <v>paid_social</v>
      </c>
      <c r="G833" s="10" t="str">
        <f aca="false">INDEX('Site-uri'!$C$2:$C$20,MATCH(A833,'Site-uri'!$A$2:$A$20,0))</f>
        <v>/</v>
      </c>
      <c r="H833" s="10" t="str">
        <f aca="false">Config!$B$3</f>
        <v>2610_ff_lansare</v>
      </c>
      <c r="I833" s="10" t="str">
        <f aca="false">D833&amp;"_"&amp;Config!$B$4</f>
        <v>client_general</v>
      </c>
      <c r="J833" s="10" t="str">
        <f aca="false">"https://"&amp;B833&amp;G833&amp;"?utm_source="&amp;E833&amp;"&amp;utm_medium="&amp;F833&amp;"&amp;utm_campaign="&amp;H833&amp;"&amp;utm_content="&amp;I833</f>
        <v>https://eu-ai-ready.eu/?utm_source=linkedin_ads&amp;utm_medium=paid_social&amp;utm_campaign=2610_ff_lansare&amp;utm_content=client_general</v>
      </c>
    </row>
    <row r="834" customFormat="false" ht="15" hidden="false" customHeight="false" outlineLevel="0" collapsed="false">
      <c r="A834" s="10" t="s">
        <v>68</v>
      </c>
      <c r="B834" s="10" t="str">
        <f aca="false">INDEX('Site-uri'!$B$2:$B$20,MATCH(A834,'Site-uri'!$A$2:$A$20,0))</f>
        <v>eu-ai-ready.eu</v>
      </c>
      <c r="C834" s="10" t="s">
        <v>122</v>
      </c>
      <c r="D834" s="10" t="s">
        <v>219</v>
      </c>
      <c r="E834" s="10" t="str">
        <f aca="false">INDEX(Canale!$C$2:$C$30,MATCH(C834,Canale!$A$2:$A$30,0))</f>
        <v>linkedin_dm</v>
      </c>
      <c r="F834" s="10" t="str">
        <f aca="false">INDEX(Canale!$D$2:$D$30,MATCH(C834,Canale!$A$2:$A$30,0))</f>
        <v>dm</v>
      </c>
      <c r="G834" s="10" t="str">
        <f aca="false">INDEX('Site-uri'!$C$2:$C$20,MATCH(A834,'Site-uri'!$A$2:$A$20,0))</f>
        <v>/</v>
      </c>
      <c r="H834" s="10" t="str">
        <f aca="false">Config!$B$3</f>
        <v>2610_ff_lansare</v>
      </c>
      <c r="I834" s="10" t="str">
        <f aca="false">D834&amp;"_"&amp;Config!$B$4</f>
        <v>rece_general</v>
      </c>
      <c r="J834" s="10" t="str">
        <f aca="false">"https://"&amp;B834&amp;G834&amp;"?utm_source="&amp;E834&amp;"&amp;utm_medium="&amp;F834&amp;"&amp;utm_campaign="&amp;H834&amp;"&amp;utm_content="&amp;I834</f>
        <v>https://eu-ai-ready.eu/?utm_source=linkedin_dm&amp;utm_medium=dm&amp;utm_campaign=2610_ff_lansare&amp;utm_content=rece_general</v>
      </c>
    </row>
    <row r="835" customFormat="false" ht="15" hidden="false" customHeight="false" outlineLevel="0" collapsed="false">
      <c r="A835" s="10" t="s">
        <v>68</v>
      </c>
      <c r="B835" s="10" t="str">
        <f aca="false">INDEX('Site-uri'!$B$2:$B$20,MATCH(A835,'Site-uri'!$A$2:$A$20,0))</f>
        <v>eu-ai-ready.eu</v>
      </c>
      <c r="C835" s="10" t="s">
        <v>122</v>
      </c>
      <c r="D835" s="10" t="s">
        <v>225</v>
      </c>
      <c r="E835" s="10" t="str">
        <f aca="false">INDEX(Canale!$C$2:$C$30,MATCH(C835,Canale!$A$2:$A$30,0))</f>
        <v>linkedin_dm</v>
      </c>
      <c r="F835" s="10" t="str">
        <f aca="false">INDEX(Canale!$D$2:$D$30,MATCH(C835,Canale!$A$2:$A$30,0))</f>
        <v>dm</v>
      </c>
      <c r="G835" s="10" t="str">
        <f aca="false">INDEX('Site-uri'!$C$2:$C$20,MATCH(A835,'Site-uri'!$A$2:$A$20,0))</f>
        <v>/</v>
      </c>
      <c r="H835" s="10" t="str">
        <f aca="false">Config!$B$3</f>
        <v>2610_ff_lansare</v>
      </c>
      <c r="I835" s="10" t="str">
        <f aca="false">D835&amp;"_"&amp;Config!$B$4</f>
        <v>cald_general</v>
      </c>
      <c r="J835" s="10" t="str">
        <f aca="false">"https://"&amp;B835&amp;G835&amp;"?utm_source="&amp;E835&amp;"&amp;utm_medium="&amp;F835&amp;"&amp;utm_campaign="&amp;H835&amp;"&amp;utm_content="&amp;I835</f>
        <v>https://eu-ai-ready.eu/?utm_source=linkedin_dm&amp;utm_medium=dm&amp;utm_campaign=2610_ff_lansare&amp;utm_content=cald_general</v>
      </c>
    </row>
    <row r="836" customFormat="false" ht="15" hidden="false" customHeight="false" outlineLevel="0" collapsed="false">
      <c r="A836" s="10" t="s">
        <v>68</v>
      </c>
      <c r="B836" s="10" t="str">
        <f aca="false">INDEX('Site-uri'!$B$2:$B$20,MATCH(A836,'Site-uri'!$A$2:$A$20,0))</f>
        <v>eu-ai-ready.eu</v>
      </c>
      <c r="C836" s="10" t="s">
        <v>122</v>
      </c>
      <c r="D836" s="10" t="s">
        <v>231</v>
      </c>
      <c r="E836" s="10" t="str">
        <f aca="false">INDEX(Canale!$C$2:$C$30,MATCH(C836,Canale!$A$2:$A$30,0))</f>
        <v>linkedin_dm</v>
      </c>
      <c r="F836" s="10" t="str">
        <f aca="false">INDEX(Canale!$D$2:$D$30,MATCH(C836,Canale!$A$2:$A$30,0))</f>
        <v>dm</v>
      </c>
      <c r="G836" s="10" t="str">
        <f aca="false">INDEX('Site-uri'!$C$2:$C$20,MATCH(A836,'Site-uri'!$A$2:$A$20,0))</f>
        <v>/</v>
      </c>
      <c r="H836" s="10" t="str">
        <f aca="false">Config!$B$3</f>
        <v>2610_ff_lansare</v>
      </c>
      <c r="I836" s="10" t="str">
        <f aca="false">D836&amp;"_"&amp;Config!$B$4</f>
        <v>fierbinte_general</v>
      </c>
      <c r="J836" s="10" t="str">
        <f aca="false">"https://"&amp;B836&amp;G836&amp;"?utm_source="&amp;E836&amp;"&amp;utm_medium="&amp;F836&amp;"&amp;utm_campaign="&amp;H836&amp;"&amp;utm_content="&amp;I836</f>
        <v>https://eu-ai-ready.eu/?utm_source=linkedin_dm&amp;utm_medium=dm&amp;utm_campaign=2610_ff_lansare&amp;utm_content=fierbinte_general</v>
      </c>
    </row>
    <row r="837" customFormat="false" ht="15" hidden="false" customHeight="false" outlineLevel="0" collapsed="false">
      <c r="A837" s="10" t="s">
        <v>68</v>
      </c>
      <c r="B837" s="10" t="str">
        <f aca="false">INDEX('Site-uri'!$B$2:$B$20,MATCH(A837,'Site-uri'!$A$2:$A$20,0))</f>
        <v>eu-ai-ready.eu</v>
      </c>
      <c r="C837" s="10" t="s">
        <v>122</v>
      </c>
      <c r="D837" s="10" t="s">
        <v>237</v>
      </c>
      <c r="E837" s="10" t="str">
        <f aca="false">INDEX(Canale!$C$2:$C$30,MATCH(C837,Canale!$A$2:$A$30,0))</f>
        <v>linkedin_dm</v>
      </c>
      <c r="F837" s="10" t="str">
        <f aca="false">INDEX(Canale!$D$2:$D$30,MATCH(C837,Canale!$A$2:$A$30,0))</f>
        <v>dm</v>
      </c>
      <c r="G837" s="10" t="str">
        <f aca="false">INDEX('Site-uri'!$C$2:$C$20,MATCH(A837,'Site-uri'!$A$2:$A$20,0))</f>
        <v>/</v>
      </c>
      <c r="H837" s="10" t="str">
        <f aca="false">Config!$B$3</f>
        <v>2610_ff_lansare</v>
      </c>
      <c r="I837" s="10" t="str">
        <f aca="false">D837&amp;"_"&amp;Config!$B$4</f>
        <v>client_general</v>
      </c>
      <c r="J837" s="10" t="str">
        <f aca="false">"https://"&amp;B837&amp;G837&amp;"?utm_source="&amp;E837&amp;"&amp;utm_medium="&amp;F837&amp;"&amp;utm_campaign="&amp;H837&amp;"&amp;utm_content="&amp;I837</f>
        <v>https://eu-ai-ready.eu/?utm_source=linkedin_dm&amp;utm_medium=dm&amp;utm_campaign=2610_ff_lansare&amp;utm_content=client_general</v>
      </c>
    </row>
    <row r="838" customFormat="false" ht="15" hidden="false" customHeight="false" outlineLevel="0" collapsed="false">
      <c r="A838" s="10" t="s">
        <v>68</v>
      </c>
      <c r="B838" s="10" t="str">
        <f aca="false">INDEX('Site-uri'!$B$2:$B$20,MATCH(A838,'Site-uri'!$A$2:$A$20,0))</f>
        <v>eu-ai-ready.eu</v>
      </c>
      <c r="C838" s="10" t="s">
        <v>126</v>
      </c>
      <c r="D838" s="10" t="s">
        <v>219</v>
      </c>
      <c r="E838" s="10" t="str">
        <f aca="false">INDEX(Canale!$C$2:$C$30,MATCH(C838,Canale!$A$2:$A$30,0))</f>
        <v>email_outreach</v>
      </c>
      <c r="F838" s="10" t="str">
        <f aca="false">INDEX(Canale!$D$2:$D$30,MATCH(C838,Canale!$A$2:$A$30,0))</f>
        <v>email</v>
      </c>
      <c r="G838" s="10" t="str">
        <f aca="false">INDEX('Site-uri'!$C$2:$C$20,MATCH(A838,'Site-uri'!$A$2:$A$20,0))</f>
        <v>/</v>
      </c>
      <c r="H838" s="10" t="str">
        <f aca="false">Config!$B$3</f>
        <v>2610_ff_lansare</v>
      </c>
      <c r="I838" s="10" t="str">
        <f aca="false">D838&amp;"_"&amp;Config!$B$4</f>
        <v>rece_general</v>
      </c>
      <c r="J838" s="10" t="str">
        <f aca="false">"https://"&amp;B838&amp;G838&amp;"?utm_source="&amp;E838&amp;"&amp;utm_medium="&amp;F838&amp;"&amp;utm_campaign="&amp;H838&amp;"&amp;utm_content="&amp;I838</f>
        <v>https://eu-ai-ready.eu/?utm_source=email_outreach&amp;utm_medium=email&amp;utm_campaign=2610_ff_lansare&amp;utm_content=rece_general</v>
      </c>
    </row>
    <row r="839" customFormat="false" ht="15" hidden="false" customHeight="false" outlineLevel="0" collapsed="false">
      <c r="A839" s="10" t="s">
        <v>68</v>
      </c>
      <c r="B839" s="10" t="str">
        <f aca="false">INDEX('Site-uri'!$B$2:$B$20,MATCH(A839,'Site-uri'!$A$2:$A$20,0))</f>
        <v>eu-ai-ready.eu</v>
      </c>
      <c r="C839" s="10" t="s">
        <v>126</v>
      </c>
      <c r="D839" s="10" t="s">
        <v>225</v>
      </c>
      <c r="E839" s="10" t="str">
        <f aca="false">INDEX(Canale!$C$2:$C$30,MATCH(C839,Canale!$A$2:$A$30,0))</f>
        <v>email_outreach</v>
      </c>
      <c r="F839" s="10" t="str">
        <f aca="false">INDEX(Canale!$D$2:$D$30,MATCH(C839,Canale!$A$2:$A$30,0))</f>
        <v>email</v>
      </c>
      <c r="G839" s="10" t="str">
        <f aca="false">INDEX('Site-uri'!$C$2:$C$20,MATCH(A839,'Site-uri'!$A$2:$A$20,0))</f>
        <v>/</v>
      </c>
      <c r="H839" s="10" t="str">
        <f aca="false">Config!$B$3</f>
        <v>2610_ff_lansare</v>
      </c>
      <c r="I839" s="10" t="str">
        <f aca="false">D839&amp;"_"&amp;Config!$B$4</f>
        <v>cald_general</v>
      </c>
      <c r="J839" s="10" t="str">
        <f aca="false">"https://"&amp;B839&amp;G839&amp;"?utm_source="&amp;E839&amp;"&amp;utm_medium="&amp;F839&amp;"&amp;utm_campaign="&amp;H839&amp;"&amp;utm_content="&amp;I839</f>
        <v>https://eu-ai-ready.eu/?utm_source=email_outreach&amp;utm_medium=email&amp;utm_campaign=2610_ff_lansare&amp;utm_content=cald_general</v>
      </c>
    </row>
    <row r="840" customFormat="false" ht="15" hidden="false" customHeight="false" outlineLevel="0" collapsed="false">
      <c r="A840" s="10" t="s">
        <v>68</v>
      </c>
      <c r="B840" s="10" t="str">
        <f aca="false">INDEX('Site-uri'!$B$2:$B$20,MATCH(A840,'Site-uri'!$A$2:$A$20,0))</f>
        <v>eu-ai-ready.eu</v>
      </c>
      <c r="C840" s="10" t="s">
        <v>126</v>
      </c>
      <c r="D840" s="10" t="s">
        <v>231</v>
      </c>
      <c r="E840" s="10" t="str">
        <f aca="false">INDEX(Canale!$C$2:$C$30,MATCH(C840,Canale!$A$2:$A$30,0))</f>
        <v>email_outreach</v>
      </c>
      <c r="F840" s="10" t="str">
        <f aca="false">INDEX(Canale!$D$2:$D$30,MATCH(C840,Canale!$A$2:$A$30,0))</f>
        <v>email</v>
      </c>
      <c r="G840" s="10" t="str">
        <f aca="false">INDEX('Site-uri'!$C$2:$C$20,MATCH(A840,'Site-uri'!$A$2:$A$20,0))</f>
        <v>/</v>
      </c>
      <c r="H840" s="10" t="str">
        <f aca="false">Config!$B$3</f>
        <v>2610_ff_lansare</v>
      </c>
      <c r="I840" s="10" t="str">
        <f aca="false">D840&amp;"_"&amp;Config!$B$4</f>
        <v>fierbinte_general</v>
      </c>
      <c r="J840" s="10" t="str">
        <f aca="false">"https://"&amp;B840&amp;G840&amp;"?utm_source="&amp;E840&amp;"&amp;utm_medium="&amp;F840&amp;"&amp;utm_campaign="&amp;H840&amp;"&amp;utm_content="&amp;I840</f>
        <v>https://eu-ai-ready.eu/?utm_source=email_outreach&amp;utm_medium=email&amp;utm_campaign=2610_ff_lansare&amp;utm_content=fierbinte_general</v>
      </c>
    </row>
    <row r="841" customFormat="false" ht="15" hidden="false" customHeight="false" outlineLevel="0" collapsed="false">
      <c r="A841" s="10" t="s">
        <v>68</v>
      </c>
      <c r="B841" s="10" t="str">
        <f aca="false">INDEX('Site-uri'!$B$2:$B$20,MATCH(A841,'Site-uri'!$A$2:$A$20,0))</f>
        <v>eu-ai-ready.eu</v>
      </c>
      <c r="C841" s="10" t="s">
        <v>126</v>
      </c>
      <c r="D841" s="10" t="s">
        <v>237</v>
      </c>
      <c r="E841" s="10" t="str">
        <f aca="false">INDEX(Canale!$C$2:$C$30,MATCH(C841,Canale!$A$2:$A$30,0))</f>
        <v>email_outreach</v>
      </c>
      <c r="F841" s="10" t="str">
        <f aca="false">INDEX(Canale!$D$2:$D$30,MATCH(C841,Canale!$A$2:$A$30,0))</f>
        <v>email</v>
      </c>
      <c r="G841" s="10" t="str">
        <f aca="false">INDEX('Site-uri'!$C$2:$C$20,MATCH(A841,'Site-uri'!$A$2:$A$20,0))</f>
        <v>/</v>
      </c>
      <c r="H841" s="10" t="str">
        <f aca="false">Config!$B$3</f>
        <v>2610_ff_lansare</v>
      </c>
      <c r="I841" s="10" t="str">
        <f aca="false">D841&amp;"_"&amp;Config!$B$4</f>
        <v>client_general</v>
      </c>
      <c r="J841" s="10" t="str">
        <f aca="false">"https://"&amp;B841&amp;G841&amp;"?utm_source="&amp;E841&amp;"&amp;utm_medium="&amp;F841&amp;"&amp;utm_campaign="&amp;H841&amp;"&amp;utm_content="&amp;I841</f>
        <v>https://eu-ai-ready.eu/?utm_source=email_outreach&amp;utm_medium=email&amp;utm_campaign=2610_ff_lansare&amp;utm_content=client_general</v>
      </c>
    </row>
    <row r="842" customFormat="false" ht="15" hidden="false" customHeight="false" outlineLevel="0" collapsed="false">
      <c r="A842" s="10" t="s">
        <v>68</v>
      </c>
      <c r="B842" s="10" t="str">
        <f aca="false">INDEX('Site-uri'!$B$2:$B$20,MATCH(A842,'Site-uri'!$A$2:$A$20,0))</f>
        <v>eu-ai-ready.eu</v>
      </c>
      <c r="C842" s="10" t="s">
        <v>131</v>
      </c>
      <c r="D842" s="10" t="s">
        <v>219</v>
      </c>
      <c r="E842" s="10" t="str">
        <f aca="false">INDEX(Canale!$C$2:$C$30,MATCH(C842,Canale!$A$2:$A$30,0))</f>
        <v>newsletter</v>
      </c>
      <c r="F842" s="10" t="str">
        <f aca="false">INDEX(Canale!$D$2:$D$30,MATCH(C842,Canale!$A$2:$A$30,0))</f>
        <v>email</v>
      </c>
      <c r="G842" s="10" t="str">
        <f aca="false">INDEX('Site-uri'!$C$2:$C$20,MATCH(A842,'Site-uri'!$A$2:$A$20,0))</f>
        <v>/</v>
      </c>
      <c r="H842" s="10" t="str">
        <f aca="false">Config!$B$3</f>
        <v>2610_ff_lansare</v>
      </c>
      <c r="I842" s="10" t="str">
        <f aca="false">D842&amp;"_"&amp;Config!$B$4</f>
        <v>rece_general</v>
      </c>
      <c r="J842" s="10" t="str">
        <f aca="false">"https://"&amp;B842&amp;G842&amp;"?utm_source="&amp;E842&amp;"&amp;utm_medium="&amp;F842&amp;"&amp;utm_campaign="&amp;H842&amp;"&amp;utm_content="&amp;I842</f>
        <v>https://eu-ai-ready.eu/?utm_source=newsletter&amp;utm_medium=email&amp;utm_campaign=2610_ff_lansare&amp;utm_content=rece_general</v>
      </c>
    </row>
    <row r="843" customFormat="false" ht="15" hidden="false" customHeight="false" outlineLevel="0" collapsed="false">
      <c r="A843" s="10" t="s">
        <v>68</v>
      </c>
      <c r="B843" s="10" t="str">
        <f aca="false">INDEX('Site-uri'!$B$2:$B$20,MATCH(A843,'Site-uri'!$A$2:$A$20,0))</f>
        <v>eu-ai-ready.eu</v>
      </c>
      <c r="C843" s="10" t="s">
        <v>131</v>
      </c>
      <c r="D843" s="10" t="s">
        <v>225</v>
      </c>
      <c r="E843" s="10" t="str">
        <f aca="false">INDEX(Canale!$C$2:$C$30,MATCH(C843,Canale!$A$2:$A$30,0))</f>
        <v>newsletter</v>
      </c>
      <c r="F843" s="10" t="str">
        <f aca="false">INDEX(Canale!$D$2:$D$30,MATCH(C843,Canale!$A$2:$A$30,0))</f>
        <v>email</v>
      </c>
      <c r="G843" s="10" t="str">
        <f aca="false">INDEX('Site-uri'!$C$2:$C$20,MATCH(A843,'Site-uri'!$A$2:$A$20,0))</f>
        <v>/</v>
      </c>
      <c r="H843" s="10" t="str">
        <f aca="false">Config!$B$3</f>
        <v>2610_ff_lansare</v>
      </c>
      <c r="I843" s="10" t="str">
        <f aca="false">D843&amp;"_"&amp;Config!$B$4</f>
        <v>cald_general</v>
      </c>
      <c r="J843" s="10" t="str">
        <f aca="false">"https://"&amp;B843&amp;G843&amp;"?utm_source="&amp;E843&amp;"&amp;utm_medium="&amp;F843&amp;"&amp;utm_campaign="&amp;H843&amp;"&amp;utm_content="&amp;I843</f>
        <v>https://eu-ai-ready.eu/?utm_source=newsletter&amp;utm_medium=email&amp;utm_campaign=2610_ff_lansare&amp;utm_content=cald_general</v>
      </c>
    </row>
    <row r="844" customFormat="false" ht="15" hidden="false" customHeight="false" outlineLevel="0" collapsed="false">
      <c r="A844" s="10" t="s">
        <v>68</v>
      </c>
      <c r="B844" s="10" t="str">
        <f aca="false">INDEX('Site-uri'!$B$2:$B$20,MATCH(A844,'Site-uri'!$A$2:$A$20,0))</f>
        <v>eu-ai-ready.eu</v>
      </c>
      <c r="C844" s="10" t="s">
        <v>131</v>
      </c>
      <c r="D844" s="10" t="s">
        <v>231</v>
      </c>
      <c r="E844" s="10" t="str">
        <f aca="false">INDEX(Canale!$C$2:$C$30,MATCH(C844,Canale!$A$2:$A$30,0))</f>
        <v>newsletter</v>
      </c>
      <c r="F844" s="10" t="str">
        <f aca="false">INDEX(Canale!$D$2:$D$30,MATCH(C844,Canale!$A$2:$A$30,0))</f>
        <v>email</v>
      </c>
      <c r="G844" s="10" t="str">
        <f aca="false">INDEX('Site-uri'!$C$2:$C$20,MATCH(A844,'Site-uri'!$A$2:$A$20,0))</f>
        <v>/</v>
      </c>
      <c r="H844" s="10" t="str">
        <f aca="false">Config!$B$3</f>
        <v>2610_ff_lansare</v>
      </c>
      <c r="I844" s="10" t="str">
        <f aca="false">D844&amp;"_"&amp;Config!$B$4</f>
        <v>fierbinte_general</v>
      </c>
      <c r="J844" s="10" t="str">
        <f aca="false">"https://"&amp;B844&amp;G844&amp;"?utm_source="&amp;E844&amp;"&amp;utm_medium="&amp;F844&amp;"&amp;utm_campaign="&amp;H844&amp;"&amp;utm_content="&amp;I844</f>
        <v>https://eu-ai-ready.eu/?utm_source=newsletter&amp;utm_medium=email&amp;utm_campaign=2610_ff_lansare&amp;utm_content=fierbinte_general</v>
      </c>
    </row>
    <row r="845" customFormat="false" ht="15" hidden="false" customHeight="false" outlineLevel="0" collapsed="false">
      <c r="A845" s="10" t="s">
        <v>68</v>
      </c>
      <c r="B845" s="10" t="str">
        <f aca="false">INDEX('Site-uri'!$B$2:$B$20,MATCH(A845,'Site-uri'!$A$2:$A$20,0))</f>
        <v>eu-ai-ready.eu</v>
      </c>
      <c r="C845" s="10" t="s">
        <v>131</v>
      </c>
      <c r="D845" s="10" t="s">
        <v>237</v>
      </c>
      <c r="E845" s="10" t="str">
        <f aca="false">INDEX(Canale!$C$2:$C$30,MATCH(C845,Canale!$A$2:$A$30,0))</f>
        <v>newsletter</v>
      </c>
      <c r="F845" s="10" t="str">
        <f aca="false">INDEX(Canale!$D$2:$D$30,MATCH(C845,Canale!$A$2:$A$30,0))</f>
        <v>email</v>
      </c>
      <c r="G845" s="10" t="str">
        <f aca="false">INDEX('Site-uri'!$C$2:$C$20,MATCH(A845,'Site-uri'!$A$2:$A$20,0))</f>
        <v>/</v>
      </c>
      <c r="H845" s="10" t="str">
        <f aca="false">Config!$B$3</f>
        <v>2610_ff_lansare</v>
      </c>
      <c r="I845" s="10" t="str">
        <f aca="false">D845&amp;"_"&amp;Config!$B$4</f>
        <v>client_general</v>
      </c>
      <c r="J845" s="10" t="str">
        <f aca="false">"https://"&amp;B845&amp;G845&amp;"?utm_source="&amp;E845&amp;"&amp;utm_medium="&amp;F845&amp;"&amp;utm_campaign="&amp;H845&amp;"&amp;utm_content="&amp;I845</f>
        <v>https://eu-ai-ready.eu/?utm_source=newsletter&amp;utm_medium=email&amp;utm_campaign=2610_ff_lansare&amp;utm_content=client_general</v>
      </c>
    </row>
    <row r="846" customFormat="false" ht="15" hidden="false" customHeight="false" outlineLevel="0" collapsed="false">
      <c r="A846" s="10" t="s">
        <v>68</v>
      </c>
      <c r="B846" s="10" t="str">
        <f aca="false">INDEX('Site-uri'!$B$2:$B$20,MATCH(A846,'Site-uri'!$A$2:$A$20,0))</f>
        <v>eu-ai-ready.eu</v>
      </c>
      <c r="C846" s="10" t="s">
        <v>134</v>
      </c>
      <c r="D846" s="10" t="s">
        <v>219</v>
      </c>
      <c r="E846" s="10" t="str">
        <f aca="false">INDEX(Canale!$C$2:$C$30,MATCH(C846,Canale!$A$2:$A$30,0))</f>
        <v>email_signature</v>
      </c>
      <c r="F846" s="10" t="str">
        <f aca="false">INDEX(Canale!$D$2:$D$30,MATCH(C846,Canale!$A$2:$A$30,0))</f>
        <v>email</v>
      </c>
      <c r="G846" s="10" t="str">
        <f aca="false">INDEX('Site-uri'!$C$2:$C$20,MATCH(A846,'Site-uri'!$A$2:$A$20,0))</f>
        <v>/</v>
      </c>
      <c r="H846" s="10" t="str">
        <f aca="false">Config!$B$3</f>
        <v>2610_ff_lansare</v>
      </c>
      <c r="I846" s="10" t="str">
        <f aca="false">D846&amp;"_"&amp;Config!$B$4</f>
        <v>rece_general</v>
      </c>
      <c r="J846" s="10" t="str">
        <f aca="false">"https://"&amp;B846&amp;G846&amp;"?utm_source="&amp;E846&amp;"&amp;utm_medium="&amp;F846&amp;"&amp;utm_campaign="&amp;H846&amp;"&amp;utm_content="&amp;I846</f>
        <v>https://eu-ai-ready.eu/?utm_source=email_signature&amp;utm_medium=email&amp;utm_campaign=2610_ff_lansare&amp;utm_content=rece_general</v>
      </c>
    </row>
    <row r="847" customFormat="false" ht="15" hidden="false" customHeight="false" outlineLevel="0" collapsed="false">
      <c r="A847" s="10" t="s">
        <v>68</v>
      </c>
      <c r="B847" s="10" t="str">
        <f aca="false">INDEX('Site-uri'!$B$2:$B$20,MATCH(A847,'Site-uri'!$A$2:$A$20,0))</f>
        <v>eu-ai-ready.eu</v>
      </c>
      <c r="C847" s="10" t="s">
        <v>134</v>
      </c>
      <c r="D847" s="10" t="s">
        <v>225</v>
      </c>
      <c r="E847" s="10" t="str">
        <f aca="false">INDEX(Canale!$C$2:$C$30,MATCH(C847,Canale!$A$2:$A$30,0))</f>
        <v>email_signature</v>
      </c>
      <c r="F847" s="10" t="str">
        <f aca="false">INDEX(Canale!$D$2:$D$30,MATCH(C847,Canale!$A$2:$A$30,0))</f>
        <v>email</v>
      </c>
      <c r="G847" s="10" t="str">
        <f aca="false">INDEX('Site-uri'!$C$2:$C$20,MATCH(A847,'Site-uri'!$A$2:$A$20,0))</f>
        <v>/</v>
      </c>
      <c r="H847" s="10" t="str">
        <f aca="false">Config!$B$3</f>
        <v>2610_ff_lansare</v>
      </c>
      <c r="I847" s="10" t="str">
        <f aca="false">D847&amp;"_"&amp;Config!$B$4</f>
        <v>cald_general</v>
      </c>
      <c r="J847" s="10" t="str">
        <f aca="false">"https://"&amp;B847&amp;G847&amp;"?utm_source="&amp;E847&amp;"&amp;utm_medium="&amp;F847&amp;"&amp;utm_campaign="&amp;H847&amp;"&amp;utm_content="&amp;I847</f>
        <v>https://eu-ai-ready.eu/?utm_source=email_signature&amp;utm_medium=email&amp;utm_campaign=2610_ff_lansare&amp;utm_content=cald_general</v>
      </c>
    </row>
    <row r="848" customFormat="false" ht="15" hidden="false" customHeight="false" outlineLevel="0" collapsed="false">
      <c r="A848" s="10" t="s">
        <v>68</v>
      </c>
      <c r="B848" s="10" t="str">
        <f aca="false">INDEX('Site-uri'!$B$2:$B$20,MATCH(A848,'Site-uri'!$A$2:$A$20,0))</f>
        <v>eu-ai-ready.eu</v>
      </c>
      <c r="C848" s="10" t="s">
        <v>134</v>
      </c>
      <c r="D848" s="10" t="s">
        <v>231</v>
      </c>
      <c r="E848" s="10" t="str">
        <f aca="false">INDEX(Canale!$C$2:$C$30,MATCH(C848,Canale!$A$2:$A$30,0))</f>
        <v>email_signature</v>
      </c>
      <c r="F848" s="10" t="str">
        <f aca="false">INDEX(Canale!$D$2:$D$30,MATCH(C848,Canale!$A$2:$A$30,0))</f>
        <v>email</v>
      </c>
      <c r="G848" s="10" t="str">
        <f aca="false">INDEX('Site-uri'!$C$2:$C$20,MATCH(A848,'Site-uri'!$A$2:$A$20,0))</f>
        <v>/</v>
      </c>
      <c r="H848" s="10" t="str">
        <f aca="false">Config!$B$3</f>
        <v>2610_ff_lansare</v>
      </c>
      <c r="I848" s="10" t="str">
        <f aca="false">D848&amp;"_"&amp;Config!$B$4</f>
        <v>fierbinte_general</v>
      </c>
      <c r="J848" s="10" t="str">
        <f aca="false">"https://"&amp;B848&amp;G848&amp;"?utm_source="&amp;E848&amp;"&amp;utm_medium="&amp;F848&amp;"&amp;utm_campaign="&amp;H848&amp;"&amp;utm_content="&amp;I848</f>
        <v>https://eu-ai-ready.eu/?utm_source=email_signature&amp;utm_medium=email&amp;utm_campaign=2610_ff_lansare&amp;utm_content=fierbinte_general</v>
      </c>
    </row>
    <row r="849" customFormat="false" ht="15" hidden="false" customHeight="false" outlineLevel="0" collapsed="false">
      <c r="A849" s="10" t="s">
        <v>68</v>
      </c>
      <c r="B849" s="10" t="str">
        <f aca="false">INDEX('Site-uri'!$B$2:$B$20,MATCH(A849,'Site-uri'!$A$2:$A$20,0))</f>
        <v>eu-ai-ready.eu</v>
      </c>
      <c r="C849" s="10" t="s">
        <v>134</v>
      </c>
      <c r="D849" s="10" t="s">
        <v>237</v>
      </c>
      <c r="E849" s="10" t="str">
        <f aca="false">INDEX(Canale!$C$2:$C$30,MATCH(C849,Canale!$A$2:$A$30,0))</f>
        <v>email_signature</v>
      </c>
      <c r="F849" s="10" t="str">
        <f aca="false">INDEX(Canale!$D$2:$D$30,MATCH(C849,Canale!$A$2:$A$30,0))</f>
        <v>email</v>
      </c>
      <c r="G849" s="10" t="str">
        <f aca="false">INDEX('Site-uri'!$C$2:$C$20,MATCH(A849,'Site-uri'!$A$2:$A$20,0))</f>
        <v>/</v>
      </c>
      <c r="H849" s="10" t="str">
        <f aca="false">Config!$B$3</f>
        <v>2610_ff_lansare</v>
      </c>
      <c r="I849" s="10" t="str">
        <f aca="false">D849&amp;"_"&amp;Config!$B$4</f>
        <v>client_general</v>
      </c>
      <c r="J849" s="10" t="str">
        <f aca="false">"https://"&amp;B849&amp;G849&amp;"?utm_source="&amp;E849&amp;"&amp;utm_medium="&amp;F849&amp;"&amp;utm_campaign="&amp;H849&amp;"&amp;utm_content="&amp;I849</f>
        <v>https://eu-ai-ready.eu/?utm_source=email_signature&amp;utm_medium=email&amp;utm_campaign=2610_ff_lansare&amp;utm_content=client_general</v>
      </c>
    </row>
    <row r="850" customFormat="false" ht="15" hidden="false" customHeight="false" outlineLevel="0" collapsed="false">
      <c r="A850" s="10" t="s">
        <v>68</v>
      </c>
      <c r="B850" s="10" t="str">
        <f aca="false">INDEX('Site-uri'!$B$2:$B$20,MATCH(A850,'Site-uri'!$A$2:$A$20,0))</f>
        <v>eu-ai-ready.eu</v>
      </c>
      <c r="C850" s="10" t="s">
        <v>137</v>
      </c>
      <c r="D850" s="10" t="s">
        <v>219</v>
      </c>
      <c r="E850" s="10" t="str">
        <f aca="false">INDEX(Canale!$C$2:$C$30,MATCH(C850,Canale!$A$2:$A$30,0))</f>
        <v>whatsapp</v>
      </c>
      <c r="F850" s="10" t="str">
        <f aca="false">INDEX(Canale!$D$2:$D$30,MATCH(C850,Canale!$A$2:$A$30,0))</f>
        <v>dm</v>
      </c>
      <c r="G850" s="10" t="str">
        <f aca="false">INDEX('Site-uri'!$C$2:$C$20,MATCH(A850,'Site-uri'!$A$2:$A$20,0))</f>
        <v>/</v>
      </c>
      <c r="H850" s="10" t="str">
        <f aca="false">Config!$B$3</f>
        <v>2610_ff_lansare</v>
      </c>
      <c r="I850" s="10" t="str">
        <f aca="false">D850&amp;"_"&amp;Config!$B$4</f>
        <v>rece_general</v>
      </c>
      <c r="J850" s="10" t="str">
        <f aca="false">"https://"&amp;B850&amp;G850&amp;"?utm_source="&amp;E850&amp;"&amp;utm_medium="&amp;F850&amp;"&amp;utm_campaign="&amp;H850&amp;"&amp;utm_content="&amp;I850</f>
        <v>https://eu-ai-ready.eu/?utm_source=whatsapp&amp;utm_medium=dm&amp;utm_campaign=2610_ff_lansare&amp;utm_content=rece_general</v>
      </c>
    </row>
    <row r="851" customFormat="false" ht="15" hidden="false" customHeight="false" outlineLevel="0" collapsed="false">
      <c r="A851" s="10" t="s">
        <v>68</v>
      </c>
      <c r="B851" s="10" t="str">
        <f aca="false">INDEX('Site-uri'!$B$2:$B$20,MATCH(A851,'Site-uri'!$A$2:$A$20,0))</f>
        <v>eu-ai-ready.eu</v>
      </c>
      <c r="C851" s="10" t="s">
        <v>137</v>
      </c>
      <c r="D851" s="10" t="s">
        <v>225</v>
      </c>
      <c r="E851" s="10" t="str">
        <f aca="false">INDEX(Canale!$C$2:$C$30,MATCH(C851,Canale!$A$2:$A$30,0))</f>
        <v>whatsapp</v>
      </c>
      <c r="F851" s="10" t="str">
        <f aca="false">INDEX(Canale!$D$2:$D$30,MATCH(C851,Canale!$A$2:$A$30,0))</f>
        <v>dm</v>
      </c>
      <c r="G851" s="10" t="str">
        <f aca="false">INDEX('Site-uri'!$C$2:$C$20,MATCH(A851,'Site-uri'!$A$2:$A$20,0))</f>
        <v>/</v>
      </c>
      <c r="H851" s="10" t="str">
        <f aca="false">Config!$B$3</f>
        <v>2610_ff_lansare</v>
      </c>
      <c r="I851" s="10" t="str">
        <f aca="false">D851&amp;"_"&amp;Config!$B$4</f>
        <v>cald_general</v>
      </c>
      <c r="J851" s="10" t="str">
        <f aca="false">"https://"&amp;B851&amp;G851&amp;"?utm_source="&amp;E851&amp;"&amp;utm_medium="&amp;F851&amp;"&amp;utm_campaign="&amp;H851&amp;"&amp;utm_content="&amp;I851</f>
        <v>https://eu-ai-ready.eu/?utm_source=whatsapp&amp;utm_medium=dm&amp;utm_campaign=2610_ff_lansare&amp;utm_content=cald_general</v>
      </c>
    </row>
    <row r="852" customFormat="false" ht="15" hidden="false" customHeight="false" outlineLevel="0" collapsed="false">
      <c r="A852" s="10" t="s">
        <v>68</v>
      </c>
      <c r="B852" s="10" t="str">
        <f aca="false">INDEX('Site-uri'!$B$2:$B$20,MATCH(A852,'Site-uri'!$A$2:$A$20,0))</f>
        <v>eu-ai-ready.eu</v>
      </c>
      <c r="C852" s="10" t="s">
        <v>137</v>
      </c>
      <c r="D852" s="10" t="s">
        <v>231</v>
      </c>
      <c r="E852" s="10" t="str">
        <f aca="false">INDEX(Canale!$C$2:$C$30,MATCH(C852,Canale!$A$2:$A$30,0))</f>
        <v>whatsapp</v>
      </c>
      <c r="F852" s="10" t="str">
        <f aca="false">INDEX(Canale!$D$2:$D$30,MATCH(C852,Canale!$A$2:$A$30,0))</f>
        <v>dm</v>
      </c>
      <c r="G852" s="10" t="str">
        <f aca="false">INDEX('Site-uri'!$C$2:$C$20,MATCH(A852,'Site-uri'!$A$2:$A$20,0))</f>
        <v>/</v>
      </c>
      <c r="H852" s="10" t="str">
        <f aca="false">Config!$B$3</f>
        <v>2610_ff_lansare</v>
      </c>
      <c r="I852" s="10" t="str">
        <f aca="false">D852&amp;"_"&amp;Config!$B$4</f>
        <v>fierbinte_general</v>
      </c>
      <c r="J852" s="10" t="str">
        <f aca="false">"https://"&amp;B852&amp;G852&amp;"?utm_source="&amp;E852&amp;"&amp;utm_medium="&amp;F852&amp;"&amp;utm_campaign="&amp;H852&amp;"&amp;utm_content="&amp;I852</f>
        <v>https://eu-ai-ready.eu/?utm_source=whatsapp&amp;utm_medium=dm&amp;utm_campaign=2610_ff_lansare&amp;utm_content=fierbinte_general</v>
      </c>
    </row>
    <row r="853" customFormat="false" ht="15" hidden="false" customHeight="false" outlineLevel="0" collapsed="false">
      <c r="A853" s="10" t="s">
        <v>68</v>
      </c>
      <c r="B853" s="10" t="str">
        <f aca="false">INDEX('Site-uri'!$B$2:$B$20,MATCH(A853,'Site-uri'!$A$2:$A$20,0))</f>
        <v>eu-ai-ready.eu</v>
      </c>
      <c r="C853" s="10" t="s">
        <v>137</v>
      </c>
      <c r="D853" s="10" t="s">
        <v>237</v>
      </c>
      <c r="E853" s="10" t="str">
        <f aca="false">INDEX(Canale!$C$2:$C$30,MATCH(C853,Canale!$A$2:$A$30,0))</f>
        <v>whatsapp</v>
      </c>
      <c r="F853" s="10" t="str">
        <f aca="false">INDEX(Canale!$D$2:$D$30,MATCH(C853,Canale!$A$2:$A$30,0))</f>
        <v>dm</v>
      </c>
      <c r="G853" s="10" t="str">
        <f aca="false">INDEX('Site-uri'!$C$2:$C$20,MATCH(A853,'Site-uri'!$A$2:$A$20,0))</f>
        <v>/</v>
      </c>
      <c r="H853" s="10" t="str">
        <f aca="false">Config!$B$3</f>
        <v>2610_ff_lansare</v>
      </c>
      <c r="I853" s="10" t="str">
        <f aca="false">D853&amp;"_"&amp;Config!$B$4</f>
        <v>client_general</v>
      </c>
      <c r="J853" s="10" t="str">
        <f aca="false">"https://"&amp;B853&amp;G853&amp;"?utm_source="&amp;E853&amp;"&amp;utm_medium="&amp;F853&amp;"&amp;utm_campaign="&amp;H853&amp;"&amp;utm_content="&amp;I853</f>
        <v>https://eu-ai-ready.eu/?utm_source=whatsapp&amp;utm_medium=dm&amp;utm_campaign=2610_ff_lansare&amp;utm_content=client_general</v>
      </c>
    </row>
    <row r="854" customFormat="false" ht="15" hidden="false" customHeight="false" outlineLevel="0" collapsed="false">
      <c r="A854" s="10" t="s">
        <v>68</v>
      </c>
      <c r="B854" s="10" t="str">
        <f aca="false">INDEX('Site-uri'!$B$2:$B$20,MATCH(A854,'Site-uri'!$A$2:$A$20,0))</f>
        <v>eu-ai-ready.eu</v>
      </c>
      <c r="C854" s="10" t="s">
        <v>141</v>
      </c>
      <c r="D854" s="10" t="s">
        <v>219</v>
      </c>
      <c r="E854" s="10" t="str">
        <f aca="false">INDEX(Canale!$C$2:$C$30,MATCH(C854,Canale!$A$2:$A$30,0))</f>
        <v>google</v>
      </c>
      <c r="F854" s="10" t="str">
        <f aca="false">INDEX(Canale!$D$2:$D$30,MATCH(C854,Canale!$A$2:$A$30,0))</f>
        <v>cpc</v>
      </c>
      <c r="G854" s="10" t="str">
        <f aca="false">INDEX('Site-uri'!$C$2:$C$20,MATCH(A854,'Site-uri'!$A$2:$A$20,0))</f>
        <v>/</v>
      </c>
      <c r="H854" s="10" t="str">
        <f aca="false">Config!$B$3</f>
        <v>2610_ff_lansare</v>
      </c>
      <c r="I854" s="10" t="str">
        <f aca="false">D854&amp;"_"&amp;Config!$B$4</f>
        <v>rece_general</v>
      </c>
      <c r="J854" s="10" t="str">
        <f aca="false">"https://"&amp;B854&amp;G854&amp;"?utm_source="&amp;E854&amp;"&amp;utm_medium="&amp;F854&amp;"&amp;utm_campaign="&amp;H854&amp;"&amp;utm_content="&amp;I854</f>
        <v>https://eu-ai-ready.eu/?utm_source=google&amp;utm_medium=cpc&amp;utm_campaign=2610_ff_lansare&amp;utm_content=rece_general</v>
      </c>
    </row>
    <row r="855" customFormat="false" ht="15" hidden="false" customHeight="false" outlineLevel="0" collapsed="false">
      <c r="A855" s="10" t="s">
        <v>68</v>
      </c>
      <c r="B855" s="10" t="str">
        <f aca="false">INDEX('Site-uri'!$B$2:$B$20,MATCH(A855,'Site-uri'!$A$2:$A$20,0))</f>
        <v>eu-ai-ready.eu</v>
      </c>
      <c r="C855" s="10" t="s">
        <v>141</v>
      </c>
      <c r="D855" s="10" t="s">
        <v>225</v>
      </c>
      <c r="E855" s="10" t="str">
        <f aca="false">INDEX(Canale!$C$2:$C$30,MATCH(C855,Canale!$A$2:$A$30,0))</f>
        <v>google</v>
      </c>
      <c r="F855" s="10" t="str">
        <f aca="false">INDEX(Canale!$D$2:$D$30,MATCH(C855,Canale!$A$2:$A$30,0))</f>
        <v>cpc</v>
      </c>
      <c r="G855" s="10" t="str">
        <f aca="false">INDEX('Site-uri'!$C$2:$C$20,MATCH(A855,'Site-uri'!$A$2:$A$20,0))</f>
        <v>/</v>
      </c>
      <c r="H855" s="10" t="str">
        <f aca="false">Config!$B$3</f>
        <v>2610_ff_lansare</v>
      </c>
      <c r="I855" s="10" t="str">
        <f aca="false">D855&amp;"_"&amp;Config!$B$4</f>
        <v>cald_general</v>
      </c>
      <c r="J855" s="10" t="str">
        <f aca="false">"https://"&amp;B855&amp;G855&amp;"?utm_source="&amp;E855&amp;"&amp;utm_medium="&amp;F855&amp;"&amp;utm_campaign="&amp;H855&amp;"&amp;utm_content="&amp;I855</f>
        <v>https://eu-ai-ready.eu/?utm_source=google&amp;utm_medium=cpc&amp;utm_campaign=2610_ff_lansare&amp;utm_content=cald_general</v>
      </c>
    </row>
    <row r="856" customFormat="false" ht="15" hidden="false" customHeight="false" outlineLevel="0" collapsed="false">
      <c r="A856" s="10" t="s">
        <v>68</v>
      </c>
      <c r="B856" s="10" t="str">
        <f aca="false">INDEX('Site-uri'!$B$2:$B$20,MATCH(A856,'Site-uri'!$A$2:$A$20,0))</f>
        <v>eu-ai-ready.eu</v>
      </c>
      <c r="C856" s="10" t="s">
        <v>141</v>
      </c>
      <c r="D856" s="10" t="s">
        <v>231</v>
      </c>
      <c r="E856" s="10" t="str">
        <f aca="false">INDEX(Canale!$C$2:$C$30,MATCH(C856,Canale!$A$2:$A$30,0))</f>
        <v>google</v>
      </c>
      <c r="F856" s="10" t="str">
        <f aca="false">INDEX(Canale!$D$2:$D$30,MATCH(C856,Canale!$A$2:$A$30,0))</f>
        <v>cpc</v>
      </c>
      <c r="G856" s="10" t="str">
        <f aca="false">INDEX('Site-uri'!$C$2:$C$20,MATCH(A856,'Site-uri'!$A$2:$A$20,0))</f>
        <v>/</v>
      </c>
      <c r="H856" s="10" t="str">
        <f aca="false">Config!$B$3</f>
        <v>2610_ff_lansare</v>
      </c>
      <c r="I856" s="10" t="str">
        <f aca="false">D856&amp;"_"&amp;Config!$B$4</f>
        <v>fierbinte_general</v>
      </c>
      <c r="J856" s="10" t="str">
        <f aca="false">"https://"&amp;B856&amp;G856&amp;"?utm_source="&amp;E856&amp;"&amp;utm_medium="&amp;F856&amp;"&amp;utm_campaign="&amp;H856&amp;"&amp;utm_content="&amp;I856</f>
        <v>https://eu-ai-ready.eu/?utm_source=google&amp;utm_medium=cpc&amp;utm_campaign=2610_ff_lansare&amp;utm_content=fierbinte_general</v>
      </c>
    </row>
    <row r="857" customFormat="false" ht="15" hidden="false" customHeight="false" outlineLevel="0" collapsed="false">
      <c r="A857" s="10" t="s">
        <v>68</v>
      </c>
      <c r="B857" s="10" t="str">
        <f aca="false">INDEX('Site-uri'!$B$2:$B$20,MATCH(A857,'Site-uri'!$A$2:$A$20,0))</f>
        <v>eu-ai-ready.eu</v>
      </c>
      <c r="C857" s="10" t="s">
        <v>141</v>
      </c>
      <c r="D857" s="10" t="s">
        <v>237</v>
      </c>
      <c r="E857" s="10" t="str">
        <f aca="false">INDEX(Canale!$C$2:$C$30,MATCH(C857,Canale!$A$2:$A$30,0))</f>
        <v>google</v>
      </c>
      <c r="F857" s="10" t="str">
        <f aca="false">INDEX(Canale!$D$2:$D$30,MATCH(C857,Canale!$A$2:$A$30,0))</f>
        <v>cpc</v>
      </c>
      <c r="G857" s="10" t="str">
        <f aca="false">INDEX('Site-uri'!$C$2:$C$20,MATCH(A857,'Site-uri'!$A$2:$A$20,0))</f>
        <v>/</v>
      </c>
      <c r="H857" s="10" t="str">
        <f aca="false">Config!$B$3</f>
        <v>2610_ff_lansare</v>
      </c>
      <c r="I857" s="10" t="str">
        <f aca="false">D857&amp;"_"&amp;Config!$B$4</f>
        <v>client_general</v>
      </c>
      <c r="J857" s="10" t="str">
        <f aca="false">"https://"&amp;B857&amp;G857&amp;"?utm_source="&amp;E857&amp;"&amp;utm_medium="&amp;F857&amp;"&amp;utm_campaign="&amp;H857&amp;"&amp;utm_content="&amp;I857</f>
        <v>https://eu-ai-ready.eu/?utm_source=google&amp;utm_medium=cpc&amp;utm_campaign=2610_ff_lansare&amp;utm_content=client_general</v>
      </c>
    </row>
    <row r="858" customFormat="false" ht="15" hidden="false" customHeight="false" outlineLevel="0" collapsed="false">
      <c r="A858" s="10" t="s">
        <v>68</v>
      </c>
      <c r="B858" s="10" t="str">
        <f aca="false">INDEX('Site-uri'!$B$2:$B$20,MATCH(A858,'Site-uri'!$A$2:$A$20,0))</f>
        <v>eu-ai-ready.eu</v>
      </c>
      <c r="C858" s="10" t="s">
        <v>146</v>
      </c>
      <c r="D858" s="10" t="s">
        <v>219</v>
      </c>
      <c r="E858" s="10" t="str">
        <f aca="false">INDEX(Canale!$C$2:$C$30,MATCH(C858,Canale!$A$2:$A$30,0))</f>
        <v>bing</v>
      </c>
      <c r="F858" s="10" t="str">
        <f aca="false">INDEX(Canale!$D$2:$D$30,MATCH(C858,Canale!$A$2:$A$30,0))</f>
        <v>cpc</v>
      </c>
      <c r="G858" s="10" t="str">
        <f aca="false">INDEX('Site-uri'!$C$2:$C$20,MATCH(A858,'Site-uri'!$A$2:$A$20,0))</f>
        <v>/</v>
      </c>
      <c r="H858" s="10" t="str">
        <f aca="false">Config!$B$3</f>
        <v>2610_ff_lansare</v>
      </c>
      <c r="I858" s="10" t="str">
        <f aca="false">D858&amp;"_"&amp;Config!$B$4</f>
        <v>rece_general</v>
      </c>
      <c r="J858" s="10" t="str">
        <f aca="false">"https://"&amp;B858&amp;G858&amp;"?utm_source="&amp;E858&amp;"&amp;utm_medium="&amp;F858&amp;"&amp;utm_campaign="&amp;H858&amp;"&amp;utm_content="&amp;I858</f>
        <v>https://eu-ai-ready.eu/?utm_source=bing&amp;utm_medium=cpc&amp;utm_campaign=2610_ff_lansare&amp;utm_content=rece_general</v>
      </c>
    </row>
    <row r="859" customFormat="false" ht="15" hidden="false" customHeight="false" outlineLevel="0" collapsed="false">
      <c r="A859" s="10" t="s">
        <v>68</v>
      </c>
      <c r="B859" s="10" t="str">
        <f aca="false">INDEX('Site-uri'!$B$2:$B$20,MATCH(A859,'Site-uri'!$A$2:$A$20,0))</f>
        <v>eu-ai-ready.eu</v>
      </c>
      <c r="C859" s="10" t="s">
        <v>146</v>
      </c>
      <c r="D859" s="10" t="s">
        <v>225</v>
      </c>
      <c r="E859" s="10" t="str">
        <f aca="false">INDEX(Canale!$C$2:$C$30,MATCH(C859,Canale!$A$2:$A$30,0))</f>
        <v>bing</v>
      </c>
      <c r="F859" s="10" t="str">
        <f aca="false">INDEX(Canale!$D$2:$D$30,MATCH(C859,Canale!$A$2:$A$30,0))</f>
        <v>cpc</v>
      </c>
      <c r="G859" s="10" t="str">
        <f aca="false">INDEX('Site-uri'!$C$2:$C$20,MATCH(A859,'Site-uri'!$A$2:$A$20,0))</f>
        <v>/</v>
      </c>
      <c r="H859" s="10" t="str">
        <f aca="false">Config!$B$3</f>
        <v>2610_ff_lansare</v>
      </c>
      <c r="I859" s="10" t="str">
        <f aca="false">D859&amp;"_"&amp;Config!$B$4</f>
        <v>cald_general</v>
      </c>
      <c r="J859" s="10" t="str">
        <f aca="false">"https://"&amp;B859&amp;G859&amp;"?utm_source="&amp;E859&amp;"&amp;utm_medium="&amp;F859&amp;"&amp;utm_campaign="&amp;H859&amp;"&amp;utm_content="&amp;I859</f>
        <v>https://eu-ai-ready.eu/?utm_source=bing&amp;utm_medium=cpc&amp;utm_campaign=2610_ff_lansare&amp;utm_content=cald_general</v>
      </c>
    </row>
    <row r="860" customFormat="false" ht="15" hidden="false" customHeight="false" outlineLevel="0" collapsed="false">
      <c r="A860" s="10" t="s">
        <v>68</v>
      </c>
      <c r="B860" s="10" t="str">
        <f aca="false">INDEX('Site-uri'!$B$2:$B$20,MATCH(A860,'Site-uri'!$A$2:$A$20,0))</f>
        <v>eu-ai-ready.eu</v>
      </c>
      <c r="C860" s="10" t="s">
        <v>146</v>
      </c>
      <c r="D860" s="10" t="s">
        <v>231</v>
      </c>
      <c r="E860" s="10" t="str">
        <f aca="false">INDEX(Canale!$C$2:$C$30,MATCH(C860,Canale!$A$2:$A$30,0))</f>
        <v>bing</v>
      </c>
      <c r="F860" s="10" t="str">
        <f aca="false">INDEX(Canale!$D$2:$D$30,MATCH(C860,Canale!$A$2:$A$30,0))</f>
        <v>cpc</v>
      </c>
      <c r="G860" s="10" t="str">
        <f aca="false">INDEX('Site-uri'!$C$2:$C$20,MATCH(A860,'Site-uri'!$A$2:$A$20,0))</f>
        <v>/</v>
      </c>
      <c r="H860" s="10" t="str">
        <f aca="false">Config!$B$3</f>
        <v>2610_ff_lansare</v>
      </c>
      <c r="I860" s="10" t="str">
        <f aca="false">D860&amp;"_"&amp;Config!$B$4</f>
        <v>fierbinte_general</v>
      </c>
      <c r="J860" s="10" t="str">
        <f aca="false">"https://"&amp;B860&amp;G860&amp;"?utm_source="&amp;E860&amp;"&amp;utm_medium="&amp;F860&amp;"&amp;utm_campaign="&amp;H860&amp;"&amp;utm_content="&amp;I860</f>
        <v>https://eu-ai-ready.eu/?utm_source=bing&amp;utm_medium=cpc&amp;utm_campaign=2610_ff_lansare&amp;utm_content=fierbinte_general</v>
      </c>
    </row>
    <row r="861" customFormat="false" ht="15" hidden="false" customHeight="false" outlineLevel="0" collapsed="false">
      <c r="A861" s="10" t="s">
        <v>68</v>
      </c>
      <c r="B861" s="10" t="str">
        <f aca="false">INDEX('Site-uri'!$B$2:$B$20,MATCH(A861,'Site-uri'!$A$2:$A$20,0))</f>
        <v>eu-ai-ready.eu</v>
      </c>
      <c r="C861" s="10" t="s">
        <v>146</v>
      </c>
      <c r="D861" s="10" t="s">
        <v>237</v>
      </c>
      <c r="E861" s="10" t="str">
        <f aca="false">INDEX(Canale!$C$2:$C$30,MATCH(C861,Canale!$A$2:$A$30,0))</f>
        <v>bing</v>
      </c>
      <c r="F861" s="10" t="str">
        <f aca="false">INDEX(Canale!$D$2:$D$30,MATCH(C861,Canale!$A$2:$A$30,0))</f>
        <v>cpc</v>
      </c>
      <c r="G861" s="10" t="str">
        <f aca="false">INDEX('Site-uri'!$C$2:$C$20,MATCH(A861,'Site-uri'!$A$2:$A$20,0))</f>
        <v>/</v>
      </c>
      <c r="H861" s="10" t="str">
        <f aca="false">Config!$B$3</f>
        <v>2610_ff_lansare</v>
      </c>
      <c r="I861" s="10" t="str">
        <f aca="false">D861&amp;"_"&amp;Config!$B$4</f>
        <v>client_general</v>
      </c>
      <c r="J861" s="10" t="str">
        <f aca="false">"https://"&amp;B861&amp;G861&amp;"?utm_source="&amp;E861&amp;"&amp;utm_medium="&amp;F861&amp;"&amp;utm_campaign="&amp;H861&amp;"&amp;utm_content="&amp;I861</f>
        <v>https://eu-ai-ready.eu/?utm_source=bing&amp;utm_medium=cpc&amp;utm_campaign=2610_ff_lansare&amp;utm_content=client_general</v>
      </c>
    </row>
    <row r="862" customFormat="false" ht="15" hidden="false" customHeight="false" outlineLevel="0" collapsed="false">
      <c r="A862" s="10" t="s">
        <v>68</v>
      </c>
      <c r="B862" s="10" t="str">
        <f aca="false">INDEX('Site-uri'!$B$2:$B$20,MATCH(A862,'Site-uri'!$A$2:$A$20,0))</f>
        <v>eu-ai-ready.eu</v>
      </c>
      <c r="C862" s="10" t="s">
        <v>149</v>
      </c>
      <c r="D862" s="10" t="s">
        <v>219</v>
      </c>
      <c r="E862" s="10" t="str">
        <f aca="false">INDEX(Canale!$C$2:$C$30,MATCH(C862,Canale!$A$2:$A$30,0))</f>
        <v>facebook</v>
      </c>
      <c r="F862" s="10" t="str">
        <f aca="false">INDEX(Canale!$D$2:$D$30,MATCH(C862,Canale!$A$2:$A$30,0))</f>
        <v>social</v>
      </c>
      <c r="G862" s="10" t="str">
        <f aca="false">INDEX('Site-uri'!$C$2:$C$20,MATCH(A862,'Site-uri'!$A$2:$A$20,0))</f>
        <v>/</v>
      </c>
      <c r="H862" s="10" t="str">
        <f aca="false">Config!$B$3</f>
        <v>2610_ff_lansare</v>
      </c>
      <c r="I862" s="10" t="str">
        <f aca="false">D862&amp;"_"&amp;Config!$B$4</f>
        <v>rece_general</v>
      </c>
      <c r="J862" s="10" t="str">
        <f aca="false">"https://"&amp;B862&amp;G862&amp;"?utm_source="&amp;E862&amp;"&amp;utm_medium="&amp;F862&amp;"&amp;utm_campaign="&amp;H862&amp;"&amp;utm_content="&amp;I862</f>
        <v>https://eu-ai-ready.eu/?utm_source=facebook&amp;utm_medium=social&amp;utm_campaign=2610_ff_lansare&amp;utm_content=rece_general</v>
      </c>
    </row>
    <row r="863" customFormat="false" ht="15" hidden="false" customHeight="false" outlineLevel="0" collapsed="false">
      <c r="A863" s="10" t="s">
        <v>68</v>
      </c>
      <c r="B863" s="10" t="str">
        <f aca="false">INDEX('Site-uri'!$B$2:$B$20,MATCH(A863,'Site-uri'!$A$2:$A$20,0))</f>
        <v>eu-ai-ready.eu</v>
      </c>
      <c r="C863" s="10" t="s">
        <v>149</v>
      </c>
      <c r="D863" s="10" t="s">
        <v>225</v>
      </c>
      <c r="E863" s="10" t="str">
        <f aca="false">INDEX(Canale!$C$2:$C$30,MATCH(C863,Canale!$A$2:$A$30,0))</f>
        <v>facebook</v>
      </c>
      <c r="F863" s="10" t="str">
        <f aca="false">INDEX(Canale!$D$2:$D$30,MATCH(C863,Canale!$A$2:$A$30,0))</f>
        <v>social</v>
      </c>
      <c r="G863" s="10" t="str">
        <f aca="false">INDEX('Site-uri'!$C$2:$C$20,MATCH(A863,'Site-uri'!$A$2:$A$20,0))</f>
        <v>/</v>
      </c>
      <c r="H863" s="10" t="str">
        <f aca="false">Config!$B$3</f>
        <v>2610_ff_lansare</v>
      </c>
      <c r="I863" s="10" t="str">
        <f aca="false">D863&amp;"_"&amp;Config!$B$4</f>
        <v>cald_general</v>
      </c>
      <c r="J863" s="10" t="str">
        <f aca="false">"https://"&amp;B863&amp;G863&amp;"?utm_source="&amp;E863&amp;"&amp;utm_medium="&amp;F863&amp;"&amp;utm_campaign="&amp;H863&amp;"&amp;utm_content="&amp;I863</f>
        <v>https://eu-ai-ready.eu/?utm_source=facebook&amp;utm_medium=social&amp;utm_campaign=2610_ff_lansare&amp;utm_content=cald_general</v>
      </c>
    </row>
    <row r="864" customFormat="false" ht="15" hidden="false" customHeight="false" outlineLevel="0" collapsed="false">
      <c r="A864" s="10" t="s">
        <v>68</v>
      </c>
      <c r="B864" s="10" t="str">
        <f aca="false">INDEX('Site-uri'!$B$2:$B$20,MATCH(A864,'Site-uri'!$A$2:$A$20,0))</f>
        <v>eu-ai-ready.eu</v>
      </c>
      <c r="C864" s="10" t="s">
        <v>149</v>
      </c>
      <c r="D864" s="10" t="s">
        <v>231</v>
      </c>
      <c r="E864" s="10" t="str">
        <f aca="false">INDEX(Canale!$C$2:$C$30,MATCH(C864,Canale!$A$2:$A$30,0))</f>
        <v>facebook</v>
      </c>
      <c r="F864" s="10" t="str">
        <f aca="false">INDEX(Canale!$D$2:$D$30,MATCH(C864,Canale!$A$2:$A$30,0))</f>
        <v>social</v>
      </c>
      <c r="G864" s="10" t="str">
        <f aca="false">INDEX('Site-uri'!$C$2:$C$20,MATCH(A864,'Site-uri'!$A$2:$A$20,0))</f>
        <v>/</v>
      </c>
      <c r="H864" s="10" t="str">
        <f aca="false">Config!$B$3</f>
        <v>2610_ff_lansare</v>
      </c>
      <c r="I864" s="10" t="str">
        <f aca="false">D864&amp;"_"&amp;Config!$B$4</f>
        <v>fierbinte_general</v>
      </c>
      <c r="J864" s="10" t="str">
        <f aca="false">"https://"&amp;B864&amp;G864&amp;"?utm_source="&amp;E864&amp;"&amp;utm_medium="&amp;F864&amp;"&amp;utm_campaign="&amp;H864&amp;"&amp;utm_content="&amp;I864</f>
        <v>https://eu-ai-ready.eu/?utm_source=facebook&amp;utm_medium=social&amp;utm_campaign=2610_ff_lansare&amp;utm_content=fierbinte_general</v>
      </c>
    </row>
    <row r="865" customFormat="false" ht="15" hidden="false" customHeight="false" outlineLevel="0" collapsed="false">
      <c r="A865" s="10" t="s">
        <v>68</v>
      </c>
      <c r="B865" s="10" t="str">
        <f aca="false">INDEX('Site-uri'!$B$2:$B$20,MATCH(A865,'Site-uri'!$A$2:$A$20,0))</f>
        <v>eu-ai-ready.eu</v>
      </c>
      <c r="C865" s="10" t="s">
        <v>149</v>
      </c>
      <c r="D865" s="10" t="s">
        <v>237</v>
      </c>
      <c r="E865" s="10" t="str">
        <f aca="false">INDEX(Canale!$C$2:$C$30,MATCH(C865,Canale!$A$2:$A$30,0))</f>
        <v>facebook</v>
      </c>
      <c r="F865" s="10" t="str">
        <f aca="false">INDEX(Canale!$D$2:$D$30,MATCH(C865,Canale!$A$2:$A$30,0))</f>
        <v>social</v>
      </c>
      <c r="G865" s="10" t="str">
        <f aca="false">INDEX('Site-uri'!$C$2:$C$20,MATCH(A865,'Site-uri'!$A$2:$A$20,0))</f>
        <v>/</v>
      </c>
      <c r="H865" s="10" t="str">
        <f aca="false">Config!$B$3</f>
        <v>2610_ff_lansare</v>
      </c>
      <c r="I865" s="10" t="str">
        <f aca="false">D865&amp;"_"&amp;Config!$B$4</f>
        <v>client_general</v>
      </c>
      <c r="J865" s="10" t="str">
        <f aca="false">"https://"&amp;B865&amp;G865&amp;"?utm_source="&amp;E865&amp;"&amp;utm_medium="&amp;F865&amp;"&amp;utm_campaign="&amp;H865&amp;"&amp;utm_content="&amp;I865</f>
        <v>https://eu-ai-ready.eu/?utm_source=facebook&amp;utm_medium=social&amp;utm_campaign=2610_ff_lansare&amp;utm_content=client_general</v>
      </c>
    </row>
    <row r="866" customFormat="false" ht="15" hidden="false" customHeight="false" outlineLevel="0" collapsed="false">
      <c r="A866" s="10" t="s">
        <v>68</v>
      </c>
      <c r="B866" s="10" t="str">
        <f aca="false">INDEX('Site-uri'!$B$2:$B$20,MATCH(A866,'Site-uri'!$A$2:$A$20,0))</f>
        <v>eu-ai-ready.eu</v>
      </c>
      <c r="C866" s="10" t="s">
        <v>153</v>
      </c>
      <c r="D866" s="10" t="s">
        <v>219</v>
      </c>
      <c r="E866" s="10" t="str">
        <f aca="false">INDEX(Canale!$C$2:$C$30,MATCH(C866,Canale!$A$2:$A$30,0))</f>
        <v>x</v>
      </c>
      <c r="F866" s="10" t="str">
        <f aca="false">INDEX(Canale!$D$2:$D$30,MATCH(C866,Canale!$A$2:$A$30,0))</f>
        <v>social</v>
      </c>
      <c r="G866" s="10" t="str">
        <f aca="false">INDEX('Site-uri'!$C$2:$C$20,MATCH(A866,'Site-uri'!$A$2:$A$20,0))</f>
        <v>/</v>
      </c>
      <c r="H866" s="10" t="str">
        <f aca="false">Config!$B$3</f>
        <v>2610_ff_lansare</v>
      </c>
      <c r="I866" s="10" t="str">
        <f aca="false">D866&amp;"_"&amp;Config!$B$4</f>
        <v>rece_general</v>
      </c>
      <c r="J866" s="10" t="str">
        <f aca="false">"https://"&amp;B866&amp;G866&amp;"?utm_source="&amp;E866&amp;"&amp;utm_medium="&amp;F866&amp;"&amp;utm_campaign="&amp;H866&amp;"&amp;utm_content="&amp;I866</f>
        <v>https://eu-ai-ready.eu/?utm_source=x&amp;utm_medium=social&amp;utm_campaign=2610_ff_lansare&amp;utm_content=rece_general</v>
      </c>
    </row>
    <row r="867" customFormat="false" ht="15" hidden="false" customHeight="false" outlineLevel="0" collapsed="false">
      <c r="A867" s="10" t="s">
        <v>68</v>
      </c>
      <c r="B867" s="10" t="str">
        <f aca="false">INDEX('Site-uri'!$B$2:$B$20,MATCH(A867,'Site-uri'!$A$2:$A$20,0))</f>
        <v>eu-ai-ready.eu</v>
      </c>
      <c r="C867" s="10" t="s">
        <v>153</v>
      </c>
      <c r="D867" s="10" t="s">
        <v>225</v>
      </c>
      <c r="E867" s="10" t="str">
        <f aca="false">INDEX(Canale!$C$2:$C$30,MATCH(C867,Canale!$A$2:$A$30,0))</f>
        <v>x</v>
      </c>
      <c r="F867" s="10" t="str">
        <f aca="false">INDEX(Canale!$D$2:$D$30,MATCH(C867,Canale!$A$2:$A$30,0))</f>
        <v>social</v>
      </c>
      <c r="G867" s="10" t="str">
        <f aca="false">INDEX('Site-uri'!$C$2:$C$20,MATCH(A867,'Site-uri'!$A$2:$A$20,0))</f>
        <v>/</v>
      </c>
      <c r="H867" s="10" t="str">
        <f aca="false">Config!$B$3</f>
        <v>2610_ff_lansare</v>
      </c>
      <c r="I867" s="10" t="str">
        <f aca="false">D867&amp;"_"&amp;Config!$B$4</f>
        <v>cald_general</v>
      </c>
      <c r="J867" s="10" t="str">
        <f aca="false">"https://"&amp;B867&amp;G867&amp;"?utm_source="&amp;E867&amp;"&amp;utm_medium="&amp;F867&amp;"&amp;utm_campaign="&amp;H867&amp;"&amp;utm_content="&amp;I867</f>
        <v>https://eu-ai-ready.eu/?utm_source=x&amp;utm_medium=social&amp;utm_campaign=2610_ff_lansare&amp;utm_content=cald_general</v>
      </c>
    </row>
    <row r="868" customFormat="false" ht="15" hidden="false" customHeight="false" outlineLevel="0" collapsed="false">
      <c r="A868" s="10" t="s">
        <v>68</v>
      </c>
      <c r="B868" s="10" t="str">
        <f aca="false">INDEX('Site-uri'!$B$2:$B$20,MATCH(A868,'Site-uri'!$A$2:$A$20,0))</f>
        <v>eu-ai-ready.eu</v>
      </c>
      <c r="C868" s="10" t="s">
        <v>153</v>
      </c>
      <c r="D868" s="10" t="s">
        <v>231</v>
      </c>
      <c r="E868" s="10" t="str">
        <f aca="false">INDEX(Canale!$C$2:$C$30,MATCH(C868,Canale!$A$2:$A$30,0))</f>
        <v>x</v>
      </c>
      <c r="F868" s="10" t="str">
        <f aca="false">INDEX(Canale!$D$2:$D$30,MATCH(C868,Canale!$A$2:$A$30,0))</f>
        <v>social</v>
      </c>
      <c r="G868" s="10" t="str">
        <f aca="false">INDEX('Site-uri'!$C$2:$C$20,MATCH(A868,'Site-uri'!$A$2:$A$20,0))</f>
        <v>/</v>
      </c>
      <c r="H868" s="10" t="str">
        <f aca="false">Config!$B$3</f>
        <v>2610_ff_lansare</v>
      </c>
      <c r="I868" s="10" t="str">
        <f aca="false">D868&amp;"_"&amp;Config!$B$4</f>
        <v>fierbinte_general</v>
      </c>
      <c r="J868" s="10" t="str">
        <f aca="false">"https://"&amp;B868&amp;G868&amp;"?utm_source="&amp;E868&amp;"&amp;utm_medium="&amp;F868&amp;"&amp;utm_campaign="&amp;H868&amp;"&amp;utm_content="&amp;I868</f>
        <v>https://eu-ai-ready.eu/?utm_source=x&amp;utm_medium=social&amp;utm_campaign=2610_ff_lansare&amp;utm_content=fierbinte_general</v>
      </c>
    </row>
    <row r="869" customFormat="false" ht="15" hidden="false" customHeight="false" outlineLevel="0" collapsed="false">
      <c r="A869" s="10" t="s">
        <v>68</v>
      </c>
      <c r="B869" s="10" t="str">
        <f aca="false">INDEX('Site-uri'!$B$2:$B$20,MATCH(A869,'Site-uri'!$A$2:$A$20,0))</f>
        <v>eu-ai-ready.eu</v>
      </c>
      <c r="C869" s="10" t="s">
        <v>153</v>
      </c>
      <c r="D869" s="10" t="s">
        <v>237</v>
      </c>
      <c r="E869" s="10" t="str">
        <f aca="false">INDEX(Canale!$C$2:$C$30,MATCH(C869,Canale!$A$2:$A$30,0))</f>
        <v>x</v>
      </c>
      <c r="F869" s="10" t="str">
        <f aca="false">INDEX(Canale!$D$2:$D$30,MATCH(C869,Canale!$A$2:$A$30,0))</f>
        <v>social</v>
      </c>
      <c r="G869" s="10" t="str">
        <f aca="false">INDEX('Site-uri'!$C$2:$C$20,MATCH(A869,'Site-uri'!$A$2:$A$20,0))</f>
        <v>/</v>
      </c>
      <c r="H869" s="10" t="str">
        <f aca="false">Config!$B$3</f>
        <v>2610_ff_lansare</v>
      </c>
      <c r="I869" s="10" t="str">
        <f aca="false">D869&amp;"_"&amp;Config!$B$4</f>
        <v>client_general</v>
      </c>
      <c r="J869" s="10" t="str">
        <f aca="false">"https://"&amp;B869&amp;G869&amp;"?utm_source="&amp;E869&amp;"&amp;utm_medium="&amp;F869&amp;"&amp;utm_campaign="&amp;H869&amp;"&amp;utm_content="&amp;I869</f>
        <v>https://eu-ai-ready.eu/?utm_source=x&amp;utm_medium=social&amp;utm_campaign=2610_ff_lansare&amp;utm_content=client_general</v>
      </c>
    </row>
    <row r="870" customFormat="false" ht="15" hidden="false" customHeight="false" outlineLevel="0" collapsed="false">
      <c r="A870" s="10" t="s">
        <v>68</v>
      </c>
      <c r="B870" s="10" t="str">
        <f aca="false">INDEX('Site-uri'!$B$2:$B$20,MATCH(A870,'Site-uri'!$A$2:$A$20,0))</f>
        <v>eu-ai-ready.eu</v>
      </c>
      <c r="C870" s="10" t="s">
        <v>155</v>
      </c>
      <c r="D870" s="10" t="s">
        <v>219</v>
      </c>
      <c r="E870" s="10" t="str">
        <f aca="false">INDEX(Canale!$C$2:$C$30,MATCH(C870,Canale!$A$2:$A$30,0))</f>
        <v>youtube</v>
      </c>
      <c r="F870" s="10" t="str">
        <f aca="false">INDEX(Canale!$D$2:$D$30,MATCH(C870,Canale!$A$2:$A$30,0))</f>
        <v>video</v>
      </c>
      <c r="G870" s="10" t="str">
        <f aca="false">INDEX('Site-uri'!$C$2:$C$20,MATCH(A870,'Site-uri'!$A$2:$A$20,0))</f>
        <v>/</v>
      </c>
      <c r="H870" s="10" t="str">
        <f aca="false">Config!$B$3</f>
        <v>2610_ff_lansare</v>
      </c>
      <c r="I870" s="10" t="str">
        <f aca="false">D870&amp;"_"&amp;Config!$B$4</f>
        <v>rece_general</v>
      </c>
      <c r="J870" s="10" t="str">
        <f aca="false">"https://"&amp;B870&amp;G870&amp;"?utm_source="&amp;E870&amp;"&amp;utm_medium="&amp;F870&amp;"&amp;utm_campaign="&amp;H870&amp;"&amp;utm_content="&amp;I870</f>
        <v>https://eu-ai-ready.eu/?utm_source=youtube&amp;utm_medium=video&amp;utm_campaign=2610_ff_lansare&amp;utm_content=rece_general</v>
      </c>
    </row>
    <row r="871" customFormat="false" ht="15" hidden="false" customHeight="false" outlineLevel="0" collapsed="false">
      <c r="A871" s="10" t="s">
        <v>68</v>
      </c>
      <c r="B871" s="10" t="str">
        <f aca="false">INDEX('Site-uri'!$B$2:$B$20,MATCH(A871,'Site-uri'!$A$2:$A$20,0))</f>
        <v>eu-ai-ready.eu</v>
      </c>
      <c r="C871" s="10" t="s">
        <v>155</v>
      </c>
      <c r="D871" s="10" t="s">
        <v>225</v>
      </c>
      <c r="E871" s="10" t="str">
        <f aca="false">INDEX(Canale!$C$2:$C$30,MATCH(C871,Canale!$A$2:$A$30,0))</f>
        <v>youtube</v>
      </c>
      <c r="F871" s="10" t="str">
        <f aca="false">INDEX(Canale!$D$2:$D$30,MATCH(C871,Canale!$A$2:$A$30,0))</f>
        <v>video</v>
      </c>
      <c r="G871" s="10" t="str">
        <f aca="false">INDEX('Site-uri'!$C$2:$C$20,MATCH(A871,'Site-uri'!$A$2:$A$20,0))</f>
        <v>/</v>
      </c>
      <c r="H871" s="10" t="str">
        <f aca="false">Config!$B$3</f>
        <v>2610_ff_lansare</v>
      </c>
      <c r="I871" s="10" t="str">
        <f aca="false">D871&amp;"_"&amp;Config!$B$4</f>
        <v>cald_general</v>
      </c>
      <c r="J871" s="10" t="str">
        <f aca="false">"https://"&amp;B871&amp;G871&amp;"?utm_source="&amp;E871&amp;"&amp;utm_medium="&amp;F871&amp;"&amp;utm_campaign="&amp;H871&amp;"&amp;utm_content="&amp;I871</f>
        <v>https://eu-ai-ready.eu/?utm_source=youtube&amp;utm_medium=video&amp;utm_campaign=2610_ff_lansare&amp;utm_content=cald_general</v>
      </c>
    </row>
    <row r="872" customFormat="false" ht="15" hidden="false" customHeight="false" outlineLevel="0" collapsed="false">
      <c r="A872" s="10" t="s">
        <v>68</v>
      </c>
      <c r="B872" s="10" t="str">
        <f aca="false">INDEX('Site-uri'!$B$2:$B$20,MATCH(A872,'Site-uri'!$A$2:$A$20,0))</f>
        <v>eu-ai-ready.eu</v>
      </c>
      <c r="C872" s="10" t="s">
        <v>155</v>
      </c>
      <c r="D872" s="10" t="s">
        <v>231</v>
      </c>
      <c r="E872" s="10" t="str">
        <f aca="false">INDEX(Canale!$C$2:$C$30,MATCH(C872,Canale!$A$2:$A$30,0))</f>
        <v>youtube</v>
      </c>
      <c r="F872" s="10" t="str">
        <f aca="false">INDEX(Canale!$D$2:$D$30,MATCH(C872,Canale!$A$2:$A$30,0))</f>
        <v>video</v>
      </c>
      <c r="G872" s="10" t="str">
        <f aca="false">INDEX('Site-uri'!$C$2:$C$20,MATCH(A872,'Site-uri'!$A$2:$A$20,0))</f>
        <v>/</v>
      </c>
      <c r="H872" s="10" t="str">
        <f aca="false">Config!$B$3</f>
        <v>2610_ff_lansare</v>
      </c>
      <c r="I872" s="10" t="str">
        <f aca="false">D872&amp;"_"&amp;Config!$B$4</f>
        <v>fierbinte_general</v>
      </c>
      <c r="J872" s="10" t="str">
        <f aca="false">"https://"&amp;B872&amp;G872&amp;"?utm_source="&amp;E872&amp;"&amp;utm_medium="&amp;F872&amp;"&amp;utm_campaign="&amp;H872&amp;"&amp;utm_content="&amp;I872</f>
        <v>https://eu-ai-ready.eu/?utm_source=youtube&amp;utm_medium=video&amp;utm_campaign=2610_ff_lansare&amp;utm_content=fierbinte_general</v>
      </c>
    </row>
    <row r="873" customFormat="false" ht="15" hidden="false" customHeight="false" outlineLevel="0" collapsed="false">
      <c r="A873" s="10" t="s">
        <v>68</v>
      </c>
      <c r="B873" s="10" t="str">
        <f aca="false">INDEX('Site-uri'!$B$2:$B$20,MATCH(A873,'Site-uri'!$A$2:$A$20,0))</f>
        <v>eu-ai-ready.eu</v>
      </c>
      <c r="C873" s="10" t="s">
        <v>155</v>
      </c>
      <c r="D873" s="10" t="s">
        <v>237</v>
      </c>
      <c r="E873" s="10" t="str">
        <f aca="false">INDEX(Canale!$C$2:$C$30,MATCH(C873,Canale!$A$2:$A$30,0))</f>
        <v>youtube</v>
      </c>
      <c r="F873" s="10" t="str">
        <f aca="false">INDEX(Canale!$D$2:$D$30,MATCH(C873,Canale!$A$2:$A$30,0))</f>
        <v>video</v>
      </c>
      <c r="G873" s="10" t="str">
        <f aca="false">INDEX('Site-uri'!$C$2:$C$20,MATCH(A873,'Site-uri'!$A$2:$A$20,0))</f>
        <v>/</v>
      </c>
      <c r="H873" s="10" t="str">
        <f aca="false">Config!$B$3</f>
        <v>2610_ff_lansare</v>
      </c>
      <c r="I873" s="10" t="str">
        <f aca="false">D873&amp;"_"&amp;Config!$B$4</f>
        <v>client_general</v>
      </c>
      <c r="J873" s="10" t="str">
        <f aca="false">"https://"&amp;B873&amp;G873&amp;"?utm_source="&amp;E873&amp;"&amp;utm_medium="&amp;F873&amp;"&amp;utm_campaign="&amp;H873&amp;"&amp;utm_content="&amp;I873</f>
        <v>https://eu-ai-ready.eu/?utm_source=youtube&amp;utm_medium=video&amp;utm_campaign=2610_ff_lansare&amp;utm_content=client_general</v>
      </c>
    </row>
    <row r="874" customFormat="false" ht="15" hidden="false" customHeight="false" outlineLevel="0" collapsed="false">
      <c r="A874" s="10" t="s">
        <v>68</v>
      </c>
      <c r="B874" s="10" t="str">
        <f aca="false">INDEX('Site-uri'!$B$2:$B$20,MATCH(A874,'Site-uri'!$A$2:$A$20,0))</f>
        <v>eu-ai-ready.eu</v>
      </c>
      <c r="C874" s="10" t="s">
        <v>160</v>
      </c>
      <c r="D874" s="10" t="s">
        <v>219</v>
      </c>
      <c r="E874" s="10" t="str">
        <f aca="false">INDEX(Canale!$C$2:$C$30,MATCH(C874,Canale!$A$2:$A$30,0))</f>
        <v>medium</v>
      </c>
      <c r="F874" s="10" t="str">
        <f aca="false">INDEX(Canale!$D$2:$D$30,MATCH(C874,Canale!$A$2:$A$30,0))</f>
        <v>content</v>
      </c>
      <c r="G874" s="10" t="str">
        <f aca="false">INDEX('Site-uri'!$C$2:$C$20,MATCH(A874,'Site-uri'!$A$2:$A$20,0))</f>
        <v>/</v>
      </c>
      <c r="H874" s="10" t="str">
        <f aca="false">Config!$B$3</f>
        <v>2610_ff_lansare</v>
      </c>
      <c r="I874" s="10" t="str">
        <f aca="false">D874&amp;"_"&amp;Config!$B$4</f>
        <v>rece_general</v>
      </c>
      <c r="J874" s="10" t="str">
        <f aca="false">"https://"&amp;B874&amp;G874&amp;"?utm_source="&amp;E874&amp;"&amp;utm_medium="&amp;F874&amp;"&amp;utm_campaign="&amp;H874&amp;"&amp;utm_content="&amp;I874</f>
        <v>https://eu-ai-ready.eu/?utm_source=medium&amp;utm_medium=content&amp;utm_campaign=2610_ff_lansare&amp;utm_content=rece_general</v>
      </c>
    </row>
    <row r="875" customFormat="false" ht="15" hidden="false" customHeight="false" outlineLevel="0" collapsed="false">
      <c r="A875" s="10" t="s">
        <v>68</v>
      </c>
      <c r="B875" s="10" t="str">
        <f aca="false">INDEX('Site-uri'!$B$2:$B$20,MATCH(A875,'Site-uri'!$A$2:$A$20,0))</f>
        <v>eu-ai-ready.eu</v>
      </c>
      <c r="C875" s="10" t="s">
        <v>160</v>
      </c>
      <c r="D875" s="10" t="s">
        <v>225</v>
      </c>
      <c r="E875" s="10" t="str">
        <f aca="false">INDEX(Canale!$C$2:$C$30,MATCH(C875,Canale!$A$2:$A$30,0))</f>
        <v>medium</v>
      </c>
      <c r="F875" s="10" t="str">
        <f aca="false">INDEX(Canale!$D$2:$D$30,MATCH(C875,Canale!$A$2:$A$30,0))</f>
        <v>content</v>
      </c>
      <c r="G875" s="10" t="str">
        <f aca="false">INDEX('Site-uri'!$C$2:$C$20,MATCH(A875,'Site-uri'!$A$2:$A$20,0))</f>
        <v>/</v>
      </c>
      <c r="H875" s="10" t="str">
        <f aca="false">Config!$B$3</f>
        <v>2610_ff_lansare</v>
      </c>
      <c r="I875" s="10" t="str">
        <f aca="false">D875&amp;"_"&amp;Config!$B$4</f>
        <v>cald_general</v>
      </c>
      <c r="J875" s="10" t="str">
        <f aca="false">"https://"&amp;B875&amp;G875&amp;"?utm_source="&amp;E875&amp;"&amp;utm_medium="&amp;F875&amp;"&amp;utm_campaign="&amp;H875&amp;"&amp;utm_content="&amp;I875</f>
        <v>https://eu-ai-ready.eu/?utm_source=medium&amp;utm_medium=content&amp;utm_campaign=2610_ff_lansare&amp;utm_content=cald_general</v>
      </c>
    </row>
    <row r="876" customFormat="false" ht="15" hidden="false" customHeight="false" outlineLevel="0" collapsed="false">
      <c r="A876" s="10" t="s">
        <v>68</v>
      </c>
      <c r="B876" s="10" t="str">
        <f aca="false">INDEX('Site-uri'!$B$2:$B$20,MATCH(A876,'Site-uri'!$A$2:$A$20,0))</f>
        <v>eu-ai-ready.eu</v>
      </c>
      <c r="C876" s="10" t="s">
        <v>160</v>
      </c>
      <c r="D876" s="10" t="s">
        <v>231</v>
      </c>
      <c r="E876" s="10" t="str">
        <f aca="false">INDEX(Canale!$C$2:$C$30,MATCH(C876,Canale!$A$2:$A$30,0))</f>
        <v>medium</v>
      </c>
      <c r="F876" s="10" t="str">
        <f aca="false">INDEX(Canale!$D$2:$D$30,MATCH(C876,Canale!$A$2:$A$30,0))</f>
        <v>content</v>
      </c>
      <c r="G876" s="10" t="str">
        <f aca="false">INDEX('Site-uri'!$C$2:$C$20,MATCH(A876,'Site-uri'!$A$2:$A$20,0))</f>
        <v>/</v>
      </c>
      <c r="H876" s="10" t="str">
        <f aca="false">Config!$B$3</f>
        <v>2610_ff_lansare</v>
      </c>
      <c r="I876" s="10" t="str">
        <f aca="false">D876&amp;"_"&amp;Config!$B$4</f>
        <v>fierbinte_general</v>
      </c>
      <c r="J876" s="10" t="str">
        <f aca="false">"https://"&amp;B876&amp;G876&amp;"?utm_source="&amp;E876&amp;"&amp;utm_medium="&amp;F876&amp;"&amp;utm_campaign="&amp;H876&amp;"&amp;utm_content="&amp;I876</f>
        <v>https://eu-ai-ready.eu/?utm_source=medium&amp;utm_medium=content&amp;utm_campaign=2610_ff_lansare&amp;utm_content=fierbinte_general</v>
      </c>
    </row>
    <row r="877" customFormat="false" ht="15" hidden="false" customHeight="false" outlineLevel="0" collapsed="false">
      <c r="A877" s="10" t="s">
        <v>68</v>
      </c>
      <c r="B877" s="10" t="str">
        <f aca="false">INDEX('Site-uri'!$B$2:$B$20,MATCH(A877,'Site-uri'!$A$2:$A$20,0))</f>
        <v>eu-ai-ready.eu</v>
      </c>
      <c r="C877" s="10" t="s">
        <v>160</v>
      </c>
      <c r="D877" s="10" t="s">
        <v>237</v>
      </c>
      <c r="E877" s="10" t="str">
        <f aca="false">INDEX(Canale!$C$2:$C$30,MATCH(C877,Canale!$A$2:$A$30,0))</f>
        <v>medium</v>
      </c>
      <c r="F877" s="10" t="str">
        <f aca="false">INDEX(Canale!$D$2:$D$30,MATCH(C877,Canale!$A$2:$A$30,0))</f>
        <v>content</v>
      </c>
      <c r="G877" s="10" t="str">
        <f aca="false">INDEX('Site-uri'!$C$2:$C$20,MATCH(A877,'Site-uri'!$A$2:$A$20,0))</f>
        <v>/</v>
      </c>
      <c r="H877" s="10" t="str">
        <f aca="false">Config!$B$3</f>
        <v>2610_ff_lansare</v>
      </c>
      <c r="I877" s="10" t="str">
        <f aca="false">D877&amp;"_"&amp;Config!$B$4</f>
        <v>client_general</v>
      </c>
      <c r="J877" s="10" t="str">
        <f aca="false">"https://"&amp;B877&amp;G877&amp;"?utm_source="&amp;E877&amp;"&amp;utm_medium="&amp;F877&amp;"&amp;utm_campaign="&amp;H877&amp;"&amp;utm_content="&amp;I877</f>
        <v>https://eu-ai-ready.eu/?utm_source=medium&amp;utm_medium=content&amp;utm_campaign=2610_ff_lansare&amp;utm_content=client_general</v>
      </c>
    </row>
    <row r="878" customFormat="false" ht="15" hidden="false" customHeight="false" outlineLevel="0" collapsed="false">
      <c r="A878" s="10" t="s">
        <v>68</v>
      </c>
      <c r="B878" s="10" t="str">
        <f aca="false">INDEX('Site-uri'!$B$2:$B$20,MATCH(A878,'Site-uri'!$A$2:$A$20,0))</f>
        <v>eu-ai-ready.eu</v>
      </c>
      <c r="C878" s="10" t="s">
        <v>165</v>
      </c>
      <c r="D878" s="10" t="s">
        <v>219</v>
      </c>
      <c r="E878" s="10" t="str">
        <f aca="false">INDEX(Canale!$C$2:$C$30,MATCH(C878,Canale!$A$2:$A$30,0))</f>
        <v>crunchbase</v>
      </c>
      <c r="F878" s="10" t="str">
        <f aca="false">INDEX(Canale!$D$2:$D$30,MATCH(C878,Canale!$A$2:$A$30,0))</f>
        <v>referral</v>
      </c>
      <c r="G878" s="10" t="str">
        <f aca="false">INDEX('Site-uri'!$C$2:$C$20,MATCH(A878,'Site-uri'!$A$2:$A$20,0))</f>
        <v>/</v>
      </c>
      <c r="H878" s="10" t="str">
        <f aca="false">Config!$B$3</f>
        <v>2610_ff_lansare</v>
      </c>
      <c r="I878" s="10" t="str">
        <f aca="false">D878&amp;"_"&amp;Config!$B$4</f>
        <v>rece_general</v>
      </c>
      <c r="J878" s="10" t="str">
        <f aca="false">"https://"&amp;B878&amp;G878&amp;"?utm_source="&amp;E878&amp;"&amp;utm_medium="&amp;F878&amp;"&amp;utm_campaign="&amp;H878&amp;"&amp;utm_content="&amp;I878</f>
        <v>https://eu-ai-ready.eu/?utm_source=crunchbase&amp;utm_medium=referral&amp;utm_campaign=2610_ff_lansare&amp;utm_content=rece_general</v>
      </c>
    </row>
    <row r="879" customFormat="false" ht="15" hidden="false" customHeight="false" outlineLevel="0" collapsed="false">
      <c r="A879" s="10" t="s">
        <v>68</v>
      </c>
      <c r="B879" s="10" t="str">
        <f aca="false">INDEX('Site-uri'!$B$2:$B$20,MATCH(A879,'Site-uri'!$A$2:$A$20,0))</f>
        <v>eu-ai-ready.eu</v>
      </c>
      <c r="C879" s="10" t="s">
        <v>165</v>
      </c>
      <c r="D879" s="10" t="s">
        <v>225</v>
      </c>
      <c r="E879" s="10" t="str">
        <f aca="false">INDEX(Canale!$C$2:$C$30,MATCH(C879,Canale!$A$2:$A$30,0))</f>
        <v>crunchbase</v>
      </c>
      <c r="F879" s="10" t="str">
        <f aca="false">INDEX(Canale!$D$2:$D$30,MATCH(C879,Canale!$A$2:$A$30,0))</f>
        <v>referral</v>
      </c>
      <c r="G879" s="10" t="str">
        <f aca="false">INDEX('Site-uri'!$C$2:$C$20,MATCH(A879,'Site-uri'!$A$2:$A$20,0))</f>
        <v>/</v>
      </c>
      <c r="H879" s="10" t="str">
        <f aca="false">Config!$B$3</f>
        <v>2610_ff_lansare</v>
      </c>
      <c r="I879" s="10" t="str">
        <f aca="false">D879&amp;"_"&amp;Config!$B$4</f>
        <v>cald_general</v>
      </c>
      <c r="J879" s="10" t="str">
        <f aca="false">"https://"&amp;B879&amp;G879&amp;"?utm_source="&amp;E879&amp;"&amp;utm_medium="&amp;F879&amp;"&amp;utm_campaign="&amp;H879&amp;"&amp;utm_content="&amp;I879</f>
        <v>https://eu-ai-ready.eu/?utm_source=crunchbase&amp;utm_medium=referral&amp;utm_campaign=2610_ff_lansare&amp;utm_content=cald_general</v>
      </c>
    </row>
    <row r="880" customFormat="false" ht="15" hidden="false" customHeight="false" outlineLevel="0" collapsed="false">
      <c r="A880" s="10" t="s">
        <v>68</v>
      </c>
      <c r="B880" s="10" t="str">
        <f aca="false">INDEX('Site-uri'!$B$2:$B$20,MATCH(A880,'Site-uri'!$A$2:$A$20,0))</f>
        <v>eu-ai-ready.eu</v>
      </c>
      <c r="C880" s="10" t="s">
        <v>165</v>
      </c>
      <c r="D880" s="10" t="s">
        <v>231</v>
      </c>
      <c r="E880" s="10" t="str">
        <f aca="false">INDEX(Canale!$C$2:$C$30,MATCH(C880,Canale!$A$2:$A$30,0))</f>
        <v>crunchbase</v>
      </c>
      <c r="F880" s="10" t="str">
        <f aca="false">INDEX(Canale!$D$2:$D$30,MATCH(C880,Canale!$A$2:$A$30,0))</f>
        <v>referral</v>
      </c>
      <c r="G880" s="10" t="str">
        <f aca="false">INDEX('Site-uri'!$C$2:$C$20,MATCH(A880,'Site-uri'!$A$2:$A$20,0))</f>
        <v>/</v>
      </c>
      <c r="H880" s="10" t="str">
        <f aca="false">Config!$B$3</f>
        <v>2610_ff_lansare</v>
      </c>
      <c r="I880" s="10" t="str">
        <f aca="false">D880&amp;"_"&amp;Config!$B$4</f>
        <v>fierbinte_general</v>
      </c>
      <c r="J880" s="10" t="str">
        <f aca="false">"https://"&amp;B880&amp;G880&amp;"?utm_source="&amp;E880&amp;"&amp;utm_medium="&amp;F880&amp;"&amp;utm_campaign="&amp;H880&amp;"&amp;utm_content="&amp;I880</f>
        <v>https://eu-ai-ready.eu/?utm_source=crunchbase&amp;utm_medium=referral&amp;utm_campaign=2610_ff_lansare&amp;utm_content=fierbinte_general</v>
      </c>
    </row>
    <row r="881" customFormat="false" ht="15" hidden="false" customHeight="false" outlineLevel="0" collapsed="false">
      <c r="A881" s="10" t="s">
        <v>68</v>
      </c>
      <c r="B881" s="10" t="str">
        <f aca="false">INDEX('Site-uri'!$B$2:$B$20,MATCH(A881,'Site-uri'!$A$2:$A$20,0))</f>
        <v>eu-ai-ready.eu</v>
      </c>
      <c r="C881" s="10" t="s">
        <v>165</v>
      </c>
      <c r="D881" s="10" t="s">
        <v>237</v>
      </c>
      <c r="E881" s="10" t="str">
        <f aca="false">INDEX(Canale!$C$2:$C$30,MATCH(C881,Canale!$A$2:$A$30,0))</f>
        <v>crunchbase</v>
      </c>
      <c r="F881" s="10" t="str">
        <f aca="false">INDEX(Canale!$D$2:$D$30,MATCH(C881,Canale!$A$2:$A$30,0))</f>
        <v>referral</v>
      </c>
      <c r="G881" s="10" t="str">
        <f aca="false">INDEX('Site-uri'!$C$2:$C$20,MATCH(A881,'Site-uri'!$A$2:$A$20,0))</f>
        <v>/</v>
      </c>
      <c r="H881" s="10" t="str">
        <f aca="false">Config!$B$3</f>
        <v>2610_ff_lansare</v>
      </c>
      <c r="I881" s="10" t="str">
        <f aca="false">D881&amp;"_"&amp;Config!$B$4</f>
        <v>client_general</v>
      </c>
      <c r="J881" s="10" t="str">
        <f aca="false">"https://"&amp;B881&amp;G881&amp;"?utm_source="&amp;E881&amp;"&amp;utm_medium="&amp;F881&amp;"&amp;utm_campaign="&amp;H881&amp;"&amp;utm_content="&amp;I881</f>
        <v>https://eu-ai-ready.eu/?utm_source=crunchbase&amp;utm_medium=referral&amp;utm_campaign=2610_ff_lansare&amp;utm_content=client_general</v>
      </c>
    </row>
    <row r="882" customFormat="false" ht="15" hidden="false" customHeight="false" outlineLevel="0" collapsed="false">
      <c r="A882" s="10" t="s">
        <v>68</v>
      </c>
      <c r="B882" s="10" t="str">
        <f aca="false">INDEX('Site-uri'!$B$2:$B$20,MATCH(A882,'Site-uri'!$A$2:$A$20,0))</f>
        <v>eu-ai-ready.eu</v>
      </c>
      <c r="C882" s="10" t="s">
        <v>170</v>
      </c>
      <c r="D882" s="10" t="s">
        <v>219</v>
      </c>
      <c r="E882" s="10" t="str">
        <f aca="false">INDEX(Canale!$C$2:$C$30,MATCH(C882,Canale!$A$2:$A$30,0))</f>
        <v>zenodo</v>
      </c>
      <c r="F882" s="10" t="str">
        <f aca="false">INDEX(Canale!$D$2:$D$30,MATCH(C882,Canale!$A$2:$A$30,0))</f>
        <v>referral</v>
      </c>
      <c r="G882" s="10" t="str">
        <f aca="false">INDEX('Site-uri'!$C$2:$C$20,MATCH(A882,'Site-uri'!$A$2:$A$20,0))</f>
        <v>/</v>
      </c>
      <c r="H882" s="10" t="str">
        <f aca="false">Config!$B$3</f>
        <v>2610_ff_lansare</v>
      </c>
      <c r="I882" s="10" t="str">
        <f aca="false">D882&amp;"_"&amp;Config!$B$4</f>
        <v>rece_general</v>
      </c>
      <c r="J882" s="10" t="str">
        <f aca="false">"https://"&amp;B882&amp;G882&amp;"?utm_source="&amp;E882&amp;"&amp;utm_medium="&amp;F882&amp;"&amp;utm_campaign="&amp;H882&amp;"&amp;utm_content="&amp;I882</f>
        <v>https://eu-ai-ready.eu/?utm_source=zenodo&amp;utm_medium=referral&amp;utm_campaign=2610_ff_lansare&amp;utm_content=rece_general</v>
      </c>
    </row>
    <row r="883" customFormat="false" ht="15" hidden="false" customHeight="false" outlineLevel="0" collapsed="false">
      <c r="A883" s="10" t="s">
        <v>68</v>
      </c>
      <c r="B883" s="10" t="str">
        <f aca="false">INDEX('Site-uri'!$B$2:$B$20,MATCH(A883,'Site-uri'!$A$2:$A$20,0))</f>
        <v>eu-ai-ready.eu</v>
      </c>
      <c r="C883" s="10" t="s">
        <v>170</v>
      </c>
      <c r="D883" s="10" t="s">
        <v>225</v>
      </c>
      <c r="E883" s="10" t="str">
        <f aca="false">INDEX(Canale!$C$2:$C$30,MATCH(C883,Canale!$A$2:$A$30,0))</f>
        <v>zenodo</v>
      </c>
      <c r="F883" s="10" t="str">
        <f aca="false">INDEX(Canale!$D$2:$D$30,MATCH(C883,Canale!$A$2:$A$30,0))</f>
        <v>referral</v>
      </c>
      <c r="G883" s="10" t="str">
        <f aca="false">INDEX('Site-uri'!$C$2:$C$20,MATCH(A883,'Site-uri'!$A$2:$A$20,0))</f>
        <v>/</v>
      </c>
      <c r="H883" s="10" t="str">
        <f aca="false">Config!$B$3</f>
        <v>2610_ff_lansare</v>
      </c>
      <c r="I883" s="10" t="str">
        <f aca="false">D883&amp;"_"&amp;Config!$B$4</f>
        <v>cald_general</v>
      </c>
      <c r="J883" s="10" t="str">
        <f aca="false">"https://"&amp;B883&amp;G883&amp;"?utm_source="&amp;E883&amp;"&amp;utm_medium="&amp;F883&amp;"&amp;utm_campaign="&amp;H883&amp;"&amp;utm_content="&amp;I883</f>
        <v>https://eu-ai-ready.eu/?utm_source=zenodo&amp;utm_medium=referral&amp;utm_campaign=2610_ff_lansare&amp;utm_content=cald_general</v>
      </c>
    </row>
    <row r="884" customFormat="false" ht="15" hidden="false" customHeight="false" outlineLevel="0" collapsed="false">
      <c r="A884" s="10" t="s">
        <v>68</v>
      </c>
      <c r="B884" s="10" t="str">
        <f aca="false">INDEX('Site-uri'!$B$2:$B$20,MATCH(A884,'Site-uri'!$A$2:$A$20,0))</f>
        <v>eu-ai-ready.eu</v>
      </c>
      <c r="C884" s="10" t="s">
        <v>170</v>
      </c>
      <c r="D884" s="10" t="s">
        <v>231</v>
      </c>
      <c r="E884" s="10" t="str">
        <f aca="false">INDEX(Canale!$C$2:$C$30,MATCH(C884,Canale!$A$2:$A$30,0))</f>
        <v>zenodo</v>
      </c>
      <c r="F884" s="10" t="str">
        <f aca="false">INDEX(Canale!$D$2:$D$30,MATCH(C884,Canale!$A$2:$A$30,0))</f>
        <v>referral</v>
      </c>
      <c r="G884" s="10" t="str">
        <f aca="false">INDEX('Site-uri'!$C$2:$C$20,MATCH(A884,'Site-uri'!$A$2:$A$20,0))</f>
        <v>/</v>
      </c>
      <c r="H884" s="10" t="str">
        <f aca="false">Config!$B$3</f>
        <v>2610_ff_lansare</v>
      </c>
      <c r="I884" s="10" t="str">
        <f aca="false">D884&amp;"_"&amp;Config!$B$4</f>
        <v>fierbinte_general</v>
      </c>
      <c r="J884" s="10" t="str">
        <f aca="false">"https://"&amp;B884&amp;G884&amp;"?utm_source="&amp;E884&amp;"&amp;utm_medium="&amp;F884&amp;"&amp;utm_campaign="&amp;H884&amp;"&amp;utm_content="&amp;I884</f>
        <v>https://eu-ai-ready.eu/?utm_source=zenodo&amp;utm_medium=referral&amp;utm_campaign=2610_ff_lansare&amp;utm_content=fierbinte_general</v>
      </c>
    </row>
    <row r="885" customFormat="false" ht="15" hidden="false" customHeight="false" outlineLevel="0" collapsed="false">
      <c r="A885" s="10" t="s">
        <v>68</v>
      </c>
      <c r="B885" s="10" t="str">
        <f aca="false">INDEX('Site-uri'!$B$2:$B$20,MATCH(A885,'Site-uri'!$A$2:$A$20,0))</f>
        <v>eu-ai-ready.eu</v>
      </c>
      <c r="C885" s="10" t="s">
        <v>170</v>
      </c>
      <c r="D885" s="10" t="s">
        <v>237</v>
      </c>
      <c r="E885" s="10" t="str">
        <f aca="false">INDEX(Canale!$C$2:$C$30,MATCH(C885,Canale!$A$2:$A$30,0))</f>
        <v>zenodo</v>
      </c>
      <c r="F885" s="10" t="str">
        <f aca="false">INDEX(Canale!$D$2:$D$30,MATCH(C885,Canale!$A$2:$A$30,0))</f>
        <v>referral</v>
      </c>
      <c r="G885" s="10" t="str">
        <f aca="false">INDEX('Site-uri'!$C$2:$C$20,MATCH(A885,'Site-uri'!$A$2:$A$20,0))</f>
        <v>/</v>
      </c>
      <c r="H885" s="10" t="str">
        <f aca="false">Config!$B$3</f>
        <v>2610_ff_lansare</v>
      </c>
      <c r="I885" s="10" t="str">
        <f aca="false">D885&amp;"_"&amp;Config!$B$4</f>
        <v>client_general</v>
      </c>
      <c r="J885" s="10" t="str">
        <f aca="false">"https://"&amp;B885&amp;G885&amp;"?utm_source="&amp;E885&amp;"&amp;utm_medium="&amp;F885&amp;"&amp;utm_campaign="&amp;H885&amp;"&amp;utm_content="&amp;I885</f>
        <v>https://eu-ai-ready.eu/?utm_source=zenodo&amp;utm_medium=referral&amp;utm_campaign=2610_ff_lansare&amp;utm_content=client_general</v>
      </c>
    </row>
    <row r="886" customFormat="false" ht="15" hidden="false" customHeight="false" outlineLevel="0" collapsed="false">
      <c r="A886" s="10" t="s">
        <v>68</v>
      </c>
      <c r="B886" s="10" t="str">
        <f aca="false">INDEX('Site-uri'!$B$2:$B$20,MATCH(A886,'Site-uri'!$A$2:$A$20,0))</f>
        <v>eu-ai-ready.eu</v>
      </c>
      <c r="C886" s="10" t="s">
        <v>173</v>
      </c>
      <c r="D886" s="10" t="s">
        <v>219</v>
      </c>
      <c r="E886" s="10" t="str">
        <f aca="false">INDEX(Canale!$C$2:$C$30,MATCH(C886,Canale!$A$2:$A$30,0))</f>
        <v>orcid</v>
      </c>
      <c r="F886" s="10" t="str">
        <f aca="false">INDEX(Canale!$D$2:$D$30,MATCH(C886,Canale!$A$2:$A$30,0))</f>
        <v>referral</v>
      </c>
      <c r="G886" s="10" t="str">
        <f aca="false">INDEX('Site-uri'!$C$2:$C$20,MATCH(A886,'Site-uri'!$A$2:$A$20,0))</f>
        <v>/</v>
      </c>
      <c r="H886" s="10" t="str">
        <f aca="false">Config!$B$3</f>
        <v>2610_ff_lansare</v>
      </c>
      <c r="I886" s="10" t="str">
        <f aca="false">D886&amp;"_"&amp;Config!$B$4</f>
        <v>rece_general</v>
      </c>
      <c r="J886" s="10" t="str">
        <f aca="false">"https://"&amp;B886&amp;G886&amp;"?utm_source="&amp;E886&amp;"&amp;utm_medium="&amp;F886&amp;"&amp;utm_campaign="&amp;H886&amp;"&amp;utm_content="&amp;I886</f>
        <v>https://eu-ai-ready.eu/?utm_source=orcid&amp;utm_medium=referral&amp;utm_campaign=2610_ff_lansare&amp;utm_content=rece_general</v>
      </c>
    </row>
    <row r="887" customFormat="false" ht="15" hidden="false" customHeight="false" outlineLevel="0" collapsed="false">
      <c r="A887" s="10" t="s">
        <v>68</v>
      </c>
      <c r="B887" s="10" t="str">
        <f aca="false">INDEX('Site-uri'!$B$2:$B$20,MATCH(A887,'Site-uri'!$A$2:$A$20,0))</f>
        <v>eu-ai-ready.eu</v>
      </c>
      <c r="C887" s="10" t="s">
        <v>173</v>
      </c>
      <c r="D887" s="10" t="s">
        <v>225</v>
      </c>
      <c r="E887" s="10" t="str">
        <f aca="false">INDEX(Canale!$C$2:$C$30,MATCH(C887,Canale!$A$2:$A$30,0))</f>
        <v>orcid</v>
      </c>
      <c r="F887" s="10" t="str">
        <f aca="false">INDEX(Canale!$D$2:$D$30,MATCH(C887,Canale!$A$2:$A$30,0))</f>
        <v>referral</v>
      </c>
      <c r="G887" s="10" t="str">
        <f aca="false">INDEX('Site-uri'!$C$2:$C$20,MATCH(A887,'Site-uri'!$A$2:$A$20,0))</f>
        <v>/</v>
      </c>
      <c r="H887" s="10" t="str">
        <f aca="false">Config!$B$3</f>
        <v>2610_ff_lansare</v>
      </c>
      <c r="I887" s="10" t="str">
        <f aca="false">D887&amp;"_"&amp;Config!$B$4</f>
        <v>cald_general</v>
      </c>
      <c r="J887" s="10" t="str">
        <f aca="false">"https://"&amp;B887&amp;G887&amp;"?utm_source="&amp;E887&amp;"&amp;utm_medium="&amp;F887&amp;"&amp;utm_campaign="&amp;H887&amp;"&amp;utm_content="&amp;I887</f>
        <v>https://eu-ai-ready.eu/?utm_source=orcid&amp;utm_medium=referral&amp;utm_campaign=2610_ff_lansare&amp;utm_content=cald_general</v>
      </c>
    </row>
    <row r="888" customFormat="false" ht="15" hidden="false" customHeight="false" outlineLevel="0" collapsed="false">
      <c r="A888" s="10" t="s">
        <v>68</v>
      </c>
      <c r="B888" s="10" t="str">
        <f aca="false">INDEX('Site-uri'!$B$2:$B$20,MATCH(A888,'Site-uri'!$A$2:$A$20,0))</f>
        <v>eu-ai-ready.eu</v>
      </c>
      <c r="C888" s="10" t="s">
        <v>173</v>
      </c>
      <c r="D888" s="10" t="s">
        <v>231</v>
      </c>
      <c r="E888" s="10" t="str">
        <f aca="false">INDEX(Canale!$C$2:$C$30,MATCH(C888,Canale!$A$2:$A$30,0))</f>
        <v>orcid</v>
      </c>
      <c r="F888" s="10" t="str">
        <f aca="false">INDEX(Canale!$D$2:$D$30,MATCH(C888,Canale!$A$2:$A$30,0))</f>
        <v>referral</v>
      </c>
      <c r="G888" s="10" t="str">
        <f aca="false">INDEX('Site-uri'!$C$2:$C$20,MATCH(A888,'Site-uri'!$A$2:$A$20,0))</f>
        <v>/</v>
      </c>
      <c r="H888" s="10" t="str">
        <f aca="false">Config!$B$3</f>
        <v>2610_ff_lansare</v>
      </c>
      <c r="I888" s="10" t="str">
        <f aca="false">D888&amp;"_"&amp;Config!$B$4</f>
        <v>fierbinte_general</v>
      </c>
      <c r="J888" s="10" t="str">
        <f aca="false">"https://"&amp;B888&amp;G888&amp;"?utm_source="&amp;E888&amp;"&amp;utm_medium="&amp;F888&amp;"&amp;utm_campaign="&amp;H888&amp;"&amp;utm_content="&amp;I888</f>
        <v>https://eu-ai-ready.eu/?utm_source=orcid&amp;utm_medium=referral&amp;utm_campaign=2610_ff_lansare&amp;utm_content=fierbinte_general</v>
      </c>
    </row>
    <row r="889" customFormat="false" ht="15" hidden="false" customHeight="false" outlineLevel="0" collapsed="false">
      <c r="A889" s="10" t="s">
        <v>68</v>
      </c>
      <c r="B889" s="10" t="str">
        <f aca="false">INDEX('Site-uri'!$B$2:$B$20,MATCH(A889,'Site-uri'!$A$2:$A$20,0))</f>
        <v>eu-ai-ready.eu</v>
      </c>
      <c r="C889" s="10" t="s">
        <v>173</v>
      </c>
      <c r="D889" s="10" t="s">
        <v>237</v>
      </c>
      <c r="E889" s="10" t="str">
        <f aca="false">INDEX(Canale!$C$2:$C$30,MATCH(C889,Canale!$A$2:$A$30,0))</f>
        <v>orcid</v>
      </c>
      <c r="F889" s="10" t="str">
        <f aca="false">INDEX(Canale!$D$2:$D$30,MATCH(C889,Canale!$A$2:$A$30,0))</f>
        <v>referral</v>
      </c>
      <c r="G889" s="10" t="str">
        <f aca="false">INDEX('Site-uri'!$C$2:$C$20,MATCH(A889,'Site-uri'!$A$2:$A$20,0))</f>
        <v>/</v>
      </c>
      <c r="H889" s="10" t="str">
        <f aca="false">Config!$B$3</f>
        <v>2610_ff_lansare</v>
      </c>
      <c r="I889" s="10" t="str">
        <f aca="false">D889&amp;"_"&amp;Config!$B$4</f>
        <v>client_general</v>
      </c>
      <c r="J889" s="10" t="str">
        <f aca="false">"https://"&amp;B889&amp;G889&amp;"?utm_source="&amp;E889&amp;"&amp;utm_medium="&amp;F889&amp;"&amp;utm_campaign="&amp;H889&amp;"&amp;utm_content="&amp;I889</f>
        <v>https://eu-ai-ready.eu/?utm_source=orcid&amp;utm_medium=referral&amp;utm_campaign=2610_ff_lansare&amp;utm_content=client_general</v>
      </c>
    </row>
    <row r="890" customFormat="false" ht="15" hidden="false" customHeight="false" outlineLevel="0" collapsed="false">
      <c r="A890" s="10" t="s">
        <v>68</v>
      </c>
      <c r="B890" s="10" t="str">
        <f aca="false">INDEX('Site-uri'!$B$2:$B$20,MATCH(A890,'Site-uri'!$A$2:$A$20,0))</f>
        <v>eu-ai-ready.eu</v>
      </c>
      <c r="C890" s="10" t="s">
        <v>176</v>
      </c>
      <c r="D890" s="10" t="s">
        <v>219</v>
      </c>
      <c r="E890" s="10" t="str">
        <f aca="false">INDEX(Canale!$C$2:$C$30,MATCH(C890,Canale!$A$2:$A$30,0))</f>
        <v>github</v>
      </c>
      <c r="F890" s="10" t="str">
        <f aca="false">INDEX(Canale!$D$2:$D$30,MATCH(C890,Canale!$A$2:$A$30,0))</f>
        <v>referral</v>
      </c>
      <c r="G890" s="10" t="str">
        <f aca="false">INDEX('Site-uri'!$C$2:$C$20,MATCH(A890,'Site-uri'!$A$2:$A$20,0))</f>
        <v>/</v>
      </c>
      <c r="H890" s="10" t="str">
        <f aca="false">Config!$B$3</f>
        <v>2610_ff_lansare</v>
      </c>
      <c r="I890" s="10" t="str">
        <f aca="false">D890&amp;"_"&amp;Config!$B$4</f>
        <v>rece_general</v>
      </c>
      <c r="J890" s="10" t="str">
        <f aca="false">"https://"&amp;B890&amp;G890&amp;"?utm_source="&amp;E890&amp;"&amp;utm_medium="&amp;F890&amp;"&amp;utm_campaign="&amp;H890&amp;"&amp;utm_content="&amp;I890</f>
        <v>https://eu-ai-ready.eu/?utm_source=github&amp;utm_medium=referral&amp;utm_campaign=2610_ff_lansare&amp;utm_content=rece_general</v>
      </c>
    </row>
    <row r="891" customFormat="false" ht="15" hidden="false" customHeight="false" outlineLevel="0" collapsed="false">
      <c r="A891" s="10" t="s">
        <v>68</v>
      </c>
      <c r="B891" s="10" t="str">
        <f aca="false">INDEX('Site-uri'!$B$2:$B$20,MATCH(A891,'Site-uri'!$A$2:$A$20,0))</f>
        <v>eu-ai-ready.eu</v>
      </c>
      <c r="C891" s="10" t="s">
        <v>176</v>
      </c>
      <c r="D891" s="10" t="s">
        <v>225</v>
      </c>
      <c r="E891" s="10" t="str">
        <f aca="false">INDEX(Canale!$C$2:$C$30,MATCH(C891,Canale!$A$2:$A$30,0))</f>
        <v>github</v>
      </c>
      <c r="F891" s="10" t="str">
        <f aca="false">INDEX(Canale!$D$2:$D$30,MATCH(C891,Canale!$A$2:$A$30,0))</f>
        <v>referral</v>
      </c>
      <c r="G891" s="10" t="str">
        <f aca="false">INDEX('Site-uri'!$C$2:$C$20,MATCH(A891,'Site-uri'!$A$2:$A$20,0))</f>
        <v>/</v>
      </c>
      <c r="H891" s="10" t="str">
        <f aca="false">Config!$B$3</f>
        <v>2610_ff_lansare</v>
      </c>
      <c r="I891" s="10" t="str">
        <f aca="false">D891&amp;"_"&amp;Config!$B$4</f>
        <v>cald_general</v>
      </c>
      <c r="J891" s="10" t="str">
        <f aca="false">"https://"&amp;B891&amp;G891&amp;"?utm_source="&amp;E891&amp;"&amp;utm_medium="&amp;F891&amp;"&amp;utm_campaign="&amp;H891&amp;"&amp;utm_content="&amp;I891</f>
        <v>https://eu-ai-ready.eu/?utm_source=github&amp;utm_medium=referral&amp;utm_campaign=2610_ff_lansare&amp;utm_content=cald_general</v>
      </c>
    </row>
    <row r="892" customFormat="false" ht="15" hidden="false" customHeight="false" outlineLevel="0" collapsed="false">
      <c r="A892" s="10" t="s">
        <v>68</v>
      </c>
      <c r="B892" s="10" t="str">
        <f aca="false">INDEX('Site-uri'!$B$2:$B$20,MATCH(A892,'Site-uri'!$A$2:$A$20,0))</f>
        <v>eu-ai-ready.eu</v>
      </c>
      <c r="C892" s="10" t="s">
        <v>176</v>
      </c>
      <c r="D892" s="10" t="s">
        <v>231</v>
      </c>
      <c r="E892" s="10" t="str">
        <f aca="false">INDEX(Canale!$C$2:$C$30,MATCH(C892,Canale!$A$2:$A$30,0))</f>
        <v>github</v>
      </c>
      <c r="F892" s="10" t="str">
        <f aca="false">INDEX(Canale!$D$2:$D$30,MATCH(C892,Canale!$A$2:$A$30,0))</f>
        <v>referral</v>
      </c>
      <c r="G892" s="10" t="str">
        <f aca="false">INDEX('Site-uri'!$C$2:$C$20,MATCH(A892,'Site-uri'!$A$2:$A$20,0))</f>
        <v>/</v>
      </c>
      <c r="H892" s="10" t="str">
        <f aca="false">Config!$B$3</f>
        <v>2610_ff_lansare</v>
      </c>
      <c r="I892" s="10" t="str">
        <f aca="false">D892&amp;"_"&amp;Config!$B$4</f>
        <v>fierbinte_general</v>
      </c>
      <c r="J892" s="10" t="str">
        <f aca="false">"https://"&amp;B892&amp;G892&amp;"?utm_source="&amp;E892&amp;"&amp;utm_medium="&amp;F892&amp;"&amp;utm_campaign="&amp;H892&amp;"&amp;utm_content="&amp;I892</f>
        <v>https://eu-ai-ready.eu/?utm_source=github&amp;utm_medium=referral&amp;utm_campaign=2610_ff_lansare&amp;utm_content=fierbinte_general</v>
      </c>
    </row>
    <row r="893" customFormat="false" ht="15" hidden="false" customHeight="false" outlineLevel="0" collapsed="false">
      <c r="A893" s="10" t="s">
        <v>68</v>
      </c>
      <c r="B893" s="10" t="str">
        <f aca="false">INDEX('Site-uri'!$B$2:$B$20,MATCH(A893,'Site-uri'!$A$2:$A$20,0))</f>
        <v>eu-ai-ready.eu</v>
      </c>
      <c r="C893" s="10" t="s">
        <v>176</v>
      </c>
      <c r="D893" s="10" t="s">
        <v>237</v>
      </c>
      <c r="E893" s="10" t="str">
        <f aca="false">INDEX(Canale!$C$2:$C$30,MATCH(C893,Canale!$A$2:$A$30,0))</f>
        <v>github</v>
      </c>
      <c r="F893" s="10" t="str">
        <f aca="false">INDEX(Canale!$D$2:$D$30,MATCH(C893,Canale!$A$2:$A$30,0))</f>
        <v>referral</v>
      </c>
      <c r="G893" s="10" t="str">
        <f aca="false">INDEX('Site-uri'!$C$2:$C$20,MATCH(A893,'Site-uri'!$A$2:$A$20,0))</f>
        <v>/</v>
      </c>
      <c r="H893" s="10" t="str">
        <f aca="false">Config!$B$3</f>
        <v>2610_ff_lansare</v>
      </c>
      <c r="I893" s="10" t="str">
        <f aca="false">D893&amp;"_"&amp;Config!$B$4</f>
        <v>client_general</v>
      </c>
      <c r="J893" s="10" t="str">
        <f aca="false">"https://"&amp;B893&amp;G893&amp;"?utm_source="&amp;E893&amp;"&amp;utm_medium="&amp;F893&amp;"&amp;utm_campaign="&amp;H893&amp;"&amp;utm_content="&amp;I893</f>
        <v>https://eu-ai-ready.eu/?utm_source=github&amp;utm_medium=referral&amp;utm_campaign=2610_ff_lansare&amp;utm_content=client_general</v>
      </c>
    </row>
    <row r="894" customFormat="false" ht="15" hidden="false" customHeight="false" outlineLevel="0" collapsed="false">
      <c r="A894" s="10" t="s">
        <v>68</v>
      </c>
      <c r="B894" s="10" t="str">
        <f aca="false">INDEX('Site-uri'!$B$2:$B$20,MATCH(A894,'Site-uri'!$A$2:$A$20,0))</f>
        <v>eu-ai-ready.eu</v>
      </c>
      <c r="C894" s="10" t="s">
        <v>179</v>
      </c>
      <c r="D894" s="10" t="s">
        <v>219</v>
      </c>
      <c r="E894" s="10" t="str">
        <f aca="false">INDEX(Canale!$C$2:$C$30,MATCH(C894,Canale!$A$2:$A$30,0))</f>
        <v>kdp_book</v>
      </c>
      <c r="F894" s="10" t="str">
        <f aca="false">INDEX(Canale!$D$2:$D$30,MATCH(C894,Canale!$A$2:$A$30,0))</f>
        <v>book</v>
      </c>
      <c r="G894" s="10" t="str">
        <f aca="false">INDEX('Site-uri'!$C$2:$C$20,MATCH(A894,'Site-uri'!$A$2:$A$20,0))</f>
        <v>/</v>
      </c>
      <c r="H894" s="10" t="str">
        <f aca="false">Config!$B$3</f>
        <v>2610_ff_lansare</v>
      </c>
      <c r="I894" s="10" t="str">
        <f aca="false">D894&amp;"_"&amp;Config!$B$4</f>
        <v>rece_general</v>
      </c>
      <c r="J894" s="10" t="str">
        <f aca="false">"https://"&amp;B894&amp;G894&amp;"?utm_source="&amp;E894&amp;"&amp;utm_medium="&amp;F894&amp;"&amp;utm_campaign="&amp;H894&amp;"&amp;utm_content="&amp;I894</f>
        <v>https://eu-ai-ready.eu/?utm_source=kdp_book&amp;utm_medium=book&amp;utm_campaign=2610_ff_lansare&amp;utm_content=rece_general</v>
      </c>
    </row>
    <row r="895" customFormat="false" ht="15" hidden="false" customHeight="false" outlineLevel="0" collapsed="false">
      <c r="A895" s="10" t="s">
        <v>68</v>
      </c>
      <c r="B895" s="10" t="str">
        <f aca="false">INDEX('Site-uri'!$B$2:$B$20,MATCH(A895,'Site-uri'!$A$2:$A$20,0))</f>
        <v>eu-ai-ready.eu</v>
      </c>
      <c r="C895" s="10" t="s">
        <v>179</v>
      </c>
      <c r="D895" s="10" t="s">
        <v>225</v>
      </c>
      <c r="E895" s="10" t="str">
        <f aca="false">INDEX(Canale!$C$2:$C$30,MATCH(C895,Canale!$A$2:$A$30,0))</f>
        <v>kdp_book</v>
      </c>
      <c r="F895" s="10" t="str">
        <f aca="false">INDEX(Canale!$D$2:$D$30,MATCH(C895,Canale!$A$2:$A$30,0))</f>
        <v>book</v>
      </c>
      <c r="G895" s="10" t="str">
        <f aca="false">INDEX('Site-uri'!$C$2:$C$20,MATCH(A895,'Site-uri'!$A$2:$A$20,0))</f>
        <v>/</v>
      </c>
      <c r="H895" s="10" t="str">
        <f aca="false">Config!$B$3</f>
        <v>2610_ff_lansare</v>
      </c>
      <c r="I895" s="10" t="str">
        <f aca="false">D895&amp;"_"&amp;Config!$B$4</f>
        <v>cald_general</v>
      </c>
      <c r="J895" s="10" t="str">
        <f aca="false">"https://"&amp;B895&amp;G895&amp;"?utm_source="&amp;E895&amp;"&amp;utm_medium="&amp;F895&amp;"&amp;utm_campaign="&amp;H895&amp;"&amp;utm_content="&amp;I895</f>
        <v>https://eu-ai-ready.eu/?utm_source=kdp_book&amp;utm_medium=book&amp;utm_campaign=2610_ff_lansare&amp;utm_content=cald_general</v>
      </c>
    </row>
    <row r="896" customFormat="false" ht="15" hidden="false" customHeight="false" outlineLevel="0" collapsed="false">
      <c r="A896" s="10" t="s">
        <v>68</v>
      </c>
      <c r="B896" s="10" t="str">
        <f aca="false">INDEX('Site-uri'!$B$2:$B$20,MATCH(A896,'Site-uri'!$A$2:$A$20,0))</f>
        <v>eu-ai-ready.eu</v>
      </c>
      <c r="C896" s="10" t="s">
        <v>179</v>
      </c>
      <c r="D896" s="10" t="s">
        <v>231</v>
      </c>
      <c r="E896" s="10" t="str">
        <f aca="false">INDEX(Canale!$C$2:$C$30,MATCH(C896,Canale!$A$2:$A$30,0))</f>
        <v>kdp_book</v>
      </c>
      <c r="F896" s="10" t="str">
        <f aca="false">INDEX(Canale!$D$2:$D$30,MATCH(C896,Canale!$A$2:$A$30,0))</f>
        <v>book</v>
      </c>
      <c r="G896" s="10" t="str">
        <f aca="false">INDEX('Site-uri'!$C$2:$C$20,MATCH(A896,'Site-uri'!$A$2:$A$20,0))</f>
        <v>/</v>
      </c>
      <c r="H896" s="10" t="str">
        <f aca="false">Config!$B$3</f>
        <v>2610_ff_lansare</v>
      </c>
      <c r="I896" s="10" t="str">
        <f aca="false">D896&amp;"_"&amp;Config!$B$4</f>
        <v>fierbinte_general</v>
      </c>
      <c r="J896" s="10" t="str">
        <f aca="false">"https://"&amp;B896&amp;G896&amp;"?utm_source="&amp;E896&amp;"&amp;utm_medium="&amp;F896&amp;"&amp;utm_campaign="&amp;H896&amp;"&amp;utm_content="&amp;I896</f>
        <v>https://eu-ai-ready.eu/?utm_source=kdp_book&amp;utm_medium=book&amp;utm_campaign=2610_ff_lansare&amp;utm_content=fierbinte_general</v>
      </c>
    </row>
    <row r="897" customFormat="false" ht="15" hidden="false" customHeight="false" outlineLevel="0" collapsed="false">
      <c r="A897" s="10" t="s">
        <v>68</v>
      </c>
      <c r="B897" s="10" t="str">
        <f aca="false">INDEX('Site-uri'!$B$2:$B$20,MATCH(A897,'Site-uri'!$A$2:$A$20,0))</f>
        <v>eu-ai-ready.eu</v>
      </c>
      <c r="C897" s="10" t="s">
        <v>179</v>
      </c>
      <c r="D897" s="10" t="s">
        <v>237</v>
      </c>
      <c r="E897" s="10" t="str">
        <f aca="false">INDEX(Canale!$C$2:$C$30,MATCH(C897,Canale!$A$2:$A$30,0))</f>
        <v>kdp_book</v>
      </c>
      <c r="F897" s="10" t="str">
        <f aca="false">INDEX(Canale!$D$2:$D$30,MATCH(C897,Canale!$A$2:$A$30,0))</f>
        <v>book</v>
      </c>
      <c r="G897" s="10" t="str">
        <f aca="false">INDEX('Site-uri'!$C$2:$C$20,MATCH(A897,'Site-uri'!$A$2:$A$20,0))</f>
        <v>/</v>
      </c>
      <c r="H897" s="10" t="str">
        <f aca="false">Config!$B$3</f>
        <v>2610_ff_lansare</v>
      </c>
      <c r="I897" s="10" t="str">
        <f aca="false">D897&amp;"_"&amp;Config!$B$4</f>
        <v>client_general</v>
      </c>
      <c r="J897" s="10" t="str">
        <f aca="false">"https://"&amp;B897&amp;G897&amp;"?utm_source="&amp;E897&amp;"&amp;utm_medium="&amp;F897&amp;"&amp;utm_campaign="&amp;H897&amp;"&amp;utm_content="&amp;I897</f>
        <v>https://eu-ai-ready.eu/?utm_source=kdp_book&amp;utm_medium=book&amp;utm_campaign=2610_ff_lansare&amp;utm_content=client_general</v>
      </c>
    </row>
    <row r="898" customFormat="false" ht="15" hidden="false" customHeight="false" outlineLevel="0" collapsed="false">
      <c r="A898" s="10" t="s">
        <v>68</v>
      </c>
      <c r="B898" s="10" t="str">
        <f aca="false">INDEX('Site-uri'!$B$2:$B$20,MATCH(A898,'Site-uri'!$A$2:$A$20,0))</f>
        <v>eu-ai-ready.eu</v>
      </c>
      <c r="C898" s="10" t="s">
        <v>184</v>
      </c>
      <c r="D898" s="10" t="s">
        <v>219</v>
      </c>
      <c r="E898" s="10" t="str">
        <f aca="false">INDEX(Canale!$C$2:$C$30,MATCH(C898,Canale!$A$2:$A$30,0))</f>
        <v>udemy</v>
      </c>
      <c r="F898" s="10" t="str">
        <f aca="false">INDEX(Canale!$D$2:$D$30,MATCH(C898,Canale!$A$2:$A$30,0))</f>
        <v>course</v>
      </c>
      <c r="G898" s="10" t="str">
        <f aca="false">INDEX('Site-uri'!$C$2:$C$20,MATCH(A898,'Site-uri'!$A$2:$A$20,0))</f>
        <v>/</v>
      </c>
      <c r="H898" s="10" t="str">
        <f aca="false">Config!$B$3</f>
        <v>2610_ff_lansare</v>
      </c>
      <c r="I898" s="10" t="str">
        <f aca="false">D898&amp;"_"&amp;Config!$B$4</f>
        <v>rece_general</v>
      </c>
      <c r="J898" s="10" t="str">
        <f aca="false">"https://"&amp;B898&amp;G898&amp;"?utm_source="&amp;E898&amp;"&amp;utm_medium="&amp;F898&amp;"&amp;utm_campaign="&amp;H898&amp;"&amp;utm_content="&amp;I898</f>
        <v>https://eu-ai-ready.eu/?utm_source=udemy&amp;utm_medium=course&amp;utm_campaign=2610_ff_lansare&amp;utm_content=rece_general</v>
      </c>
    </row>
    <row r="899" customFormat="false" ht="15" hidden="false" customHeight="false" outlineLevel="0" collapsed="false">
      <c r="A899" s="10" t="s">
        <v>68</v>
      </c>
      <c r="B899" s="10" t="str">
        <f aca="false">INDEX('Site-uri'!$B$2:$B$20,MATCH(A899,'Site-uri'!$A$2:$A$20,0))</f>
        <v>eu-ai-ready.eu</v>
      </c>
      <c r="C899" s="10" t="s">
        <v>184</v>
      </c>
      <c r="D899" s="10" t="s">
        <v>225</v>
      </c>
      <c r="E899" s="10" t="str">
        <f aca="false">INDEX(Canale!$C$2:$C$30,MATCH(C899,Canale!$A$2:$A$30,0))</f>
        <v>udemy</v>
      </c>
      <c r="F899" s="10" t="str">
        <f aca="false">INDEX(Canale!$D$2:$D$30,MATCH(C899,Canale!$A$2:$A$30,0))</f>
        <v>course</v>
      </c>
      <c r="G899" s="10" t="str">
        <f aca="false">INDEX('Site-uri'!$C$2:$C$20,MATCH(A899,'Site-uri'!$A$2:$A$20,0))</f>
        <v>/</v>
      </c>
      <c r="H899" s="10" t="str">
        <f aca="false">Config!$B$3</f>
        <v>2610_ff_lansare</v>
      </c>
      <c r="I899" s="10" t="str">
        <f aca="false">D899&amp;"_"&amp;Config!$B$4</f>
        <v>cald_general</v>
      </c>
      <c r="J899" s="10" t="str">
        <f aca="false">"https://"&amp;B899&amp;G899&amp;"?utm_source="&amp;E899&amp;"&amp;utm_medium="&amp;F899&amp;"&amp;utm_campaign="&amp;H899&amp;"&amp;utm_content="&amp;I899</f>
        <v>https://eu-ai-ready.eu/?utm_source=udemy&amp;utm_medium=course&amp;utm_campaign=2610_ff_lansare&amp;utm_content=cald_general</v>
      </c>
    </row>
    <row r="900" customFormat="false" ht="15" hidden="false" customHeight="false" outlineLevel="0" collapsed="false">
      <c r="A900" s="10" t="s">
        <v>68</v>
      </c>
      <c r="B900" s="10" t="str">
        <f aca="false">INDEX('Site-uri'!$B$2:$B$20,MATCH(A900,'Site-uri'!$A$2:$A$20,0))</f>
        <v>eu-ai-ready.eu</v>
      </c>
      <c r="C900" s="10" t="s">
        <v>184</v>
      </c>
      <c r="D900" s="10" t="s">
        <v>231</v>
      </c>
      <c r="E900" s="10" t="str">
        <f aca="false">INDEX(Canale!$C$2:$C$30,MATCH(C900,Canale!$A$2:$A$30,0))</f>
        <v>udemy</v>
      </c>
      <c r="F900" s="10" t="str">
        <f aca="false">INDEX(Canale!$D$2:$D$30,MATCH(C900,Canale!$A$2:$A$30,0))</f>
        <v>course</v>
      </c>
      <c r="G900" s="10" t="str">
        <f aca="false">INDEX('Site-uri'!$C$2:$C$20,MATCH(A900,'Site-uri'!$A$2:$A$20,0))</f>
        <v>/</v>
      </c>
      <c r="H900" s="10" t="str">
        <f aca="false">Config!$B$3</f>
        <v>2610_ff_lansare</v>
      </c>
      <c r="I900" s="10" t="str">
        <f aca="false">D900&amp;"_"&amp;Config!$B$4</f>
        <v>fierbinte_general</v>
      </c>
      <c r="J900" s="10" t="str">
        <f aca="false">"https://"&amp;B900&amp;G900&amp;"?utm_source="&amp;E900&amp;"&amp;utm_medium="&amp;F900&amp;"&amp;utm_campaign="&amp;H900&amp;"&amp;utm_content="&amp;I900</f>
        <v>https://eu-ai-ready.eu/?utm_source=udemy&amp;utm_medium=course&amp;utm_campaign=2610_ff_lansare&amp;utm_content=fierbinte_general</v>
      </c>
    </row>
    <row r="901" customFormat="false" ht="15" hidden="false" customHeight="false" outlineLevel="0" collapsed="false">
      <c r="A901" s="10" t="s">
        <v>68</v>
      </c>
      <c r="B901" s="10" t="str">
        <f aca="false">INDEX('Site-uri'!$B$2:$B$20,MATCH(A901,'Site-uri'!$A$2:$A$20,0))</f>
        <v>eu-ai-ready.eu</v>
      </c>
      <c r="C901" s="10" t="s">
        <v>184</v>
      </c>
      <c r="D901" s="10" t="s">
        <v>237</v>
      </c>
      <c r="E901" s="10" t="str">
        <f aca="false">INDEX(Canale!$C$2:$C$30,MATCH(C901,Canale!$A$2:$A$30,0))</f>
        <v>udemy</v>
      </c>
      <c r="F901" s="10" t="str">
        <f aca="false">INDEX(Canale!$D$2:$D$30,MATCH(C901,Canale!$A$2:$A$30,0))</f>
        <v>course</v>
      </c>
      <c r="G901" s="10" t="str">
        <f aca="false">INDEX('Site-uri'!$C$2:$C$20,MATCH(A901,'Site-uri'!$A$2:$A$20,0))</f>
        <v>/</v>
      </c>
      <c r="H901" s="10" t="str">
        <f aca="false">Config!$B$3</f>
        <v>2610_ff_lansare</v>
      </c>
      <c r="I901" s="10" t="str">
        <f aca="false">D901&amp;"_"&amp;Config!$B$4</f>
        <v>client_general</v>
      </c>
      <c r="J901" s="10" t="str">
        <f aca="false">"https://"&amp;B901&amp;G901&amp;"?utm_source="&amp;E901&amp;"&amp;utm_medium="&amp;F901&amp;"&amp;utm_campaign="&amp;H901&amp;"&amp;utm_content="&amp;I901</f>
        <v>https://eu-ai-ready.eu/?utm_source=udemy&amp;utm_medium=course&amp;utm_campaign=2610_ff_lansare&amp;utm_content=client_general</v>
      </c>
    </row>
    <row r="902" customFormat="false" ht="15" hidden="false" customHeight="false" outlineLevel="0" collapsed="false">
      <c r="A902" s="10" t="s">
        <v>68</v>
      </c>
      <c r="B902" s="10" t="str">
        <f aca="false">INDEX('Site-uri'!$B$2:$B$20,MATCH(A902,'Site-uri'!$A$2:$A$20,0))</f>
        <v>eu-ai-ready.eu</v>
      </c>
      <c r="C902" s="10" t="s">
        <v>187</v>
      </c>
      <c r="D902" s="10" t="s">
        <v>219</v>
      </c>
      <c r="E902" s="10" t="str">
        <f aca="false">INDEX(Canale!$C$2:$C$30,MATCH(C902,Canale!$A$2:$A$30,0))</f>
        <v>directory</v>
      </c>
      <c r="F902" s="10" t="str">
        <f aca="false">INDEX(Canale!$D$2:$D$30,MATCH(C902,Canale!$A$2:$A$30,0))</f>
        <v>referral</v>
      </c>
      <c r="G902" s="10" t="str">
        <f aca="false">INDEX('Site-uri'!$C$2:$C$20,MATCH(A902,'Site-uri'!$A$2:$A$20,0))</f>
        <v>/</v>
      </c>
      <c r="H902" s="10" t="str">
        <f aca="false">Config!$B$3</f>
        <v>2610_ff_lansare</v>
      </c>
      <c r="I902" s="10" t="str">
        <f aca="false">D902&amp;"_"&amp;Config!$B$4</f>
        <v>rece_general</v>
      </c>
      <c r="J902" s="10" t="str">
        <f aca="false">"https://"&amp;B902&amp;G902&amp;"?utm_source="&amp;E902&amp;"&amp;utm_medium="&amp;F902&amp;"&amp;utm_campaign="&amp;H902&amp;"&amp;utm_content="&amp;I902</f>
        <v>https://eu-ai-ready.eu/?utm_source=directory&amp;utm_medium=referral&amp;utm_campaign=2610_ff_lansare&amp;utm_content=rece_general</v>
      </c>
    </row>
    <row r="903" customFormat="false" ht="15" hidden="false" customHeight="false" outlineLevel="0" collapsed="false">
      <c r="A903" s="10" t="s">
        <v>68</v>
      </c>
      <c r="B903" s="10" t="str">
        <f aca="false">INDEX('Site-uri'!$B$2:$B$20,MATCH(A903,'Site-uri'!$A$2:$A$20,0))</f>
        <v>eu-ai-ready.eu</v>
      </c>
      <c r="C903" s="10" t="s">
        <v>187</v>
      </c>
      <c r="D903" s="10" t="s">
        <v>225</v>
      </c>
      <c r="E903" s="10" t="str">
        <f aca="false">INDEX(Canale!$C$2:$C$30,MATCH(C903,Canale!$A$2:$A$30,0))</f>
        <v>directory</v>
      </c>
      <c r="F903" s="10" t="str">
        <f aca="false">INDEX(Canale!$D$2:$D$30,MATCH(C903,Canale!$A$2:$A$30,0))</f>
        <v>referral</v>
      </c>
      <c r="G903" s="10" t="str">
        <f aca="false">INDEX('Site-uri'!$C$2:$C$20,MATCH(A903,'Site-uri'!$A$2:$A$20,0))</f>
        <v>/</v>
      </c>
      <c r="H903" s="10" t="str">
        <f aca="false">Config!$B$3</f>
        <v>2610_ff_lansare</v>
      </c>
      <c r="I903" s="10" t="str">
        <f aca="false">D903&amp;"_"&amp;Config!$B$4</f>
        <v>cald_general</v>
      </c>
      <c r="J903" s="10" t="str">
        <f aca="false">"https://"&amp;B903&amp;G903&amp;"?utm_source="&amp;E903&amp;"&amp;utm_medium="&amp;F903&amp;"&amp;utm_campaign="&amp;H903&amp;"&amp;utm_content="&amp;I903</f>
        <v>https://eu-ai-ready.eu/?utm_source=directory&amp;utm_medium=referral&amp;utm_campaign=2610_ff_lansare&amp;utm_content=cald_general</v>
      </c>
    </row>
    <row r="904" customFormat="false" ht="15" hidden="false" customHeight="false" outlineLevel="0" collapsed="false">
      <c r="A904" s="10" t="s">
        <v>68</v>
      </c>
      <c r="B904" s="10" t="str">
        <f aca="false">INDEX('Site-uri'!$B$2:$B$20,MATCH(A904,'Site-uri'!$A$2:$A$20,0))</f>
        <v>eu-ai-ready.eu</v>
      </c>
      <c r="C904" s="10" t="s">
        <v>187</v>
      </c>
      <c r="D904" s="10" t="s">
        <v>231</v>
      </c>
      <c r="E904" s="10" t="str">
        <f aca="false">INDEX(Canale!$C$2:$C$30,MATCH(C904,Canale!$A$2:$A$30,0))</f>
        <v>directory</v>
      </c>
      <c r="F904" s="10" t="str">
        <f aca="false">INDEX(Canale!$D$2:$D$30,MATCH(C904,Canale!$A$2:$A$30,0))</f>
        <v>referral</v>
      </c>
      <c r="G904" s="10" t="str">
        <f aca="false">INDEX('Site-uri'!$C$2:$C$20,MATCH(A904,'Site-uri'!$A$2:$A$20,0))</f>
        <v>/</v>
      </c>
      <c r="H904" s="10" t="str">
        <f aca="false">Config!$B$3</f>
        <v>2610_ff_lansare</v>
      </c>
      <c r="I904" s="10" t="str">
        <f aca="false">D904&amp;"_"&amp;Config!$B$4</f>
        <v>fierbinte_general</v>
      </c>
      <c r="J904" s="10" t="str">
        <f aca="false">"https://"&amp;B904&amp;G904&amp;"?utm_source="&amp;E904&amp;"&amp;utm_medium="&amp;F904&amp;"&amp;utm_campaign="&amp;H904&amp;"&amp;utm_content="&amp;I904</f>
        <v>https://eu-ai-ready.eu/?utm_source=directory&amp;utm_medium=referral&amp;utm_campaign=2610_ff_lansare&amp;utm_content=fierbinte_general</v>
      </c>
    </row>
    <row r="905" customFormat="false" ht="15" hidden="false" customHeight="false" outlineLevel="0" collapsed="false">
      <c r="A905" s="10" t="s">
        <v>68</v>
      </c>
      <c r="B905" s="10" t="str">
        <f aca="false">INDEX('Site-uri'!$B$2:$B$20,MATCH(A905,'Site-uri'!$A$2:$A$20,0))</f>
        <v>eu-ai-ready.eu</v>
      </c>
      <c r="C905" s="10" t="s">
        <v>187</v>
      </c>
      <c r="D905" s="10" t="s">
        <v>237</v>
      </c>
      <c r="E905" s="10" t="str">
        <f aca="false">INDEX(Canale!$C$2:$C$30,MATCH(C905,Canale!$A$2:$A$30,0))</f>
        <v>directory</v>
      </c>
      <c r="F905" s="10" t="str">
        <f aca="false">INDEX(Canale!$D$2:$D$30,MATCH(C905,Canale!$A$2:$A$30,0))</f>
        <v>referral</v>
      </c>
      <c r="G905" s="10" t="str">
        <f aca="false">INDEX('Site-uri'!$C$2:$C$20,MATCH(A905,'Site-uri'!$A$2:$A$20,0))</f>
        <v>/</v>
      </c>
      <c r="H905" s="10" t="str">
        <f aca="false">Config!$B$3</f>
        <v>2610_ff_lansare</v>
      </c>
      <c r="I905" s="10" t="str">
        <f aca="false">D905&amp;"_"&amp;Config!$B$4</f>
        <v>client_general</v>
      </c>
      <c r="J905" s="10" t="str">
        <f aca="false">"https://"&amp;B905&amp;G905&amp;"?utm_source="&amp;E905&amp;"&amp;utm_medium="&amp;F905&amp;"&amp;utm_campaign="&amp;H905&amp;"&amp;utm_content="&amp;I905</f>
        <v>https://eu-ai-ready.eu/?utm_source=directory&amp;utm_medium=referral&amp;utm_campaign=2610_ff_lansare&amp;utm_content=client_general</v>
      </c>
    </row>
    <row r="906" customFormat="false" ht="15" hidden="false" customHeight="false" outlineLevel="0" collapsed="false">
      <c r="A906" s="10" t="s">
        <v>68</v>
      </c>
      <c r="B906" s="10" t="str">
        <f aca="false">INDEX('Site-uri'!$B$2:$B$20,MATCH(A906,'Site-uri'!$A$2:$A$20,0))</f>
        <v>eu-ai-ready.eu</v>
      </c>
      <c r="C906" s="10" t="s">
        <v>191</v>
      </c>
      <c r="D906" s="10" t="s">
        <v>219</v>
      </c>
      <c r="E906" s="10" t="str">
        <f aca="false">INDEX(Canale!$C$2:$C$30,MATCH(C906,Canale!$A$2:$A$30,0))</f>
        <v>partner</v>
      </c>
      <c r="F906" s="10" t="str">
        <f aca="false">INDEX(Canale!$D$2:$D$30,MATCH(C906,Canale!$A$2:$A$30,0))</f>
        <v>partner</v>
      </c>
      <c r="G906" s="10" t="str">
        <f aca="false">INDEX('Site-uri'!$C$2:$C$20,MATCH(A906,'Site-uri'!$A$2:$A$20,0))</f>
        <v>/</v>
      </c>
      <c r="H906" s="10" t="str">
        <f aca="false">Config!$B$3</f>
        <v>2610_ff_lansare</v>
      </c>
      <c r="I906" s="10" t="str">
        <f aca="false">D906&amp;"_"&amp;Config!$B$4</f>
        <v>rece_general</v>
      </c>
      <c r="J906" s="10" t="str">
        <f aca="false">"https://"&amp;B906&amp;G906&amp;"?utm_source="&amp;E906&amp;"&amp;utm_medium="&amp;F906&amp;"&amp;utm_campaign="&amp;H906&amp;"&amp;utm_content="&amp;I906</f>
        <v>https://eu-ai-ready.eu/?utm_source=partner&amp;utm_medium=partner&amp;utm_campaign=2610_ff_lansare&amp;utm_content=rece_general</v>
      </c>
    </row>
    <row r="907" customFormat="false" ht="15" hidden="false" customHeight="false" outlineLevel="0" collapsed="false">
      <c r="A907" s="10" t="s">
        <v>68</v>
      </c>
      <c r="B907" s="10" t="str">
        <f aca="false">INDEX('Site-uri'!$B$2:$B$20,MATCH(A907,'Site-uri'!$A$2:$A$20,0))</f>
        <v>eu-ai-ready.eu</v>
      </c>
      <c r="C907" s="10" t="s">
        <v>191</v>
      </c>
      <c r="D907" s="10" t="s">
        <v>225</v>
      </c>
      <c r="E907" s="10" t="str">
        <f aca="false">INDEX(Canale!$C$2:$C$30,MATCH(C907,Canale!$A$2:$A$30,0))</f>
        <v>partner</v>
      </c>
      <c r="F907" s="10" t="str">
        <f aca="false">INDEX(Canale!$D$2:$D$30,MATCH(C907,Canale!$A$2:$A$30,0))</f>
        <v>partner</v>
      </c>
      <c r="G907" s="10" t="str">
        <f aca="false">INDEX('Site-uri'!$C$2:$C$20,MATCH(A907,'Site-uri'!$A$2:$A$20,0))</f>
        <v>/</v>
      </c>
      <c r="H907" s="10" t="str">
        <f aca="false">Config!$B$3</f>
        <v>2610_ff_lansare</v>
      </c>
      <c r="I907" s="10" t="str">
        <f aca="false">D907&amp;"_"&amp;Config!$B$4</f>
        <v>cald_general</v>
      </c>
      <c r="J907" s="10" t="str">
        <f aca="false">"https://"&amp;B907&amp;G907&amp;"?utm_source="&amp;E907&amp;"&amp;utm_medium="&amp;F907&amp;"&amp;utm_campaign="&amp;H907&amp;"&amp;utm_content="&amp;I907</f>
        <v>https://eu-ai-ready.eu/?utm_source=partner&amp;utm_medium=partner&amp;utm_campaign=2610_ff_lansare&amp;utm_content=cald_general</v>
      </c>
    </row>
    <row r="908" customFormat="false" ht="15" hidden="false" customHeight="false" outlineLevel="0" collapsed="false">
      <c r="A908" s="10" t="s">
        <v>68</v>
      </c>
      <c r="B908" s="10" t="str">
        <f aca="false">INDEX('Site-uri'!$B$2:$B$20,MATCH(A908,'Site-uri'!$A$2:$A$20,0))</f>
        <v>eu-ai-ready.eu</v>
      </c>
      <c r="C908" s="10" t="s">
        <v>191</v>
      </c>
      <c r="D908" s="10" t="s">
        <v>231</v>
      </c>
      <c r="E908" s="10" t="str">
        <f aca="false">INDEX(Canale!$C$2:$C$30,MATCH(C908,Canale!$A$2:$A$30,0))</f>
        <v>partner</v>
      </c>
      <c r="F908" s="10" t="str">
        <f aca="false">INDEX(Canale!$D$2:$D$30,MATCH(C908,Canale!$A$2:$A$30,0))</f>
        <v>partner</v>
      </c>
      <c r="G908" s="10" t="str">
        <f aca="false">INDEX('Site-uri'!$C$2:$C$20,MATCH(A908,'Site-uri'!$A$2:$A$20,0))</f>
        <v>/</v>
      </c>
      <c r="H908" s="10" t="str">
        <f aca="false">Config!$B$3</f>
        <v>2610_ff_lansare</v>
      </c>
      <c r="I908" s="10" t="str">
        <f aca="false">D908&amp;"_"&amp;Config!$B$4</f>
        <v>fierbinte_general</v>
      </c>
      <c r="J908" s="10" t="str">
        <f aca="false">"https://"&amp;B908&amp;G908&amp;"?utm_source="&amp;E908&amp;"&amp;utm_medium="&amp;F908&amp;"&amp;utm_campaign="&amp;H908&amp;"&amp;utm_content="&amp;I908</f>
        <v>https://eu-ai-ready.eu/?utm_source=partner&amp;utm_medium=partner&amp;utm_campaign=2610_ff_lansare&amp;utm_content=fierbinte_general</v>
      </c>
    </row>
    <row r="909" customFormat="false" ht="15" hidden="false" customHeight="false" outlineLevel="0" collapsed="false">
      <c r="A909" s="10" t="s">
        <v>68</v>
      </c>
      <c r="B909" s="10" t="str">
        <f aca="false">INDEX('Site-uri'!$B$2:$B$20,MATCH(A909,'Site-uri'!$A$2:$A$20,0))</f>
        <v>eu-ai-ready.eu</v>
      </c>
      <c r="C909" s="10" t="s">
        <v>191</v>
      </c>
      <c r="D909" s="10" t="s">
        <v>237</v>
      </c>
      <c r="E909" s="10" t="str">
        <f aca="false">INDEX(Canale!$C$2:$C$30,MATCH(C909,Canale!$A$2:$A$30,0))</f>
        <v>partner</v>
      </c>
      <c r="F909" s="10" t="str">
        <f aca="false">INDEX(Canale!$D$2:$D$30,MATCH(C909,Canale!$A$2:$A$30,0))</f>
        <v>partner</v>
      </c>
      <c r="G909" s="10" t="str">
        <f aca="false">INDEX('Site-uri'!$C$2:$C$20,MATCH(A909,'Site-uri'!$A$2:$A$20,0))</f>
        <v>/</v>
      </c>
      <c r="H909" s="10" t="str">
        <f aca="false">Config!$B$3</f>
        <v>2610_ff_lansare</v>
      </c>
      <c r="I909" s="10" t="str">
        <f aca="false">D909&amp;"_"&amp;Config!$B$4</f>
        <v>client_general</v>
      </c>
      <c r="J909" s="10" t="str">
        <f aca="false">"https://"&amp;B909&amp;G909&amp;"?utm_source="&amp;E909&amp;"&amp;utm_medium="&amp;F909&amp;"&amp;utm_campaign="&amp;H909&amp;"&amp;utm_content="&amp;I909</f>
        <v>https://eu-ai-ready.eu/?utm_source=partner&amp;utm_medium=partner&amp;utm_campaign=2610_ff_lansare&amp;utm_content=client_general</v>
      </c>
    </row>
    <row r="910" customFormat="false" ht="15" hidden="false" customHeight="false" outlineLevel="0" collapsed="false">
      <c r="A910" s="10" t="s">
        <v>68</v>
      </c>
      <c r="B910" s="10" t="str">
        <f aca="false">INDEX('Site-uri'!$B$2:$B$20,MATCH(A910,'Site-uri'!$A$2:$A$20,0))</f>
        <v>eu-ai-ready.eu</v>
      </c>
      <c r="C910" s="10" t="s">
        <v>193</v>
      </c>
      <c r="D910" s="10" t="s">
        <v>219</v>
      </c>
      <c r="E910" s="10" t="str">
        <f aca="false">INDEX(Canale!$C$2:$C$30,MATCH(C910,Canale!$A$2:$A$30,0))</f>
        <v>pdf_proposal</v>
      </c>
      <c r="F910" s="10" t="str">
        <f aca="false">INDEX(Canale!$D$2:$D$30,MATCH(C910,Canale!$A$2:$A$30,0))</f>
        <v>document</v>
      </c>
      <c r="G910" s="10" t="str">
        <f aca="false">INDEX('Site-uri'!$C$2:$C$20,MATCH(A910,'Site-uri'!$A$2:$A$20,0))</f>
        <v>/</v>
      </c>
      <c r="H910" s="10" t="str">
        <f aca="false">Config!$B$3</f>
        <v>2610_ff_lansare</v>
      </c>
      <c r="I910" s="10" t="str">
        <f aca="false">D910&amp;"_"&amp;Config!$B$4</f>
        <v>rece_general</v>
      </c>
      <c r="J910" s="10" t="str">
        <f aca="false">"https://"&amp;B910&amp;G910&amp;"?utm_source="&amp;E910&amp;"&amp;utm_medium="&amp;F910&amp;"&amp;utm_campaign="&amp;H910&amp;"&amp;utm_content="&amp;I910</f>
        <v>https://eu-ai-ready.eu/?utm_source=pdf_proposal&amp;utm_medium=document&amp;utm_campaign=2610_ff_lansare&amp;utm_content=rece_general</v>
      </c>
    </row>
    <row r="911" customFormat="false" ht="15" hidden="false" customHeight="false" outlineLevel="0" collapsed="false">
      <c r="A911" s="10" t="s">
        <v>68</v>
      </c>
      <c r="B911" s="10" t="str">
        <f aca="false">INDEX('Site-uri'!$B$2:$B$20,MATCH(A911,'Site-uri'!$A$2:$A$20,0))</f>
        <v>eu-ai-ready.eu</v>
      </c>
      <c r="C911" s="10" t="s">
        <v>193</v>
      </c>
      <c r="D911" s="10" t="s">
        <v>225</v>
      </c>
      <c r="E911" s="10" t="str">
        <f aca="false">INDEX(Canale!$C$2:$C$30,MATCH(C911,Canale!$A$2:$A$30,0))</f>
        <v>pdf_proposal</v>
      </c>
      <c r="F911" s="10" t="str">
        <f aca="false">INDEX(Canale!$D$2:$D$30,MATCH(C911,Canale!$A$2:$A$30,0))</f>
        <v>document</v>
      </c>
      <c r="G911" s="10" t="str">
        <f aca="false">INDEX('Site-uri'!$C$2:$C$20,MATCH(A911,'Site-uri'!$A$2:$A$20,0))</f>
        <v>/</v>
      </c>
      <c r="H911" s="10" t="str">
        <f aca="false">Config!$B$3</f>
        <v>2610_ff_lansare</v>
      </c>
      <c r="I911" s="10" t="str">
        <f aca="false">D911&amp;"_"&amp;Config!$B$4</f>
        <v>cald_general</v>
      </c>
      <c r="J911" s="10" t="str">
        <f aca="false">"https://"&amp;B911&amp;G911&amp;"?utm_source="&amp;E911&amp;"&amp;utm_medium="&amp;F911&amp;"&amp;utm_campaign="&amp;H911&amp;"&amp;utm_content="&amp;I911</f>
        <v>https://eu-ai-ready.eu/?utm_source=pdf_proposal&amp;utm_medium=document&amp;utm_campaign=2610_ff_lansare&amp;utm_content=cald_general</v>
      </c>
    </row>
    <row r="912" customFormat="false" ht="15" hidden="false" customHeight="false" outlineLevel="0" collapsed="false">
      <c r="A912" s="10" t="s">
        <v>68</v>
      </c>
      <c r="B912" s="10" t="str">
        <f aca="false">INDEX('Site-uri'!$B$2:$B$20,MATCH(A912,'Site-uri'!$A$2:$A$20,0))</f>
        <v>eu-ai-ready.eu</v>
      </c>
      <c r="C912" s="10" t="s">
        <v>193</v>
      </c>
      <c r="D912" s="10" t="s">
        <v>231</v>
      </c>
      <c r="E912" s="10" t="str">
        <f aca="false">INDEX(Canale!$C$2:$C$30,MATCH(C912,Canale!$A$2:$A$30,0))</f>
        <v>pdf_proposal</v>
      </c>
      <c r="F912" s="10" t="str">
        <f aca="false">INDEX(Canale!$D$2:$D$30,MATCH(C912,Canale!$A$2:$A$30,0))</f>
        <v>document</v>
      </c>
      <c r="G912" s="10" t="str">
        <f aca="false">INDEX('Site-uri'!$C$2:$C$20,MATCH(A912,'Site-uri'!$A$2:$A$20,0))</f>
        <v>/</v>
      </c>
      <c r="H912" s="10" t="str">
        <f aca="false">Config!$B$3</f>
        <v>2610_ff_lansare</v>
      </c>
      <c r="I912" s="10" t="str">
        <f aca="false">D912&amp;"_"&amp;Config!$B$4</f>
        <v>fierbinte_general</v>
      </c>
      <c r="J912" s="10" t="str">
        <f aca="false">"https://"&amp;B912&amp;G912&amp;"?utm_source="&amp;E912&amp;"&amp;utm_medium="&amp;F912&amp;"&amp;utm_campaign="&amp;H912&amp;"&amp;utm_content="&amp;I912</f>
        <v>https://eu-ai-ready.eu/?utm_source=pdf_proposal&amp;utm_medium=document&amp;utm_campaign=2610_ff_lansare&amp;utm_content=fierbinte_general</v>
      </c>
    </row>
    <row r="913" customFormat="false" ht="15" hidden="false" customHeight="false" outlineLevel="0" collapsed="false">
      <c r="A913" s="10" t="s">
        <v>68</v>
      </c>
      <c r="B913" s="10" t="str">
        <f aca="false">INDEX('Site-uri'!$B$2:$B$20,MATCH(A913,'Site-uri'!$A$2:$A$20,0))</f>
        <v>eu-ai-ready.eu</v>
      </c>
      <c r="C913" s="10" t="s">
        <v>193</v>
      </c>
      <c r="D913" s="10" t="s">
        <v>237</v>
      </c>
      <c r="E913" s="10" t="str">
        <f aca="false">INDEX(Canale!$C$2:$C$30,MATCH(C913,Canale!$A$2:$A$30,0))</f>
        <v>pdf_proposal</v>
      </c>
      <c r="F913" s="10" t="str">
        <f aca="false">INDEX(Canale!$D$2:$D$30,MATCH(C913,Canale!$A$2:$A$30,0))</f>
        <v>document</v>
      </c>
      <c r="G913" s="10" t="str">
        <f aca="false">INDEX('Site-uri'!$C$2:$C$20,MATCH(A913,'Site-uri'!$A$2:$A$20,0))</f>
        <v>/</v>
      </c>
      <c r="H913" s="10" t="str">
        <f aca="false">Config!$B$3</f>
        <v>2610_ff_lansare</v>
      </c>
      <c r="I913" s="10" t="str">
        <f aca="false">D913&amp;"_"&amp;Config!$B$4</f>
        <v>client_general</v>
      </c>
      <c r="J913" s="10" t="str">
        <f aca="false">"https://"&amp;B913&amp;G913&amp;"?utm_source="&amp;E913&amp;"&amp;utm_medium="&amp;F913&amp;"&amp;utm_campaign="&amp;H913&amp;"&amp;utm_content="&amp;I913</f>
        <v>https://eu-ai-ready.eu/?utm_source=pdf_proposal&amp;utm_medium=document&amp;utm_campaign=2610_ff_lansare&amp;utm_content=client_general</v>
      </c>
    </row>
    <row r="914" customFormat="false" ht="15" hidden="false" customHeight="false" outlineLevel="0" collapsed="false">
      <c r="A914" s="10" t="s">
        <v>68</v>
      </c>
      <c r="B914" s="10" t="str">
        <f aca="false">INDEX('Site-uri'!$B$2:$B$20,MATCH(A914,'Site-uri'!$A$2:$A$20,0))</f>
        <v>eu-ai-ready.eu</v>
      </c>
      <c r="C914" s="10" t="s">
        <v>198</v>
      </c>
      <c r="D914" s="10" t="s">
        <v>219</v>
      </c>
      <c r="E914" s="10" t="str">
        <f aca="false">INDEX(Canale!$C$2:$C$30,MATCH(C914,Canale!$A$2:$A$30,0))</f>
        <v>qr_print</v>
      </c>
      <c r="F914" s="10" t="str">
        <f aca="false">INDEX(Canale!$D$2:$D$30,MATCH(C914,Canale!$A$2:$A$30,0))</f>
        <v>qr</v>
      </c>
      <c r="G914" s="10" t="str">
        <f aca="false">INDEX('Site-uri'!$C$2:$C$20,MATCH(A914,'Site-uri'!$A$2:$A$20,0))</f>
        <v>/</v>
      </c>
      <c r="H914" s="10" t="str">
        <f aca="false">Config!$B$3</f>
        <v>2610_ff_lansare</v>
      </c>
      <c r="I914" s="10" t="str">
        <f aca="false">D914&amp;"_"&amp;Config!$B$4</f>
        <v>rece_general</v>
      </c>
      <c r="J914" s="10" t="str">
        <f aca="false">"https://"&amp;B914&amp;G914&amp;"?utm_source="&amp;E914&amp;"&amp;utm_medium="&amp;F914&amp;"&amp;utm_campaign="&amp;H914&amp;"&amp;utm_content="&amp;I914</f>
        <v>https://eu-ai-ready.eu/?utm_source=qr_print&amp;utm_medium=qr&amp;utm_campaign=2610_ff_lansare&amp;utm_content=rece_general</v>
      </c>
    </row>
    <row r="915" customFormat="false" ht="15" hidden="false" customHeight="false" outlineLevel="0" collapsed="false">
      <c r="A915" s="10" t="s">
        <v>68</v>
      </c>
      <c r="B915" s="10" t="str">
        <f aca="false">INDEX('Site-uri'!$B$2:$B$20,MATCH(A915,'Site-uri'!$A$2:$A$20,0))</f>
        <v>eu-ai-ready.eu</v>
      </c>
      <c r="C915" s="10" t="s">
        <v>198</v>
      </c>
      <c r="D915" s="10" t="s">
        <v>225</v>
      </c>
      <c r="E915" s="10" t="str">
        <f aca="false">INDEX(Canale!$C$2:$C$30,MATCH(C915,Canale!$A$2:$A$30,0))</f>
        <v>qr_print</v>
      </c>
      <c r="F915" s="10" t="str">
        <f aca="false">INDEX(Canale!$D$2:$D$30,MATCH(C915,Canale!$A$2:$A$30,0))</f>
        <v>qr</v>
      </c>
      <c r="G915" s="10" t="str">
        <f aca="false">INDEX('Site-uri'!$C$2:$C$20,MATCH(A915,'Site-uri'!$A$2:$A$20,0))</f>
        <v>/</v>
      </c>
      <c r="H915" s="10" t="str">
        <f aca="false">Config!$B$3</f>
        <v>2610_ff_lansare</v>
      </c>
      <c r="I915" s="10" t="str">
        <f aca="false">D915&amp;"_"&amp;Config!$B$4</f>
        <v>cald_general</v>
      </c>
      <c r="J915" s="10" t="str">
        <f aca="false">"https://"&amp;B915&amp;G915&amp;"?utm_source="&amp;E915&amp;"&amp;utm_medium="&amp;F915&amp;"&amp;utm_campaign="&amp;H915&amp;"&amp;utm_content="&amp;I915</f>
        <v>https://eu-ai-ready.eu/?utm_source=qr_print&amp;utm_medium=qr&amp;utm_campaign=2610_ff_lansare&amp;utm_content=cald_general</v>
      </c>
    </row>
    <row r="916" customFormat="false" ht="15" hidden="false" customHeight="false" outlineLevel="0" collapsed="false">
      <c r="A916" s="10" t="s">
        <v>68</v>
      </c>
      <c r="B916" s="10" t="str">
        <f aca="false">INDEX('Site-uri'!$B$2:$B$20,MATCH(A916,'Site-uri'!$A$2:$A$20,0))</f>
        <v>eu-ai-ready.eu</v>
      </c>
      <c r="C916" s="10" t="s">
        <v>198</v>
      </c>
      <c r="D916" s="10" t="s">
        <v>231</v>
      </c>
      <c r="E916" s="10" t="str">
        <f aca="false">INDEX(Canale!$C$2:$C$30,MATCH(C916,Canale!$A$2:$A$30,0))</f>
        <v>qr_print</v>
      </c>
      <c r="F916" s="10" t="str">
        <f aca="false">INDEX(Canale!$D$2:$D$30,MATCH(C916,Canale!$A$2:$A$30,0))</f>
        <v>qr</v>
      </c>
      <c r="G916" s="10" t="str">
        <f aca="false">INDEX('Site-uri'!$C$2:$C$20,MATCH(A916,'Site-uri'!$A$2:$A$20,0))</f>
        <v>/</v>
      </c>
      <c r="H916" s="10" t="str">
        <f aca="false">Config!$B$3</f>
        <v>2610_ff_lansare</v>
      </c>
      <c r="I916" s="10" t="str">
        <f aca="false">D916&amp;"_"&amp;Config!$B$4</f>
        <v>fierbinte_general</v>
      </c>
      <c r="J916" s="10" t="str">
        <f aca="false">"https://"&amp;B916&amp;G916&amp;"?utm_source="&amp;E916&amp;"&amp;utm_medium="&amp;F916&amp;"&amp;utm_campaign="&amp;H916&amp;"&amp;utm_content="&amp;I916</f>
        <v>https://eu-ai-ready.eu/?utm_source=qr_print&amp;utm_medium=qr&amp;utm_campaign=2610_ff_lansare&amp;utm_content=fierbinte_general</v>
      </c>
    </row>
    <row r="917" customFormat="false" ht="15" hidden="false" customHeight="false" outlineLevel="0" collapsed="false">
      <c r="A917" s="10" t="s">
        <v>68</v>
      </c>
      <c r="B917" s="10" t="str">
        <f aca="false">INDEX('Site-uri'!$B$2:$B$20,MATCH(A917,'Site-uri'!$A$2:$A$20,0))</f>
        <v>eu-ai-ready.eu</v>
      </c>
      <c r="C917" s="10" t="s">
        <v>198</v>
      </c>
      <c r="D917" s="10" t="s">
        <v>237</v>
      </c>
      <c r="E917" s="10" t="str">
        <f aca="false">INDEX(Canale!$C$2:$C$30,MATCH(C917,Canale!$A$2:$A$30,0))</f>
        <v>qr_print</v>
      </c>
      <c r="F917" s="10" t="str">
        <f aca="false">INDEX(Canale!$D$2:$D$30,MATCH(C917,Canale!$A$2:$A$30,0))</f>
        <v>qr</v>
      </c>
      <c r="G917" s="10" t="str">
        <f aca="false">INDEX('Site-uri'!$C$2:$C$20,MATCH(A917,'Site-uri'!$A$2:$A$20,0))</f>
        <v>/</v>
      </c>
      <c r="H917" s="10" t="str">
        <f aca="false">Config!$B$3</f>
        <v>2610_ff_lansare</v>
      </c>
      <c r="I917" s="10" t="str">
        <f aca="false">D917&amp;"_"&amp;Config!$B$4</f>
        <v>client_general</v>
      </c>
      <c r="J917" s="10" t="str">
        <f aca="false">"https://"&amp;B917&amp;G917&amp;"?utm_source="&amp;E917&amp;"&amp;utm_medium="&amp;F917&amp;"&amp;utm_campaign="&amp;H917&amp;"&amp;utm_content="&amp;I917</f>
        <v>https://eu-ai-ready.eu/?utm_source=qr_print&amp;utm_medium=qr&amp;utm_campaign=2610_ff_lansare&amp;utm_content=client_general</v>
      </c>
    </row>
    <row r="918" customFormat="false" ht="15" hidden="false" customHeight="false" outlineLevel="0" collapsed="false">
      <c r="A918" s="10" t="s">
        <v>68</v>
      </c>
      <c r="B918" s="10" t="str">
        <f aca="false">INDEX('Site-uri'!$B$2:$B$20,MATCH(A918,'Site-uri'!$A$2:$A$20,0))</f>
        <v>eu-ai-ready.eu</v>
      </c>
      <c r="C918" s="10" t="s">
        <v>202</v>
      </c>
      <c r="D918" s="10" t="s">
        <v>219</v>
      </c>
      <c r="E918" s="10" t="str">
        <f aca="false">INDEX(Canale!$C$2:$C$30,MATCH(C918,Canale!$A$2:$A$30,0))</f>
        <v>event</v>
      </c>
      <c r="F918" s="10" t="str">
        <f aca="false">INDEX(Canale!$D$2:$D$30,MATCH(C918,Canale!$A$2:$A$30,0))</f>
        <v>event</v>
      </c>
      <c r="G918" s="10" t="str">
        <f aca="false">INDEX('Site-uri'!$C$2:$C$20,MATCH(A918,'Site-uri'!$A$2:$A$20,0))</f>
        <v>/</v>
      </c>
      <c r="H918" s="10" t="str">
        <f aca="false">Config!$B$3</f>
        <v>2610_ff_lansare</v>
      </c>
      <c r="I918" s="10" t="str">
        <f aca="false">D918&amp;"_"&amp;Config!$B$4</f>
        <v>rece_general</v>
      </c>
      <c r="J918" s="10" t="str">
        <f aca="false">"https://"&amp;B918&amp;G918&amp;"?utm_source="&amp;E918&amp;"&amp;utm_medium="&amp;F918&amp;"&amp;utm_campaign="&amp;H918&amp;"&amp;utm_content="&amp;I918</f>
        <v>https://eu-ai-ready.eu/?utm_source=event&amp;utm_medium=event&amp;utm_campaign=2610_ff_lansare&amp;utm_content=rece_general</v>
      </c>
    </row>
    <row r="919" customFormat="false" ht="15" hidden="false" customHeight="false" outlineLevel="0" collapsed="false">
      <c r="A919" s="10" t="s">
        <v>68</v>
      </c>
      <c r="B919" s="10" t="str">
        <f aca="false">INDEX('Site-uri'!$B$2:$B$20,MATCH(A919,'Site-uri'!$A$2:$A$20,0))</f>
        <v>eu-ai-ready.eu</v>
      </c>
      <c r="C919" s="10" t="s">
        <v>202</v>
      </c>
      <c r="D919" s="10" t="s">
        <v>225</v>
      </c>
      <c r="E919" s="10" t="str">
        <f aca="false">INDEX(Canale!$C$2:$C$30,MATCH(C919,Canale!$A$2:$A$30,0))</f>
        <v>event</v>
      </c>
      <c r="F919" s="10" t="str">
        <f aca="false">INDEX(Canale!$D$2:$D$30,MATCH(C919,Canale!$A$2:$A$30,0))</f>
        <v>event</v>
      </c>
      <c r="G919" s="10" t="str">
        <f aca="false">INDEX('Site-uri'!$C$2:$C$20,MATCH(A919,'Site-uri'!$A$2:$A$20,0))</f>
        <v>/</v>
      </c>
      <c r="H919" s="10" t="str">
        <f aca="false">Config!$B$3</f>
        <v>2610_ff_lansare</v>
      </c>
      <c r="I919" s="10" t="str">
        <f aca="false">D919&amp;"_"&amp;Config!$B$4</f>
        <v>cald_general</v>
      </c>
      <c r="J919" s="10" t="str">
        <f aca="false">"https://"&amp;B919&amp;G919&amp;"?utm_source="&amp;E919&amp;"&amp;utm_medium="&amp;F919&amp;"&amp;utm_campaign="&amp;H919&amp;"&amp;utm_content="&amp;I919</f>
        <v>https://eu-ai-ready.eu/?utm_source=event&amp;utm_medium=event&amp;utm_campaign=2610_ff_lansare&amp;utm_content=cald_general</v>
      </c>
    </row>
    <row r="920" customFormat="false" ht="15" hidden="false" customHeight="false" outlineLevel="0" collapsed="false">
      <c r="A920" s="10" t="s">
        <v>68</v>
      </c>
      <c r="B920" s="10" t="str">
        <f aca="false">INDEX('Site-uri'!$B$2:$B$20,MATCH(A920,'Site-uri'!$A$2:$A$20,0))</f>
        <v>eu-ai-ready.eu</v>
      </c>
      <c r="C920" s="10" t="s">
        <v>202</v>
      </c>
      <c r="D920" s="10" t="s">
        <v>231</v>
      </c>
      <c r="E920" s="10" t="str">
        <f aca="false">INDEX(Canale!$C$2:$C$30,MATCH(C920,Canale!$A$2:$A$30,0))</f>
        <v>event</v>
      </c>
      <c r="F920" s="10" t="str">
        <f aca="false">INDEX(Canale!$D$2:$D$30,MATCH(C920,Canale!$A$2:$A$30,0))</f>
        <v>event</v>
      </c>
      <c r="G920" s="10" t="str">
        <f aca="false">INDEX('Site-uri'!$C$2:$C$20,MATCH(A920,'Site-uri'!$A$2:$A$20,0))</f>
        <v>/</v>
      </c>
      <c r="H920" s="10" t="str">
        <f aca="false">Config!$B$3</f>
        <v>2610_ff_lansare</v>
      </c>
      <c r="I920" s="10" t="str">
        <f aca="false">D920&amp;"_"&amp;Config!$B$4</f>
        <v>fierbinte_general</v>
      </c>
      <c r="J920" s="10" t="str">
        <f aca="false">"https://"&amp;B920&amp;G920&amp;"?utm_source="&amp;E920&amp;"&amp;utm_medium="&amp;F920&amp;"&amp;utm_campaign="&amp;H920&amp;"&amp;utm_content="&amp;I920</f>
        <v>https://eu-ai-ready.eu/?utm_source=event&amp;utm_medium=event&amp;utm_campaign=2610_ff_lansare&amp;utm_content=fierbinte_general</v>
      </c>
    </row>
    <row r="921" customFormat="false" ht="15" hidden="false" customHeight="false" outlineLevel="0" collapsed="false">
      <c r="A921" s="10" t="s">
        <v>68</v>
      </c>
      <c r="B921" s="10" t="str">
        <f aca="false">INDEX('Site-uri'!$B$2:$B$20,MATCH(A921,'Site-uri'!$A$2:$A$20,0))</f>
        <v>eu-ai-ready.eu</v>
      </c>
      <c r="C921" s="10" t="s">
        <v>202</v>
      </c>
      <c r="D921" s="10" t="s">
        <v>237</v>
      </c>
      <c r="E921" s="10" t="str">
        <f aca="false">INDEX(Canale!$C$2:$C$30,MATCH(C921,Canale!$A$2:$A$30,0))</f>
        <v>event</v>
      </c>
      <c r="F921" s="10" t="str">
        <f aca="false">INDEX(Canale!$D$2:$D$30,MATCH(C921,Canale!$A$2:$A$30,0))</f>
        <v>event</v>
      </c>
      <c r="G921" s="10" t="str">
        <f aca="false">INDEX('Site-uri'!$C$2:$C$20,MATCH(A921,'Site-uri'!$A$2:$A$20,0))</f>
        <v>/</v>
      </c>
      <c r="H921" s="10" t="str">
        <f aca="false">Config!$B$3</f>
        <v>2610_ff_lansare</v>
      </c>
      <c r="I921" s="10" t="str">
        <f aca="false">D921&amp;"_"&amp;Config!$B$4</f>
        <v>client_general</v>
      </c>
      <c r="J921" s="10" t="str">
        <f aca="false">"https://"&amp;B921&amp;G921&amp;"?utm_source="&amp;E921&amp;"&amp;utm_medium="&amp;F921&amp;"&amp;utm_campaign="&amp;H921&amp;"&amp;utm_content="&amp;I921</f>
        <v>https://eu-ai-ready.eu/?utm_source=event&amp;utm_medium=event&amp;utm_campaign=2610_ff_lansare&amp;utm_content=client_general</v>
      </c>
    </row>
    <row r="922" customFormat="false" ht="15" hidden="false" customHeight="false" outlineLevel="0" collapsed="false">
      <c r="A922" s="10" t="s">
        <v>68</v>
      </c>
      <c r="B922" s="10" t="str">
        <f aca="false">INDEX('Site-uri'!$B$2:$B$20,MATCH(A922,'Site-uri'!$A$2:$A$20,0))</f>
        <v>eu-ai-ready.eu</v>
      </c>
      <c r="C922" s="10" t="s">
        <v>204</v>
      </c>
      <c r="D922" s="10" t="s">
        <v>219</v>
      </c>
      <c r="E922" s="10" t="str">
        <f aca="false">INDEX(Canale!$C$2:$C$30,MATCH(C922,Canale!$A$2:$A$30,0))</f>
        <v>a2a_agent_card</v>
      </c>
      <c r="F922" s="10" t="str">
        <f aca="false">INDEX(Canale!$D$2:$D$30,MATCH(C922,Canale!$A$2:$A$30,0))</f>
        <v>agent</v>
      </c>
      <c r="G922" s="10" t="str">
        <f aca="false">INDEX('Site-uri'!$C$2:$C$20,MATCH(A922,'Site-uri'!$A$2:$A$20,0))</f>
        <v>/</v>
      </c>
      <c r="H922" s="10" t="str">
        <f aca="false">Config!$B$3</f>
        <v>2610_ff_lansare</v>
      </c>
      <c r="I922" s="10" t="str">
        <f aca="false">D922&amp;"_"&amp;Config!$B$4</f>
        <v>rece_general</v>
      </c>
      <c r="J922" s="10" t="str">
        <f aca="false">"https://"&amp;B922&amp;G922&amp;"?utm_source="&amp;E922&amp;"&amp;utm_medium="&amp;F922&amp;"&amp;utm_campaign="&amp;H922&amp;"&amp;utm_content="&amp;I922</f>
        <v>https://eu-ai-ready.eu/?utm_source=a2a_agent_card&amp;utm_medium=agent&amp;utm_campaign=2610_ff_lansare&amp;utm_content=rece_general</v>
      </c>
    </row>
    <row r="923" customFormat="false" ht="15" hidden="false" customHeight="false" outlineLevel="0" collapsed="false">
      <c r="A923" s="10" t="s">
        <v>68</v>
      </c>
      <c r="B923" s="10" t="str">
        <f aca="false">INDEX('Site-uri'!$B$2:$B$20,MATCH(A923,'Site-uri'!$A$2:$A$20,0))</f>
        <v>eu-ai-ready.eu</v>
      </c>
      <c r="C923" s="10" t="s">
        <v>204</v>
      </c>
      <c r="D923" s="10" t="s">
        <v>225</v>
      </c>
      <c r="E923" s="10" t="str">
        <f aca="false">INDEX(Canale!$C$2:$C$30,MATCH(C923,Canale!$A$2:$A$30,0))</f>
        <v>a2a_agent_card</v>
      </c>
      <c r="F923" s="10" t="str">
        <f aca="false">INDEX(Canale!$D$2:$D$30,MATCH(C923,Canale!$A$2:$A$30,0))</f>
        <v>agent</v>
      </c>
      <c r="G923" s="10" t="str">
        <f aca="false">INDEX('Site-uri'!$C$2:$C$20,MATCH(A923,'Site-uri'!$A$2:$A$20,0))</f>
        <v>/</v>
      </c>
      <c r="H923" s="10" t="str">
        <f aca="false">Config!$B$3</f>
        <v>2610_ff_lansare</v>
      </c>
      <c r="I923" s="10" t="str">
        <f aca="false">D923&amp;"_"&amp;Config!$B$4</f>
        <v>cald_general</v>
      </c>
      <c r="J923" s="10" t="str">
        <f aca="false">"https://"&amp;B923&amp;G923&amp;"?utm_source="&amp;E923&amp;"&amp;utm_medium="&amp;F923&amp;"&amp;utm_campaign="&amp;H923&amp;"&amp;utm_content="&amp;I923</f>
        <v>https://eu-ai-ready.eu/?utm_source=a2a_agent_card&amp;utm_medium=agent&amp;utm_campaign=2610_ff_lansare&amp;utm_content=cald_general</v>
      </c>
    </row>
    <row r="924" customFormat="false" ht="15" hidden="false" customHeight="false" outlineLevel="0" collapsed="false">
      <c r="A924" s="10" t="s">
        <v>68</v>
      </c>
      <c r="B924" s="10" t="str">
        <f aca="false">INDEX('Site-uri'!$B$2:$B$20,MATCH(A924,'Site-uri'!$A$2:$A$20,0))</f>
        <v>eu-ai-ready.eu</v>
      </c>
      <c r="C924" s="10" t="s">
        <v>204</v>
      </c>
      <c r="D924" s="10" t="s">
        <v>231</v>
      </c>
      <c r="E924" s="10" t="str">
        <f aca="false">INDEX(Canale!$C$2:$C$30,MATCH(C924,Canale!$A$2:$A$30,0))</f>
        <v>a2a_agent_card</v>
      </c>
      <c r="F924" s="10" t="str">
        <f aca="false">INDEX(Canale!$D$2:$D$30,MATCH(C924,Canale!$A$2:$A$30,0))</f>
        <v>agent</v>
      </c>
      <c r="G924" s="10" t="str">
        <f aca="false">INDEX('Site-uri'!$C$2:$C$20,MATCH(A924,'Site-uri'!$A$2:$A$20,0))</f>
        <v>/</v>
      </c>
      <c r="H924" s="10" t="str">
        <f aca="false">Config!$B$3</f>
        <v>2610_ff_lansare</v>
      </c>
      <c r="I924" s="10" t="str">
        <f aca="false">D924&amp;"_"&amp;Config!$B$4</f>
        <v>fierbinte_general</v>
      </c>
      <c r="J924" s="10" t="str">
        <f aca="false">"https://"&amp;B924&amp;G924&amp;"?utm_source="&amp;E924&amp;"&amp;utm_medium="&amp;F924&amp;"&amp;utm_campaign="&amp;H924&amp;"&amp;utm_content="&amp;I924</f>
        <v>https://eu-ai-ready.eu/?utm_source=a2a_agent_card&amp;utm_medium=agent&amp;utm_campaign=2610_ff_lansare&amp;utm_content=fierbinte_general</v>
      </c>
    </row>
    <row r="925" customFormat="false" ht="15" hidden="false" customHeight="false" outlineLevel="0" collapsed="false">
      <c r="A925" s="10" t="s">
        <v>68</v>
      </c>
      <c r="B925" s="10" t="str">
        <f aca="false">INDEX('Site-uri'!$B$2:$B$20,MATCH(A925,'Site-uri'!$A$2:$A$20,0))</f>
        <v>eu-ai-ready.eu</v>
      </c>
      <c r="C925" s="10" t="s">
        <v>204</v>
      </c>
      <c r="D925" s="10" t="s">
        <v>237</v>
      </c>
      <c r="E925" s="10" t="str">
        <f aca="false">INDEX(Canale!$C$2:$C$30,MATCH(C925,Canale!$A$2:$A$30,0))</f>
        <v>a2a_agent_card</v>
      </c>
      <c r="F925" s="10" t="str">
        <f aca="false">INDEX(Canale!$D$2:$D$30,MATCH(C925,Canale!$A$2:$A$30,0))</f>
        <v>agent</v>
      </c>
      <c r="G925" s="10" t="str">
        <f aca="false">INDEX('Site-uri'!$C$2:$C$20,MATCH(A925,'Site-uri'!$A$2:$A$20,0))</f>
        <v>/</v>
      </c>
      <c r="H925" s="10" t="str">
        <f aca="false">Config!$B$3</f>
        <v>2610_ff_lansare</v>
      </c>
      <c r="I925" s="10" t="str">
        <f aca="false">D925&amp;"_"&amp;Config!$B$4</f>
        <v>client_general</v>
      </c>
      <c r="J925" s="10" t="str">
        <f aca="false">"https://"&amp;B925&amp;G925&amp;"?utm_source="&amp;E925&amp;"&amp;utm_medium="&amp;F925&amp;"&amp;utm_campaign="&amp;H925&amp;"&amp;utm_content="&amp;I925</f>
        <v>https://eu-ai-ready.eu/?utm_source=a2a_agent_card&amp;utm_medium=agent&amp;utm_campaign=2610_ff_lansare&amp;utm_content=client_general</v>
      </c>
    </row>
    <row r="926" customFormat="false" ht="15" hidden="false" customHeight="false" outlineLevel="0" collapsed="false">
      <c r="A926" s="10" t="s">
        <v>68</v>
      </c>
      <c r="B926" s="10" t="str">
        <f aca="false">INDEX('Site-uri'!$B$2:$B$20,MATCH(A926,'Site-uri'!$A$2:$A$20,0))</f>
        <v>eu-ai-ready.eu</v>
      </c>
      <c r="C926" s="10" t="s">
        <v>209</v>
      </c>
      <c r="D926" s="10" t="s">
        <v>219</v>
      </c>
      <c r="E926" s="10" t="str">
        <f aca="false">INDEX(Canale!$C$2:$C$30,MATCH(C926,Canale!$A$2:$A$30,0))</f>
        <v>llms_txt</v>
      </c>
      <c r="F926" s="10" t="str">
        <f aca="false">INDEX(Canale!$D$2:$D$30,MATCH(C926,Canale!$A$2:$A$30,0))</f>
        <v>ai_web</v>
      </c>
      <c r="G926" s="10" t="str">
        <f aca="false">INDEX('Site-uri'!$C$2:$C$20,MATCH(A926,'Site-uri'!$A$2:$A$20,0))</f>
        <v>/</v>
      </c>
      <c r="H926" s="10" t="str">
        <f aca="false">Config!$B$3</f>
        <v>2610_ff_lansare</v>
      </c>
      <c r="I926" s="10" t="str">
        <f aca="false">D926&amp;"_"&amp;Config!$B$4</f>
        <v>rece_general</v>
      </c>
      <c r="J926" s="10" t="str">
        <f aca="false">"https://"&amp;B926&amp;G926&amp;"?utm_source="&amp;E926&amp;"&amp;utm_medium="&amp;F926&amp;"&amp;utm_campaign="&amp;H926&amp;"&amp;utm_content="&amp;I926</f>
        <v>https://eu-ai-ready.eu/?utm_source=llms_txt&amp;utm_medium=ai_web&amp;utm_campaign=2610_ff_lansare&amp;utm_content=rece_general</v>
      </c>
    </row>
    <row r="927" customFormat="false" ht="15" hidden="false" customHeight="false" outlineLevel="0" collapsed="false">
      <c r="A927" s="10" t="s">
        <v>68</v>
      </c>
      <c r="B927" s="10" t="str">
        <f aca="false">INDEX('Site-uri'!$B$2:$B$20,MATCH(A927,'Site-uri'!$A$2:$A$20,0))</f>
        <v>eu-ai-ready.eu</v>
      </c>
      <c r="C927" s="10" t="s">
        <v>209</v>
      </c>
      <c r="D927" s="10" t="s">
        <v>225</v>
      </c>
      <c r="E927" s="10" t="str">
        <f aca="false">INDEX(Canale!$C$2:$C$30,MATCH(C927,Canale!$A$2:$A$30,0))</f>
        <v>llms_txt</v>
      </c>
      <c r="F927" s="10" t="str">
        <f aca="false">INDEX(Canale!$D$2:$D$30,MATCH(C927,Canale!$A$2:$A$30,0))</f>
        <v>ai_web</v>
      </c>
      <c r="G927" s="10" t="str">
        <f aca="false">INDEX('Site-uri'!$C$2:$C$20,MATCH(A927,'Site-uri'!$A$2:$A$20,0))</f>
        <v>/</v>
      </c>
      <c r="H927" s="10" t="str">
        <f aca="false">Config!$B$3</f>
        <v>2610_ff_lansare</v>
      </c>
      <c r="I927" s="10" t="str">
        <f aca="false">D927&amp;"_"&amp;Config!$B$4</f>
        <v>cald_general</v>
      </c>
      <c r="J927" s="10" t="str">
        <f aca="false">"https://"&amp;B927&amp;G927&amp;"?utm_source="&amp;E927&amp;"&amp;utm_medium="&amp;F927&amp;"&amp;utm_campaign="&amp;H927&amp;"&amp;utm_content="&amp;I927</f>
        <v>https://eu-ai-ready.eu/?utm_source=llms_txt&amp;utm_medium=ai_web&amp;utm_campaign=2610_ff_lansare&amp;utm_content=cald_general</v>
      </c>
    </row>
    <row r="928" customFormat="false" ht="15" hidden="false" customHeight="false" outlineLevel="0" collapsed="false">
      <c r="A928" s="10" t="s">
        <v>68</v>
      </c>
      <c r="B928" s="10" t="str">
        <f aca="false">INDEX('Site-uri'!$B$2:$B$20,MATCH(A928,'Site-uri'!$A$2:$A$20,0))</f>
        <v>eu-ai-ready.eu</v>
      </c>
      <c r="C928" s="10" t="s">
        <v>209</v>
      </c>
      <c r="D928" s="10" t="s">
        <v>231</v>
      </c>
      <c r="E928" s="10" t="str">
        <f aca="false">INDEX(Canale!$C$2:$C$30,MATCH(C928,Canale!$A$2:$A$30,0))</f>
        <v>llms_txt</v>
      </c>
      <c r="F928" s="10" t="str">
        <f aca="false">INDEX(Canale!$D$2:$D$30,MATCH(C928,Canale!$A$2:$A$30,0))</f>
        <v>ai_web</v>
      </c>
      <c r="G928" s="10" t="str">
        <f aca="false">INDEX('Site-uri'!$C$2:$C$20,MATCH(A928,'Site-uri'!$A$2:$A$20,0))</f>
        <v>/</v>
      </c>
      <c r="H928" s="10" t="str">
        <f aca="false">Config!$B$3</f>
        <v>2610_ff_lansare</v>
      </c>
      <c r="I928" s="10" t="str">
        <f aca="false">D928&amp;"_"&amp;Config!$B$4</f>
        <v>fierbinte_general</v>
      </c>
      <c r="J928" s="10" t="str">
        <f aca="false">"https://"&amp;B928&amp;G928&amp;"?utm_source="&amp;E928&amp;"&amp;utm_medium="&amp;F928&amp;"&amp;utm_campaign="&amp;H928&amp;"&amp;utm_content="&amp;I928</f>
        <v>https://eu-ai-ready.eu/?utm_source=llms_txt&amp;utm_medium=ai_web&amp;utm_campaign=2610_ff_lansare&amp;utm_content=fierbinte_general</v>
      </c>
    </row>
    <row r="929" customFormat="false" ht="15" hidden="false" customHeight="false" outlineLevel="0" collapsed="false">
      <c r="A929" s="10" t="s">
        <v>68</v>
      </c>
      <c r="B929" s="10" t="str">
        <f aca="false">INDEX('Site-uri'!$B$2:$B$20,MATCH(A929,'Site-uri'!$A$2:$A$20,0))</f>
        <v>eu-ai-ready.eu</v>
      </c>
      <c r="C929" s="10" t="s">
        <v>209</v>
      </c>
      <c r="D929" s="10" t="s">
        <v>237</v>
      </c>
      <c r="E929" s="10" t="str">
        <f aca="false">INDEX(Canale!$C$2:$C$30,MATCH(C929,Canale!$A$2:$A$30,0))</f>
        <v>llms_txt</v>
      </c>
      <c r="F929" s="10" t="str">
        <f aca="false">INDEX(Canale!$D$2:$D$30,MATCH(C929,Canale!$A$2:$A$30,0))</f>
        <v>ai_web</v>
      </c>
      <c r="G929" s="10" t="str">
        <f aca="false">INDEX('Site-uri'!$C$2:$C$20,MATCH(A929,'Site-uri'!$A$2:$A$20,0))</f>
        <v>/</v>
      </c>
      <c r="H929" s="10" t="str">
        <f aca="false">Config!$B$3</f>
        <v>2610_ff_lansare</v>
      </c>
      <c r="I929" s="10" t="str">
        <f aca="false">D929&amp;"_"&amp;Config!$B$4</f>
        <v>client_general</v>
      </c>
      <c r="J929" s="10" t="str">
        <f aca="false">"https://"&amp;B929&amp;G929&amp;"?utm_source="&amp;E929&amp;"&amp;utm_medium="&amp;F929&amp;"&amp;utm_campaign="&amp;H929&amp;"&amp;utm_content="&amp;I929</f>
        <v>https://eu-ai-ready.eu/?utm_source=llms_txt&amp;utm_medium=ai_web&amp;utm_campaign=2610_ff_lansare&amp;utm_content=client_general</v>
      </c>
    </row>
    <row r="930" customFormat="false" ht="15" hidden="false" customHeight="false" outlineLevel="0" collapsed="false">
      <c r="A930" s="10" t="s">
        <v>70</v>
      </c>
      <c r="B930" s="10" t="str">
        <f aca="false">INDEX('Site-uri'!$B$2:$B$20,MATCH(A930,'Site-uri'!$A$2:$A$20,0))</f>
        <v>eu-ai-act.ro</v>
      </c>
      <c r="C930" s="10" t="s">
        <v>104</v>
      </c>
      <c r="D930" s="10" t="s">
        <v>219</v>
      </c>
      <c r="E930" s="10" t="str">
        <f aca="false">INDEX(Canale!$C$2:$C$30,MATCH(C930,Canale!$A$2:$A$30,0))</f>
        <v>linkedin_personal</v>
      </c>
      <c r="F930" s="10" t="str">
        <f aca="false">INDEX(Canale!$D$2:$D$30,MATCH(C930,Canale!$A$2:$A$30,0))</f>
        <v>social</v>
      </c>
      <c r="G930" s="10" t="str">
        <f aca="false">INDEX('Site-uri'!$C$2:$C$20,MATCH(A930,'Site-uri'!$A$2:$A$20,0))</f>
        <v>/</v>
      </c>
      <c r="H930" s="10" t="str">
        <f aca="false">Config!$B$3</f>
        <v>2610_ff_lansare</v>
      </c>
      <c r="I930" s="10" t="str">
        <f aca="false">D930&amp;"_"&amp;Config!$B$4</f>
        <v>rece_general</v>
      </c>
      <c r="J930" s="10" t="str">
        <f aca="false">"https://"&amp;B930&amp;G930&amp;"?utm_source="&amp;E930&amp;"&amp;utm_medium="&amp;F930&amp;"&amp;utm_campaign="&amp;H930&amp;"&amp;utm_content="&amp;I930</f>
        <v>https://eu-ai-act.ro/?utm_source=linkedin_personal&amp;utm_medium=social&amp;utm_campaign=2610_ff_lansare&amp;utm_content=rece_general</v>
      </c>
    </row>
    <row r="931" customFormat="false" ht="15" hidden="false" customHeight="false" outlineLevel="0" collapsed="false">
      <c r="A931" s="10" t="s">
        <v>70</v>
      </c>
      <c r="B931" s="10" t="str">
        <f aca="false">INDEX('Site-uri'!$B$2:$B$20,MATCH(A931,'Site-uri'!$A$2:$A$20,0))</f>
        <v>eu-ai-act.ro</v>
      </c>
      <c r="C931" s="10" t="s">
        <v>104</v>
      </c>
      <c r="D931" s="10" t="s">
        <v>225</v>
      </c>
      <c r="E931" s="10" t="str">
        <f aca="false">INDEX(Canale!$C$2:$C$30,MATCH(C931,Canale!$A$2:$A$30,0))</f>
        <v>linkedin_personal</v>
      </c>
      <c r="F931" s="10" t="str">
        <f aca="false">INDEX(Canale!$D$2:$D$30,MATCH(C931,Canale!$A$2:$A$30,0))</f>
        <v>social</v>
      </c>
      <c r="G931" s="10" t="str">
        <f aca="false">INDEX('Site-uri'!$C$2:$C$20,MATCH(A931,'Site-uri'!$A$2:$A$20,0))</f>
        <v>/</v>
      </c>
      <c r="H931" s="10" t="str">
        <f aca="false">Config!$B$3</f>
        <v>2610_ff_lansare</v>
      </c>
      <c r="I931" s="10" t="str">
        <f aca="false">D931&amp;"_"&amp;Config!$B$4</f>
        <v>cald_general</v>
      </c>
      <c r="J931" s="10" t="str">
        <f aca="false">"https://"&amp;B931&amp;G931&amp;"?utm_source="&amp;E931&amp;"&amp;utm_medium="&amp;F931&amp;"&amp;utm_campaign="&amp;H931&amp;"&amp;utm_content="&amp;I931</f>
        <v>https://eu-ai-act.ro/?utm_source=linkedin_personal&amp;utm_medium=social&amp;utm_campaign=2610_ff_lansare&amp;utm_content=cald_general</v>
      </c>
    </row>
    <row r="932" customFormat="false" ht="15" hidden="false" customHeight="false" outlineLevel="0" collapsed="false">
      <c r="A932" s="10" t="s">
        <v>70</v>
      </c>
      <c r="B932" s="10" t="str">
        <f aca="false">INDEX('Site-uri'!$B$2:$B$20,MATCH(A932,'Site-uri'!$A$2:$A$20,0))</f>
        <v>eu-ai-act.ro</v>
      </c>
      <c r="C932" s="10" t="s">
        <v>104</v>
      </c>
      <c r="D932" s="10" t="s">
        <v>231</v>
      </c>
      <c r="E932" s="10" t="str">
        <f aca="false">INDEX(Canale!$C$2:$C$30,MATCH(C932,Canale!$A$2:$A$30,0))</f>
        <v>linkedin_personal</v>
      </c>
      <c r="F932" s="10" t="str">
        <f aca="false">INDEX(Canale!$D$2:$D$30,MATCH(C932,Canale!$A$2:$A$30,0))</f>
        <v>social</v>
      </c>
      <c r="G932" s="10" t="str">
        <f aca="false">INDEX('Site-uri'!$C$2:$C$20,MATCH(A932,'Site-uri'!$A$2:$A$20,0))</f>
        <v>/</v>
      </c>
      <c r="H932" s="10" t="str">
        <f aca="false">Config!$B$3</f>
        <v>2610_ff_lansare</v>
      </c>
      <c r="I932" s="10" t="str">
        <f aca="false">D932&amp;"_"&amp;Config!$B$4</f>
        <v>fierbinte_general</v>
      </c>
      <c r="J932" s="10" t="str">
        <f aca="false">"https://"&amp;B932&amp;G932&amp;"?utm_source="&amp;E932&amp;"&amp;utm_medium="&amp;F932&amp;"&amp;utm_campaign="&amp;H932&amp;"&amp;utm_content="&amp;I932</f>
        <v>https://eu-ai-act.ro/?utm_source=linkedin_personal&amp;utm_medium=social&amp;utm_campaign=2610_ff_lansare&amp;utm_content=fierbinte_general</v>
      </c>
    </row>
    <row r="933" customFormat="false" ht="15" hidden="false" customHeight="false" outlineLevel="0" collapsed="false">
      <c r="A933" s="10" t="s">
        <v>70</v>
      </c>
      <c r="B933" s="10" t="str">
        <f aca="false">INDEX('Site-uri'!$B$2:$B$20,MATCH(A933,'Site-uri'!$A$2:$A$20,0))</f>
        <v>eu-ai-act.ro</v>
      </c>
      <c r="C933" s="10" t="s">
        <v>104</v>
      </c>
      <c r="D933" s="10" t="s">
        <v>237</v>
      </c>
      <c r="E933" s="10" t="str">
        <f aca="false">INDEX(Canale!$C$2:$C$30,MATCH(C933,Canale!$A$2:$A$30,0))</f>
        <v>linkedin_personal</v>
      </c>
      <c r="F933" s="10" t="str">
        <f aca="false">INDEX(Canale!$D$2:$D$30,MATCH(C933,Canale!$A$2:$A$30,0))</f>
        <v>social</v>
      </c>
      <c r="G933" s="10" t="str">
        <f aca="false">INDEX('Site-uri'!$C$2:$C$20,MATCH(A933,'Site-uri'!$A$2:$A$20,0))</f>
        <v>/</v>
      </c>
      <c r="H933" s="10" t="str">
        <f aca="false">Config!$B$3</f>
        <v>2610_ff_lansare</v>
      </c>
      <c r="I933" s="10" t="str">
        <f aca="false">D933&amp;"_"&amp;Config!$B$4</f>
        <v>client_general</v>
      </c>
      <c r="J933" s="10" t="str">
        <f aca="false">"https://"&amp;B933&amp;G933&amp;"?utm_source="&amp;E933&amp;"&amp;utm_medium="&amp;F933&amp;"&amp;utm_campaign="&amp;H933&amp;"&amp;utm_content="&amp;I933</f>
        <v>https://eu-ai-act.ro/?utm_source=linkedin_personal&amp;utm_medium=social&amp;utm_campaign=2610_ff_lansare&amp;utm_content=client_general</v>
      </c>
    </row>
    <row r="934" customFormat="false" ht="15" hidden="false" customHeight="false" outlineLevel="0" collapsed="false">
      <c r="A934" s="10" t="s">
        <v>70</v>
      </c>
      <c r="B934" s="10" t="str">
        <f aca="false">INDEX('Site-uri'!$B$2:$B$20,MATCH(A934,'Site-uri'!$A$2:$A$20,0))</f>
        <v>eu-ai-act.ro</v>
      </c>
      <c r="C934" s="10" t="s">
        <v>109</v>
      </c>
      <c r="D934" s="10" t="s">
        <v>219</v>
      </c>
      <c r="E934" s="10" t="str">
        <f aca="false">INDEX(Canale!$C$2:$C$30,MATCH(C934,Canale!$A$2:$A$30,0))</f>
        <v>linkedin_company</v>
      </c>
      <c r="F934" s="10" t="str">
        <f aca="false">INDEX(Canale!$D$2:$D$30,MATCH(C934,Canale!$A$2:$A$30,0))</f>
        <v>social</v>
      </c>
      <c r="G934" s="10" t="str">
        <f aca="false">INDEX('Site-uri'!$C$2:$C$20,MATCH(A934,'Site-uri'!$A$2:$A$20,0))</f>
        <v>/</v>
      </c>
      <c r="H934" s="10" t="str">
        <f aca="false">Config!$B$3</f>
        <v>2610_ff_lansare</v>
      </c>
      <c r="I934" s="10" t="str">
        <f aca="false">D934&amp;"_"&amp;Config!$B$4</f>
        <v>rece_general</v>
      </c>
      <c r="J934" s="10" t="str">
        <f aca="false">"https://"&amp;B934&amp;G934&amp;"?utm_source="&amp;E934&amp;"&amp;utm_medium="&amp;F934&amp;"&amp;utm_campaign="&amp;H934&amp;"&amp;utm_content="&amp;I934</f>
        <v>https://eu-ai-act.ro/?utm_source=linkedin_company&amp;utm_medium=social&amp;utm_campaign=2610_ff_lansare&amp;utm_content=rece_general</v>
      </c>
    </row>
    <row r="935" customFormat="false" ht="15" hidden="false" customHeight="false" outlineLevel="0" collapsed="false">
      <c r="A935" s="10" t="s">
        <v>70</v>
      </c>
      <c r="B935" s="10" t="str">
        <f aca="false">INDEX('Site-uri'!$B$2:$B$20,MATCH(A935,'Site-uri'!$A$2:$A$20,0))</f>
        <v>eu-ai-act.ro</v>
      </c>
      <c r="C935" s="10" t="s">
        <v>109</v>
      </c>
      <c r="D935" s="10" t="s">
        <v>225</v>
      </c>
      <c r="E935" s="10" t="str">
        <f aca="false">INDEX(Canale!$C$2:$C$30,MATCH(C935,Canale!$A$2:$A$30,0))</f>
        <v>linkedin_company</v>
      </c>
      <c r="F935" s="10" t="str">
        <f aca="false">INDEX(Canale!$D$2:$D$30,MATCH(C935,Canale!$A$2:$A$30,0))</f>
        <v>social</v>
      </c>
      <c r="G935" s="10" t="str">
        <f aca="false">INDEX('Site-uri'!$C$2:$C$20,MATCH(A935,'Site-uri'!$A$2:$A$20,0))</f>
        <v>/</v>
      </c>
      <c r="H935" s="10" t="str">
        <f aca="false">Config!$B$3</f>
        <v>2610_ff_lansare</v>
      </c>
      <c r="I935" s="10" t="str">
        <f aca="false">D935&amp;"_"&amp;Config!$B$4</f>
        <v>cald_general</v>
      </c>
      <c r="J935" s="10" t="str">
        <f aca="false">"https://"&amp;B935&amp;G935&amp;"?utm_source="&amp;E935&amp;"&amp;utm_medium="&amp;F935&amp;"&amp;utm_campaign="&amp;H935&amp;"&amp;utm_content="&amp;I935</f>
        <v>https://eu-ai-act.ro/?utm_source=linkedin_company&amp;utm_medium=social&amp;utm_campaign=2610_ff_lansare&amp;utm_content=cald_general</v>
      </c>
    </row>
    <row r="936" customFormat="false" ht="15" hidden="false" customHeight="false" outlineLevel="0" collapsed="false">
      <c r="A936" s="10" t="s">
        <v>70</v>
      </c>
      <c r="B936" s="10" t="str">
        <f aca="false">INDEX('Site-uri'!$B$2:$B$20,MATCH(A936,'Site-uri'!$A$2:$A$20,0))</f>
        <v>eu-ai-act.ro</v>
      </c>
      <c r="C936" s="10" t="s">
        <v>109</v>
      </c>
      <c r="D936" s="10" t="s">
        <v>231</v>
      </c>
      <c r="E936" s="10" t="str">
        <f aca="false">INDEX(Canale!$C$2:$C$30,MATCH(C936,Canale!$A$2:$A$30,0))</f>
        <v>linkedin_company</v>
      </c>
      <c r="F936" s="10" t="str">
        <f aca="false">INDEX(Canale!$D$2:$D$30,MATCH(C936,Canale!$A$2:$A$30,0))</f>
        <v>social</v>
      </c>
      <c r="G936" s="10" t="str">
        <f aca="false">INDEX('Site-uri'!$C$2:$C$20,MATCH(A936,'Site-uri'!$A$2:$A$20,0))</f>
        <v>/</v>
      </c>
      <c r="H936" s="10" t="str">
        <f aca="false">Config!$B$3</f>
        <v>2610_ff_lansare</v>
      </c>
      <c r="I936" s="10" t="str">
        <f aca="false">D936&amp;"_"&amp;Config!$B$4</f>
        <v>fierbinte_general</v>
      </c>
      <c r="J936" s="10" t="str">
        <f aca="false">"https://"&amp;B936&amp;G936&amp;"?utm_source="&amp;E936&amp;"&amp;utm_medium="&amp;F936&amp;"&amp;utm_campaign="&amp;H936&amp;"&amp;utm_content="&amp;I936</f>
        <v>https://eu-ai-act.ro/?utm_source=linkedin_company&amp;utm_medium=social&amp;utm_campaign=2610_ff_lansare&amp;utm_content=fierbinte_general</v>
      </c>
    </row>
    <row r="937" customFormat="false" ht="15" hidden="false" customHeight="false" outlineLevel="0" collapsed="false">
      <c r="A937" s="10" t="s">
        <v>70</v>
      </c>
      <c r="B937" s="10" t="str">
        <f aca="false">INDEX('Site-uri'!$B$2:$B$20,MATCH(A937,'Site-uri'!$A$2:$A$20,0))</f>
        <v>eu-ai-act.ro</v>
      </c>
      <c r="C937" s="10" t="s">
        <v>109</v>
      </c>
      <c r="D937" s="10" t="s">
        <v>237</v>
      </c>
      <c r="E937" s="10" t="str">
        <f aca="false">INDEX(Canale!$C$2:$C$30,MATCH(C937,Canale!$A$2:$A$30,0))</f>
        <v>linkedin_company</v>
      </c>
      <c r="F937" s="10" t="str">
        <f aca="false">INDEX(Canale!$D$2:$D$30,MATCH(C937,Canale!$A$2:$A$30,0))</f>
        <v>social</v>
      </c>
      <c r="G937" s="10" t="str">
        <f aca="false">INDEX('Site-uri'!$C$2:$C$20,MATCH(A937,'Site-uri'!$A$2:$A$20,0))</f>
        <v>/</v>
      </c>
      <c r="H937" s="10" t="str">
        <f aca="false">Config!$B$3</f>
        <v>2610_ff_lansare</v>
      </c>
      <c r="I937" s="10" t="str">
        <f aca="false">D937&amp;"_"&amp;Config!$B$4</f>
        <v>client_general</v>
      </c>
      <c r="J937" s="10" t="str">
        <f aca="false">"https://"&amp;B937&amp;G937&amp;"?utm_source="&amp;E937&amp;"&amp;utm_medium="&amp;F937&amp;"&amp;utm_campaign="&amp;H937&amp;"&amp;utm_content="&amp;I937</f>
        <v>https://eu-ai-act.ro/?utm_source=linkedin_company&amp;utm_medium=social&amp;utm_campaign=2610_ff_lansare&amp;utm_content=client_general</v>
      </c>
    </row>
    <row r="938" customFormat="false" ht="15" hidden="false" customHeight="false" outlineLevel="0" collapsed="false">
      <c r="A938" s="10" t="s">
        <v>70</v>
      </c>
      <c r="B938" s="10" t="str">
        <f aca="false">INDEX('Site-uri'!$B$2:$B$20,MATCH(A938,'Site-uri'!$A$2:$A$20,0))</f>
        <v>eu-ai-act.ro</v>
      </c>
      <c r="C938" s="10" t="s">
        <v>112</v>
      </c>
      <c r="D938" s="10" t="s">
        <v>219</v>
      </c>
      <c r="E938" s="10" t="str">
        <f aca="false">INDEX(Canale!$C$2:$C$30,MATCH(C938,Canale!$A$2:$A$30,0))</f>
        <v>linkedin_showcase</v>
      </c>
      <c r="F938" s="10" t="str">
        <f aca="false">INDEX(Canale!$D$2:$D$30,MATCH(C938,Canale!$A$2:$A$30,0))</f>
        <v>social</v>
      </c>
      <c r="G938" s="10" t="str">
        <f aca="false">INDEX('Site-uri'!$C$2:$C$20,MATCH(A938,'Site-uri'!$A$2:$A$20,0))</f>
        <v>/</v>
      </c>
      <c r="H938" s="10" t="str">
        <f aca="false">Config!$B$3</f>
        <v>2610_ff_lansare</v>
      </c>
      <c r="I938" s="10" t="str">
        <f aca="false">D938&amp;"_"&amp;Config!$B$4</f>
        <v>rece_general</v>
      </c>
      <c r="J938" s="10" t="str">
        <f aca="false">"https://"&amp;B938&amp;G938&amp;"?utm_source="&amp;E938&amp;"&amp;utm_medium="&amp;F938&amp;"&amp;utm_campaign="&amp;H938&amp;"&amp;utm_content="&amp;I938</f>
        <v>https://eu-ai-act.ro/?utm_source=linkedin_showcase&amp;utm_medium=social&amp;utm_campaign=2610_ff_lansare&amp;utm_content=rece_general</v>
      </c>
    </row>
    <row r="939" customFormat="false" ht="15" hidden="false" customHeight="false" outlineLevel="0" collapsed="false">
      <c r="A939" s="10" t="s">
        <v>70</v>
      </c>
      <c r="B939" s="10" t="str">
        <f aca="false">INDEX('Site-uri'!$B$2:$B$20,MATCH(A939,'Site-uri'!$A$2:$A$20,0))</f>
        <v>eu-ai-act.ro</v>
      </c>
      <c r="C939" s="10" t="s">
        <v>112</v>
      </c>
      <c r="D939" s="10" t="s">
        <v>225</v>
      </c>
      <c r="E939" s="10" t="str">
        <f aca="false">INDEX(Canale!$C$2:$C$30,MATCH(C939,Canale!$A$2:$A$30,0))</f>
        <v>linkedin_showcase</v>
      </c>
      <c r="F939" s="10" t="str">
        <f aca="false">INDEX(Canale!$D$2:$D$30,MATCH(C939,Canale!$A$2:$A$30,0))</f>
        <v>social</v>
      </c>
      <c r="G939" s="10" t="str">
        <f aca="false">INDEX('Site-uri'!$C$2:$C$20,MATCH(A939,'Site-uri'!$A$2:$A$20,0))</f>
        <v>/</v>
      </c>
      <c r="H939" s="10" t="str">
        <f aca="false">Config!$B$3</f>
        <v>2610_ff_lansare</v>
      </c>
      <c r="I939" s="10" t="str">
        <f aca="false">D939&amp;"_"&amp;Config!$B$4</f>
        <v>cald_general</v>
      </c>
      <c r="J939" s="10" t="str">
        <f aca="false">"https://"&amp;B939&amp;G939&amp;"?utm_source="&amp;E939&amp;"&amp;utm_medium="&amp;F939&amp;"&amp;utm_campaign="&amp;H939&amp;"&amp;utm_content="&amp;I939</f>
        <v>https://eu-ai-act.ro/?utm_source=linkedin_showcase&amp;utm_medium=social&amp;utm_campaign=2610_ff_lansare&amp;utm_content=cald_general</v>
      </c>
    </row>
    <row r="940" customFormat="false" ht="15" hidden="false" customHeight="false" outlineLevel="0" collapsed="false">
      <c r="A940" s="10" t="s">
        <v>70</v>
      </c>
      <c r="B940" s="10" t="str">
        <f aca="false">INDEX('Site-uri'!$B$2:$B$20,MATCH(A940,'Site-uri'!$A$2:$A$20,0))</f>
        <v>eu-ai-act.ro</v>
      </c>
      <c r="C940" s="10" t="s">
        <v>112</v>
      </c>
      <c r="D940" s="10" t="s">
        <v>231</v>
      </c>
      <c r="E940" s="10" t="str">
        <f aca="false">INDEX(Canale!$C$2:$C$30,MATCH(C940,Canale!$A$2:$A$30,0))</f>
        <v>linkedin_showcase</v>
      </c>
      <c r="F940" s="10" t="str">
        <f aca="false">INDEX(Canale!$D$2:$D$30,MATCH(C940,Canale!$A$2:$A$30,0))</f>
        <v>social</v>
      </c>
      <c r="G940" s="10" t="str">
        <f aca="false">INDEX('Site-uri'!$C$2:$C$20,MATCH(A940,'Site-uri'!$A$2:$A$20,0))</f>
        <v>/</v>
      </c>
      <c r="H940" s="10" t="str">
        <f aca="false">Config!$B$3</f>
        <v>2610_ff_lansare</v>
      </c>
      <c r="I940" s="10" t="str">
        <f aca="false">D940&amp;"_"&amp;Config!$B$4</f>
        <v>fierbinte_general</v>
      </c>
      <c r="J940" s="10" t="str">
        <f aca="false">"https://"&amp;B940&amp;G940&amp;"?utm_source="&amp;E940&amp;"&amp;utm_medium="&amp;F940&amp;"&amp;utm_campaign="&amp;H940&amp;"&amp;utm_content="&amp;I940</f>
        <v>https://eu-ai-act.ro/?utm_source=linkedin_showcase&amp;utm_medium=social&amp;utm_campaign=2610_ff_lansare&amp;utm_content=fierbinte_general</v>
      </c>
    </row>
    <row r="941" customFormat="false" ht="15" hidden="false" customHeight="false" outlineLevel="0" collapsed="false">
      <c r="A941" s="10" t="s">
        <v>70</v>
      </c>
      <c r="B941" s="10" t="str">
        <f aca="false">INDEX('Site-uri'!$B$2:$B$20,MATCH(A941,'Site-uri'!$A$2:$A$20,0))</f>
        <v>eu-ai-act.ro</v>
      </c>
      <c r="C941" s="10" t="s">
        <v>112</v>
      </c>
      <c r="D941" s="10" t="s">
        <v>237</v>
      </c>
      <c r="E941" s="10" t="str">
        <f aca="false">INDEX(Canale!$C$2:$C$30,MATCH(C941,Canale!$A$2:$A$30,0))</f>
        <v>linkedin_showcase</v>
      </c>
      <c r="F941" s="10" t="str">
        <f aca="false">INDEX(Canale!$D$2:$D$30,MATCH(C941,Canale!$A$2:$A$30,0))</f>
        <v>social</v>
      </c>
      <c r="G941" s="10" t="str">
        <f aca="false">INDEX('Site-uri'!$C$2:$C$20,MATCH(A941,'Site-uri'!$A$2:$A$20,0))</f>
        <v>/</v>
      </c>
      <c r="H941" s="10" t="str">
        <f aca="false">Config!$B$3</f>
        <v>2610_ff_lansare</v>
      </c>
      <c r="I941" s="10" t="str">
        <f aca="false">D941&amp;"_"&amp;Config!$B$4</f>
        <v>client_general</v>
      </c>
      <c r="J941" s="10" t="str">
        <f aca="false">"https://"&amp;B941&amp;G941&amp;"?utm_source="&amp;E941&amp;"&amp;utm_medium="&amp;F941&amp;"&amp;utm_campaign="&amp;H941&amp;"&amp;utm_content="&amp;I941</f>
        <v>https://eu-ai-act.ro/?utm_source=linkedin_showcase&amp;utm_medium=social&amp;utm_campaign=2610_ff_lansare&amp;utm_content=client_general</v>
      </c>
    </row>
    <row r="942" customFormat="false" ht="15" hidden="false" customHeight="false" outlineLevel="0" collapsed="false">
      <c r="A942" s="10" t="s">
        <v>70</v>
      </c>
      <c r="B942" s="10" t="str">
        <f aca="false">INDEX('Site-uri'!$B$2:$B$20,MATCH(A942,'Site-uri'!$A$2:$A$20,0))</f>
        <v>eu-ai-act.ro</v>
      </c>
      <c r="C942" s="10" t="s">
        <v>115</v>
      </c>
      <c r="D942" s="10" t="s">
        <v>219</v>
      </c>
      <c r="E942" s="10" t="str">
        <f aca="false">INDEX(Canale!$C$2:$C$30,MATCH(C942,Canale!$A$2:$A$30,0))</f>
        <v>linkedin_newsletter</v>
      </c>
      <c r="F942" s="10" t="str">
        <f aca="false">INDEX(Canale!$D$2:$D$30,MATCH(C942,Canale!$A$2:$A$30,0))</f>
        <v>social</v>
      </c>
      <c r="G942" s="10" t="str">
        <f aca="false">INDEX('Site-uri'!$C$2:$C$20,MATCH(A942,'Site-uri'!$A$2:$A$20,0))</f>
        <v>/</v>
      </c>
      <c r="H942" s="10" t="str">
        <f aca="false">Config!$B$3</f>
        <v>2610_ff_lansare</v>
      </c>
      <c r="I942" s="10" t="str">
        <f aca="false">D942&amp;"_"&amp;Config!$B$4</f>
        <v>rece_general</v>
      </c>
      <c r="J942" s="10" t="str">
        <f aca="false">"https://"&amp;B942&amp;G942&amp;"?utm_source="&amp;E942&amp;"&amp;utm_medium="&amp;F942&amp;"&amp;utm_campaign="&amp;H942&amp;"&amp;utm_content="&amp;I942</f>
        <v>https://eu-ai-act.ro/?utm_source=linkedin_newsletter&amp;utm_medium=social&amp;utm_campaign=2610_ff_lansare&amp;utm_content=rece_general</v>
      </c>
    </row>
    <row r="943" customFormat="false" ht="15" hidden="false" customHeight="false" outlineLevel="0" collapsed="false">
      <c r="A943" s="10" t="s">
        <v>70</v>
      </c>
      <c r="B943" s="10" t="str">
        <f aca="false">INDEX('Site-uri'!$B$2:$B$20,MATCH(A943,'Site-uri'!$A$2:$A$20,0))</f>
        <v>eu-ai-act.ro</v>
      </c>
      <c r="C943" s="10" t="s">
        <v>115</v>
      </c>
      <c r="D943" s="10" t="s">
        <v>225</v>
      </c>
      <c r="E943" s="10" t="str">
        <f aca="false">INDEX(Canale!$C$2:$C$30,MATCH(C943,Canale!$A$2:$A$30,0))</f>
        <v>linkedin_newsletter</v>
      </c>
      <c r="F943" s="10" t="str">
        <f aca="false">INDEX(Canale!$D$2:$D$30,MATCH(C943,Canale!$A$2:$A$30,0))</f>
        <v>social</v>
      </c>
      <c r="G943" s="10" t="str">
        <f aca="false">INDEX('Site-uri'!$C$2:$C$20,MATCH(A943,'Site-uri'!$A$2:$A$20,0))</f>
        <v>/</v>
      </c>
      <c r="H943" s="10" t="str">
        <f aca="false">Config!$B$3</f>
        <v>2610_ff_lansare</v>
      </c>
      <c r="I943" s="10" t="str">
        <f aca="false">D943&amp;"_"&amp;Config!$B$4</f>
        <v>cald_general</v>
      </c>
      <c r="J943" s="10" t="str">
        <f aca="false">"https://"&amp;B943&amp;G943&amp;"?utm_source="&amp;E943&amp;"&amp;utm_medium="&amp;F943&amp;"&amp;utm_campaign="&amp;H943&amp;"&amp;utm_content="&amp;I943</f>
        <v>https://eu-ai-act.ro/?utm_source=linkedin_newsletter&amp;utm_medium=social&amp;utm_campaign=2610_ff_lansare&amp;utm_content=cald_general</v>
      </c>
    </row>
    <row r="944" customFormat="false" ht="15" hidden="false" customHeight="false" outlineLevel="0" collapsed="false">
      <c r="A944" s="10" t="s">
        <v>70</v>
      </c>
      <c r="B944" s="10" t="str">
        <f aca="false">INDEX('Site-uri'!$B$2:$B$20,MATCH(A944,'Site-uri'!$A$2:$A$20,0))</f>
        <v>eu-ai-act.ro</v>
      </c>
      <c r="C944" s="10" t="s">
        <v>115</v>
      </c>
      <c r="D944" s="10" t="s">
        <v>231</v>
      </c>
      <c r="E944" s="10" t="str">
        <f aca="false">INDEX(Canale!$C$2:$C$30,MATCH(C944,Canale!$A$2:$A$30,0))</f>
        <v>linkedin_newsletter</v>
      </c>
      <c r="F944" s="10" t="str">
        <f aca="false">INDEX(Canale!$D$2:$D$30,MATCH(C944,Canale!$A$2:$A$30,0))</f>
        <v>social</v>
      </c>
      <c r="G944" s="10" t="str">
        <f aca="false">INDEX('Site-uri'!$C$2:$C$20,MATCH(A944,'Site-uri'!$A$2:$A$20,0))</f>
        <v>/</v>
      </c>
      <c r="H944" s="10" t="str">
        <f aca="false">Config!$B$3</f>
        <v>2610_ff_lansare</v>
      </c>
      <c r="I944" s="10" t="str">
        <f aca="false">D944&amp;"_"&amp;Config!$B$4</f>
        <v>fierbinte_general</v>
      </c>
      <c r="J944" s="10" t="str">
        <f aca="false">"https://"&amp;B944&amp;G944&amp;"?utm_source="&amp;E944&amp;"&amp;utm_medium="&amp;F944&amp;"&amp;utm_campaign="&amp;H944&amp;"&amp;utm_content="&amp;I944</f>
        <v>https://eu-ai-act.ro/?utm_source=linkedin_newsletter&amp;utm_medium=social&amp;utm_campaign=2610_ff_lansare&amp;utm_content=fierbinte_general</v>
      </c>
    </row>
    <row r="945" customFormat="false" ht="15" hidden="false" customHeight="false" outlineLevel="0" collapsed="false">
      <c r="A945" s="10" t="s">
        <v>70</v>
      </c>
      <c r="B945" s="10" t="str">
        <f aca="false">INDEX('Site-uri'!$B$2:$B$20,MATCH(A945,'Site-uri'!$A$2:$A$20,0))</f>
        <v>eu-ai-act.ro</v>
      </c>
      <c r="C945" s="10" t="s">
        <v>115</v>
      </c>
      <c r="D945" s="10" t="s">
        <v>237</v>
      </c>
      <c r="E945" s="10" t="str">
        <f aca="false">INDEX(Canale!$C$2:$C$30,MATCH(C945,Canale!$A$2:$A$30,0))</f>
        <v>linkedin_newsletter</v>
      </c>
      <c r="F945" s="10" t="str">
        <f aca="false">INDEX(Canale!$D$2:$D$30,MATCH(C945,Canale!$A$2:$A$30,0))</f>
        <v>social</v>
      </c>
      <c r="G945" s="10" t="str">
        <f aca="false">INDEX('Site-uri'!$C$2:$C$20,MATCH(A945,'Site-uri'!$A$2:$A$20,0))</f>
        <v>/</v>
      </c>
      <c r="H945" s="10" t="str">
        <f aca="false">Config!$B$3</f>
        <v>2610_ff_lansare</v>
      </c>
      <c r="I945" s="10" t="str">
        <f aca="false">D945&amp;"_"&amp;Config!$B$4</f>
        <v>client_general</v>
      </c>
      <c r="J945" s="10" t="str">
        <f aca="false">"https://"&amp;B945&amp;G945&amp;"?utm_source="&amp;E945&amp;"&amp;utm_medium="&amp;F945&amp;"&amp;utm_campaign="&amp;H945&amp;"&amp;utm_content="&amp;I945</f>
        <v>https://eu-ai-act.ro/?utm_source=linkedin_newsletter&amp;utm_medium=social&amp;utm_campaign=2610_ff_lansare&amp;utm_content=client_general</v>
      </c>
    </row>
    <row r="946" customFormat="false" ht="15" hidden="false" customHeight="false" outlineLevel="0" collapsed="false">
      <c r="A946" s="10" t="s">
        <v>70</v>
      </c>
      <c r="B946" s="10" t="str">
        <f aca="false">INDEX('Site-uri'!$B$2:$B$20,MATCH(A946,'Site-uri'!$A$2:$A$20,0))</f>
        <v>eu-ai-act.ro</v>
      </c>
      <c r="C946" s="10" t="s">
        <v>118</v>
      </c>
      <c r="D946" s="10" t="s">
        <v>219</v>
      </c>
      <c r="E946" s="10" t="str">
        <f aca="false">INDEX(Canale!$C$2:$C$30,MATCH(C946,Canale!$A$2:$A$30,0))</f>
        <v>linkedin_ads</v>
      </c>
      <c r="F946" s="10" t="str">
        <f aca="false">INDEX(Canale!$D$2:$D$30,MATCH(C946,Canale!$A$2:$A$30,0))</f>
        <v>paid_social</v>
      </c>
      <c r="G946" s="10" t="str">
        <f aca="false">INDEX('Site-uri'!$C$2:$C$20,MATCH(A946,'Site-uri'!$A$2:$A$20,0))</f>
        <v>/</v>
      </c>
      <c r="H946" s="10" t="str">
        <f aca="false">Config!$B$3</f>
        <v>2610_ff_lansare</v>
      </c>
      <c r="I946" s="10" t="str">
        <f aca="false">D946&amp;"_"&amp;Config!$B$4</f>
        <v>rece_general</v>
      </c>
      <c r="J946" s="10" t="str">
        <f aca="false">"https://"&amp;B946&amp;G946&amp;"?utm_source="&amp;E946&amp;"&amp;utm_medium="&amp;F946&amp;"&amp;utm_campaign="&amp;H946&amp;"&amp;utm_content="&amp;I946</f>
        <v>https://eu-ai-act.ro/?utm_source=linkedin_ads&amp;utm_medium=paid_social&amp;utm_campaign=2610_ff_lansare&amp;utm_content=rece_general</v>
      </c>
    </row>
    <row r="947" customFormat="false" ht="15" hidden="false" customHeight="false" outlineLevel="0" collapsed="false">
      <c r="A947" s="10" t="s">
        <v>70</v>
      </c>
      <c r="B947" s="10" t="str">
        <f aca="false">INDEX('Site-uri'!$B$2:$B$20,MATCH(A947,'Site-uri'!$A$2:$A$20,0))</f>
        <v>eu-ai-act.ro</v>
      </c>
      <c r="C947" s="10" t="s">
        <v>118</v>
      </c>
      <c r="D947" s="10" t="s">
        <v>225</v>
      </c>
      <c r="E947" s="10" t="str">
        <f aca="false">INDEX(Canale!$C$2:$C$30,MATCH(C947,Canale!$A$2:$A$30,0))</f>
        <v>linkedin_ads</v>
      </c>
      <c r="F947" s="10" t="str">
        <f aca="false">INDEX(Canale!$D$2:$D$30,MATCH(C947,Canale!$A$2:$A$30,0))</f>
        <v>paid_social</v>
      </c>
      <c r="G947" s="10" t="str">
        <f aca="false">INDEX('Site-uri'!$C$2:$C$20,MATCH(A947,'Site-uri'!$A$2:$A$20,0))</f>
        <v>/</v>
      </c>
      <c r="H947" s="10" t="str">
        <f aca="false">Config!$B$3</f>
        <v>2610_ff_lansare</v>
      </c>
      <c r="I947" s="10" t="str">
        <f aca="false">D947&amp;"_"&amp;Config!$B$4</f>
        <v>cald_general</v>
      </c>
      <c r="J947" s="10" t="str">
        <f aca="false">"https://"&amp;B947&amp;G947&amp;"?utm_source="&amp;E947&amp;"&amp;utm_medium="&amp;F947&amp;"&amp;utm_campaign="&amp;H947&amp;"&amp;utm_content="&amp;I947</f>
        <v>https://eu-ai-act.ro/?utm_source=linkedin_ads&amp;utm_medium=paid_social&amp;utm_campaign=2610_ff_lansare&amp;utm_content=cald_general</v>
      </c>
    </row>
    <row r="948" customFormat="false" ht="15" hidden="false" customHeight="false" outlineLevel="0" collapsed="false">
      <c r="A948" s="10" t="s">
        <v>70</v>
      </c>
      <c r="B948" s="10" t="str">
        <f aca="false">INDEX('Site-uri'!$B$2:$B$20,MATCH(A948,'Site-uri'!$A$2:$A$20,0))</f>
        <v>eu-ai-act.ro</v>
      </c>
      <c r="C948" s="10" t="s">
        <v>118</v>
      </c>
      <c r="D948" s="10" t="s">
        <v>231</v>
      </c>
      <c r="E948" s="10" t="str">
        <f aca="false">INDEX(Canale!$C$2:$C$30,MATCH(C948,Canale!$A$2:$A$30,0))</f>
        <v>linkedin_ads</v>
      </c>
      <c r="F948" s="10" t="str">
        <f aca="false">INDEX(Canale!$D$2:$D$30,MATCH(C948,Canale!$A$2:$A$30,0))</f>
        <v>paid_social</v>
      </c>
      <c r="G948" s="10" t="str">
        <f aca="false">INDEX('Site-uri'!$C$2:$C$20,MATCH(A948,'Site-uri'!$A$2:$A$20,0))</f>
        <v>/</v>
      </c>
      <c r="H948" s="10" t="str">
        <f aca="false">Config!$B$3</f>
        <v>2610_ff_lansare</v>
      </c>
      <c r="I948" s="10" t="str">
        <f aca="false">D948&amp;"_"&amp;Config!$B$4</f>
        <v>fierbinte_general</v>
      </c>
      <c r="J948" s="10" t="str">
        <f aca="false">"https://"&amp;B948&amp;G948&amp;"?utm_source="&amp;E948&amp;"&amp;utm_medium="&amp;F948&amp;"&amp;utm_campaign="&amp;H948&amp;"&amp;utm_content="&amp;I948</f>
        <v>https://eu-ai-act.ro/?utm_source=linkedin_ads&amp;utm_medium=paid_social&amp;utm_campaign=2610_ff_lansare&amp;utm_content=fierbinte_general</v>
      </c>
    </row>
    <row r="949" customFormat="false" ht="15" hidden="false" customHeight="false" outlineLevel="0" collapsed="false">
      <c r="A949" s="10" t="s">
        <v>70</v>
      </c>
      <c r="B949" s="10" t="str">
        <f aca="false">INDEX('Site-uri'!$B$2:$B$20,MATCH(A949,'Site-uri'!$A$2:$A$20,0))</f>
        <v>eu-ai-act.ro</v>
      </c>
      <c r="C949" s="10" t="s">
        <v>118</v>
      </c>
      <c r="D949" s="10" t="s">
        <v>237</v>
      </c>
      <c r="E949" s="10" t="str">
        <f aca="false">INDEX(Canale!$C$2:$C$30,MATCH(C949,Canale!$A$2:$A$30,0))</f>
        <v>linkedin_ads</v>
      </c>
      <c r="F949" s="10" t="str">
        <f aca="false">INDEX(Canale!$D$2:$D$30,MATCH(C949,Canale!$A$2:$A$30,0))</f>
        <v>paid_social</v>
      </c>
      <c r="G949" s="10" t="str">
        <f aca="false">INDEX('Site-uri'!$C$2:$C$20,MATCH(A949,'Site-uri'!$A$2:$A$20,0))</f>
        <v>/</v>
      </c>
      <c r="H949" s="10" t="str">
        <f aca="false">Config!$B$3</f>
        <v>2610_ff_lansare</v>
      </c>
      <c r="I949" s="10" t="str">
        <f aca="false">D949&amp;"_"&amp;Config!$B$4</f>
        <v>client_general</v>
      </c>
      <c r="J949" s="10" t="str">
        <f aca="false">"https://"&amp;B949&amp;G949&amp;"?utm_source="&amp;E949&amp;"&amp;utm_medium="&amp;F949&amp;"&amp;utm_campaign="&amp;H949&amp;"&amp;utm_content="&amp;I949</f>
        <v>https://eu-ai-act.ro/?utm_source=linkedin_ads&amp;utm_medium=paid_social&amp;utm_campaign=2610_ff_lansare&amp;utm_content=client_general</v>
      </c>
    </row>
    <row r="950" customFormat="false" ht="15" hidden="false" customHeight="false" outlineLevel="0" collapsed="false">
      <c r="A950" s="10" t="s">
        <v>70</v>
      </c>
      <c r="B950" s="10" t="str">
        <f aca="false">INDEX('Site-uri'!$B$2:$B$20,MATCH(A950,'Site-uri'!$A$2:$A$20,0))</f>
        <v>eu-ai-act.ro</v>
      </c>
      <c r="C950" s="10" t="s">
        <v>122</v>
      </c>
      <c r="D950" s="10" t="s">
        <v>219</v>
      </c>
      <c r="E950" s="10" t="str">
        <f aca="false">INDEX(Canale!$C$2:$C$30,MATCH(C950,Canale!$A$2:$A$30,0))</f>
        <v>linkedin_dm</v>
      </c>
      <c r="F950" s="10" t="str">
        <f aca="false">INDEX(Canale!$D$2:$D$30,MATCH(C950,Canale!$A$2:$A$30,0))</f>
        <v>dm</v>
      </c>
      <c r="G950" s="10" t="str">
        <f aca="false">INDEX('Site-uri'!$C$2:$C$20,MATCH(A950,'Site-uri'!$A$2:$A$20,0))</f>
        <v>/</v>
      </c>
      <c r="H950" s="10" t="str">
        <f aca="false">Config!$B$3</f>
        <v>2610_ff_lansare</v>
      </c>
      <c r="I950" s="10" t="str">
        <f aca="false">D950&amp;"_"&amp;Config!$B$4</f>
        <v>rece_general</v>
      </c>
      <c r="J950" s="10" t="str">
        <f aca="false">"https://"&amp;B950&amp;G950&amp;"?utm_source="&amp;E950&amp;"&amp;utm_medium="&amp;F950&amp;"&amp;utm_campaign="&amp;H950&amp;"&amp;utm_content="&amp;I950</f>
        <v>https://eu-ai-act.ro/?utm_source=linkedin_dm&amp;utm_medium=dm&amp;utm_campaign=2610_ff_lansare&amp;utm_content=rece_general</v>
      </c>
    </row>
    <row r="951" customFormat="false" ht="15" hidden="false" customHeight="false" outlineLevel="0" collapsed="false">
      <c r="A951" s="10" t="s">
        <v>70</v>
      </c>
      <c r="B951" s="10" t="str">
        <f aca="false">INDEX('Site-uri'!$B$2:$B$20,MATCH(A951,'Site-uri'!$A$2:$A$20,0))</f>
        <v>eu-ai-act.ro</v>
      </c>
      <c r="C951" s="10" t="s">
        <v>122</v>
      </c>
      <c r="D951" s="10" t="s">
        <v>225</v>
      </c>
      <c r="E951" s="10" t="str">
        <f aca="false">INDEX(Canale!$C$2:$C$30,MATCH(C951,Canale!$A$2:$A$30,0))</f>
        <v>linkedin_dm</v>
      </c>
      <c r="F951" s="10" t="str">
        <f aca="false">INDEX(Canale!$D$2:$D$30,MATCH(C951,Canale!$A$2:$A$30,0))</f>
        <v>dm</v>
      </c>
      <c r="G951" s="10" t="str">
        <f aca="false">INDEX('Site-uri'!$C$2:$C$20,MATCH(A951,'Site-uri'!$A$2:$A$20,0))</f>
        <v>/</v>
      </c>
      <c r="H951" s="10" t="str">
        <f aca="false">Config!$B$3</f>
        <v>2610_ff_lansare</v>
      </c>
      <c r="I951" s="10" t="str">
        <f aca="false">D951&amp;"_"&amp;Config!$B$4</f>
        <v>cald_general</v>
      </c>
      <c r="J951" s="10" t="str">
        <f aca="false">"https://"&amp;B951&amp;G951&amp;"?utm_source="&amp;E951&amp;"&amp;utm_medium="&amp;F951&amp;"&amp;utm_campaign="&amp;H951&amp;"&amp;utm_content="&amp;I951</f>
        <v>https://eu-ai-act.ro/?utm_source=linkedin_dm&amp;utm_medium=dm&amp;utm_campaign=2610_ff_lansare&amp;utm_content=cald_general</v>
      </c>
    </row>
    <row r="952" customFormat="false" ht="15" hidden="false" customHeight="false" outlineLevel="0" collapsed="false">
      <c r="A952" s="10" t="s">
        <v>70</v>
      </c>
      <c r="B952" s="10" t="str">
        <f aca="false">INDEX('Site-uri'!$B$2:$B$20,MATCH(A952,'Site-uri'!$A$2:$A$20,0))</f>
        <v>eu-ai-act.ro</v>
      </c>
      <c r="C952" s="10" t="s">
        <v>122</v>
      </c>
      <c r="D952" s="10" t="s">
        <v>231</v>
      </c>
      <c r="E952" s="10" t="str">
        <f aca="false">INDEX(Canale!$C$2:$C$30,MATCH(C952,Canale!$A$2:$A$30,0))</f>
        <v>linkedin_dm</v>
      </c>
      <c r="F952" s="10" t="str">
        <f aca="false">INDEX(Canale!$D$2:$D$30,MATCH(C952,Canale!$A$2:$A$30,0))</f>
        <v>dm</v>
      </c>
      <c r="G952" s="10" t="str">
        <f aca="false">INDEX('Site-uri'!$C$2:$C$20,MATCH(A952,'Site-uri'!$A$2:$A$20,0))</f>
        <v>/</v>
      </c>
      <c r="H952" s="10" t="str">
        <f aca="false">Config!$B$3</f>
        <v>2610_ff_lansare</v>
      </c>
      <c r="I952" s="10" t="str">
        <f aca="false">D952&amp;"_"&amp;Config!$B$4</f>
        <v>fierbinte_general</v>
      </c>
      <c r="J952" s="10" t="str">
        <f aca="false">"https://"&amp;B952&amp;G952&amp;"?utm_source="&amp;E952&amp;"&amp;utm_medium="&amp;F952&amp;"&amp;utm_campaign="&amp;H952&amp;"&amp;utm_content="&amp;I952</f>
        <v>https://eu-ai-act.ro/?utm_source=linkedin_dm&amp;utm_medium=dm&amp;utm_campaign=2610_ff_lansare&amp;utm_content=fierbinte_general</v>
      </c>
    </row>
    <row r="953" customFormat="false" ht="15" hidden="false" customHeight="false" outlineLevel="0" collapsed="false">
      <c r="A953" s="10" t="s">
        <v>70</v>
      </c>
      <c r="B953" s="10" t="str">
        <f aca="false">INDEX('Site-uri'!$B$2:$B$20,MATCH(A953,'Site-uri'!$A$2:$A$20,0))</f>
        <v>eu-ai-act.ro</v>
      </c>
      <c r="C953" s="10" t="s">
        <v>122</v>
      </c>
      <c r="D953" s="10" t="s">
        <v>237</v>
      </c>
      <c r="E953" s="10" t="str">
        <f aca="false">INDEX(Canale!$C$2:$C$30,MATCH(C953,Canale!$A$2:$A$30,0))</f>
        <v>linkedin_dm</v>
      </c>
      <c r="F953" s="10" t="str">
        <f aca="false">INDEX(Canale!$D$2:$D$30,MATCH(C953,Canale!$A$2:$A$30,0))</f>
        <v>dm</v>
      </c>
      <c r="G953" s="10" t="str">
        <f aca="false">INDEX('Site-uri'!$C$2:$C$20,MATCH(A953,'Site-uri'!$A$2:$A$20,0))</f>
        <v>/</v>
      </c>
      <c r="H953" s="10" t="str">
        <f aca="false">Config!$B$3</f>
        <v>2610_ff_lansare</v>
      </c>
      <c r="I953" s="10" t="str">
        <f aca="false">D953&amp;"_"&amp;Config!$B$4</f>
        <v>client_general</v>
      </c>
      <c r="J953" s="10" t="str">
        <f aca="false">"https://"&amp;B953&amp;G953&amp;"?utm_source="&amp;E953&amp;"&amp;utm_medium="&amp;F953&amp;"&amp;utm_campaign="&amp;H953&amp;"&amp;utm_content="&amp;I953</f>
        <v>https://eu-ai-act.ro/?utm_source=linkedin_dm&amp;utm_medium=dm&amp;utm_campaign=2610_ff_lansare&amp;utm_content=client_general</v>
      </c>
    </row>
    <row r="954" customFormat="false" ht="15" hidden="false" customHeight="false" outlineLevel="0" collapsed="false">
      <c r="A954" s="10" t="s">
        <v>70</v>
      </c>
      <c r="B954" s="10" t="str">
        <f aca="false">INDEX('Site-uri'!$B$2:$B$20,MATCH(A954,'Site-uri'!$A$2:$A$20,0))</f>
        <v>eu-ai-act.ro</v>
      </c>
      <c r="C954" s="10" t="s">
        <v>126</v>
      </c>
      <c r="D954" s="10" t="s">
        <v>219</v>
      </c>
      <c r="E954" s="10" t="str">
        <f aca="false">INDEX(Canale!$C$2:$C$30,MATCH(C954,Canale!$A$2:$A$30,0))</f>
        <v>email_outreach</v>
      </c>
      <c r="F954" s="10" t="str">
        <f aca="false">INDEX(Canale!$D$2:$D$30,MATCH(C954,Canale!$A$2:$A$30,0))</f>
        <v>email</v>
      </c>
      <c r="G954" s="10" t="str">
        <f aca="false">INDEX('Site-uri'!$C$2:$C$20,MATCH(A954,'Site-uri'!$A$2:$A$20,0))</f>
        <v>/</v>
      </c>
      <c r="H954" s="10" t="str">
        <f aca="false">Config!$B$3</f>
        <v>2610_ff_lansare</v>
      </c>
      <c r="I954" s="10" t="str">
        <f aca="false">D954&amp;"_"&amp;Config!$B$4</f>
        <v>rece_general</v>
      </c>
      <c r="J954" s="10" t="str">
        <f aca="false">"https://"&amp;B954&amp;G954&amp;"?utm_source="&amp;E954&amp;"&amp;utm_medium="&amp;F954&amp;"&amp;utm_campaign="&amp;H954&amp;"&amp;utm_content="&amp;I954</f>
        <v>https://eu-ai-act.ro/?utm_source=email_outreach&amp;utm_medium=email&amp;utm_campaign=2610_ff_lansare&amp;utm_content=rece_general</v>
      </c>
    </row>
    <row r="955" customFormat="false" ht="15" hidden="false" customHeight="false" outlineLevel="0" collapsed="false">
      <c r="A955" s="10" t="s">
        <v>70</v>
      </c>
      <c r="B955" s="10" t="str">
        <f aca="false">INDEX('Site-uri'!$B$2:$B$20,MATCH(A955,'Site-uri'!$A$2:$A$20,0))</f>
        <v>eu-ai-act.ro</v>
      </c>
      <c r="C955" s="10" t="s">
        <v>126</v>
      </c>
      <c r="D955" s="10" t="s">
        <v>225</v>
      </c>
      <c r="E955" s="10" t="str">
        <f aca="false">INDEX(Canale!$C$2:$C$30,MATCH(C955,Canale!$A$2:$A$30,0))</f>
        <v>email_outreach</v>
      </c>
      <c r="F955" s="10" t="str">
        <f aca="false">INDEX(Canale!$D$2:$D$30,MATCH(C955,Canale!$A$2:$A$30,0))</f>
        <v>email</v>
      </c>
      <c r="G955" s="10" t="str">
        <f aca="false">INDEX('Site-uri'!$C$2:$C$20,MATCH(A955,'Site-uri'!$A$2:$A$20,0))</f>
        <v>/</v>
      </c>
      <c r="H955" s="10" t="str">
        <f aca="false">Config!$B$3</f>
        <v>2610_ff_lansare</v>
      </c>
      <c r="I955" s="10" t="str">
        <f aca="false">D955&amp;"_"&amp;Config!$B$4</f>
        <v>cald_general</v>
      </c>
      <c r="J955" s="10" t="str">
        <f aca="false">"https://"&amp;B955&amp;G955&amp;"?utm_source="&amp;E955&amp;"&amp;utm_medium="&amp;F955&amp;"&amp;utm_campaign="&amp;H955&amp;"&amp;utm_content="&amp;I955</f>
        <v>https://eu-ai-act.ro/?utm_source=email_outreach&amp;utm_medium=email&amp;utm_campaign=2610_ff_lansare&amp;utm_content=cald_general</v>
      </c>
    </row>
    <row r="956" customFormat="false" ht="15" hidden="false" customHeight="false" outlineLevel="0" collapsed="false">
      <c r="A956" s="10" t="s">
        <v>70</v>
      </c>
      <c r="B956" s="10" t="str">
        <f aca="false">INDEX('Site-uri'!$B$2:$B$20,MATCH(A956,'Site-uri'!$A$2:$A$20,0))</f>
        <v>eu-ai-act.ro</v>
      </c>
      <c r="C956" s="10" t="s">
        <v>126</v>
      </c>
      <c r="D956" s="10" t="s">
        <v>231</v>
      </c>
      <c r="E956" s="10" t="str">
        <f aca="false">INDEX(Canale!$C$2:$C$30,MATCH(C956,Canale!$A$2:$A$30,0))</f>
        <v>email_outreach</v>
      </c>
      <c r="F956" s="10" t="str">
        <f aca="false">INDEX(Canale!$D$2:$D$30,MATCH(C956,Canale!$A$2:$A$30,0))</f>
        <v>email</v>
      </c>
      <c r="G956" s="10" t="str">
        <f aca="false">INDEX('Site-uri'!$C$2:$C$20,MATCH(A956,'Site-uri'!$A$2:$A$20,0))</f>
        <v>/</v>
      </c>
      <c r="H956" s="10" t="str">
        <f aca="false">Config!$B$3</f>
        <v>2610_ff_lansare</v>
      </c>
      <c r="I956" s="10" t="str">
        <f aca="false">D956&amp;"_"&amp;Config!$B$4</f>
        <v>fierbinte_general</v>
      </c>
      <c r="J956" s="10" t="str">
        <f aca="false">"https://"&amp;B956&amp;G956&amp;"?utm_source="&amp;E956&amp;"&amp;utm_medium="&amp;F956&amp;"&amp;utm_campaign="&amp;H956&amp;"&amp;utm_content="&amp;I956</f>
        <v>https://eu-ai-act.ro/?utm_source=email_outreach&amp;utm_medium=email&amp;utm_campaign=2610_ff_lansare&amp;utm_content=fierbinte_general</v>
      </c>
    </row>
    <row r="957" customFormat="false" ht="15" hidden="false" customHeight="false" outlineLevel="0" collapsed="false">
      <c r="A957" s="10" t="s">
        <v>70</v>
      </c>
      <c r="B957" s="10" t="str">
        <f aca="false">INDEX('Site-uri'!$B$2:$B$20,MATCH(A957,'Site-uri'!$A$2:$A$20,0))</f>
        <v>eu-ai-act.ro</v>
      </c>
      <c r="C957" s="10" t="s">
        <v>126</v>
      </c>
      <c r="D957" s="10" t="s">
        <v>237</v>
      </c>
      <c r="E957" s="10" t="str">
        <f aca="false">INDEX(Canale!$C$2:$C$30,MATCH(C957,Canale!$A$2:$A$30,0))</f>
        <v>email_outreach</v>
      </c>
      <c r="F957" s="10" t="str">
        <f aca="false">INDEX(Canale!$D$2:$D$30,MATCH(C957,Canale!$A$2:$A$30,0))</f>
        <v>email</v>
      </c>
      <c r="G957" s="10" t="str">
        <f aca="false">INDEX('Site-uri'!$C$2:$C$20,MATCH(A957,'Site-uri'!$A$2:$A$20,0))</f>
        <v>/</v>
      </c>
      <c r="H957" s="10" t="str">
        <f aca="false">Config!$B$3</f>
        <v>2610_ff_lansare</v>
      </c>
      <c r="I957" s="10" t="str">
        <f aca="false">D957&amp;"_"&amp;Config!$B$4</f>
        <v>client_general</v>
      </c>
      <c r="J957" s="10" t="str">
        <f aca="false">"https://"&amp;B957&amp;G957&amp;"?utm_source="&amp;E957&amp;"&amp;utm_medium="&amp;F957&amp;"&amp;utm_campaign="&amp;H957&amp;"&amp;utm_content="&amp;I957</f>
        <v>https://eu-ai-act.ro/?utm_source=email_outreach&amp;utm_medium=email&amp;utm_campaign=2610_ff_lansare&amp;utm_content=client_general</v>
      </c>
    </row>
    <row r="958" customFormat="false" ht="15" hidden="false" customHeight="false" outlineLevel="0" collapsed="false">
      <c r="A958" s="10" t="s">
        <v>70</v>
      </c>
      <c r="B958" s="10" t="str">
        <f aca="false">INDEX('Site-uri'!$B$2:$B$20,MATCH(A958,'Site-uri'!$A$2:$A$20,0))</f>
        <v>eu-ai-act.ro</v>
      </c>
      <c r="C958" s="10" t="s">
        <v>131</v>
      </c>
      <c r="D958" s="10" t="s">
        <v>219</v>
      </c>
      <c r="E958" s="10" t="str">
        <f aca="false">INDEX(Canale!$C$2:$C$30,MATCH(C958,Canale!$A$2:$A$30,0))</f>
        <v>newsletter</v>
      </c>
      <c r="F958" s="10" t="str">
        <f aca="false">INDEX(Canale!$D$2:$D$30,MATCH(C958,Canale!$A$2:$A$30,0))</f>
        <v>email</v>
      </c>
      <c r="G958" s="10" t="str">
        <f aca="false">INDEX('Site-uri'!$C$2:$C$20,MATCH(A958,'Site-uri'!$A$2:$A$20,0))</f>
        <v>/</v>
      </c>
      <c r="H958" s="10" t="str">
        <f aca="false">Config!$B$3</f>
        <v>2610_ff_lansare</v>
      </c>
      <c r="I958" s="10" t="str">
        <f aca="false">D958&amp;"_"&amp;Config!$B$4</f>
        <v>rece_general</v>
      </c>
      <c r="J958" s="10" t="str">
        <f aca="false">"https://"&amp;B958&amp;G958&amp;"?utm_source="&amp;E958&amp;"&amp;utm_medium="&amp;F958&amp;"&amp;utm_campaign="&amp;H958&amp;"&amp;utm_content="&amp;I958</f>
        <v>https://eu-ai-act.ro/?utm_source=newsletter&amp;utm_medium=email&amp;utm_campaign=2610_ff_lansare&amp;utm_content=rece_general</v>
      </c>
    </row>
    <row r="959" customFormat="false" ht="15" hidden="false" customHeight="false" outlineLevel="0" collapsed="false">
      <c r="A959" s="10" t="s">
        <v>70</v>
      </c>
      <c r="B959" s="10" t="str">
        <f aca="false">INDEX('Site-uri'!$B$2:$B$20,MATCH(A959,'Site-uri'!$A$2:$A$20,0))</f>
        <v>eu-ai-act.ro</v>
      </c>
      <c r="C959" s="10" t="s">
        <v>131</v>
      </c>
      <c r="D959" s="10" t="s">
        <v>225</v>
      </c>
      <c r="E959" s="10" t="str">
        <f aca="false">INDEX(Canale!$C$2:$C$30,MATCH(C959,Canale!$A$2:$A$30,0))</f>
        <v>newsletter</v>
      </c>
      <c r="F959" s="10" t="str">
        <f aca="false">INDEX(Canale!$D$2:$D$30,MATCH(C959,Canale!$A$2:$A$30,0))</f>
        <v>email</v>
      </c>
      <c r="G959" s="10" t="str">
        <f aca="false">INDEX('Site-uri'!$C$2:$C$20,MATCH(A959,'Site-uri'!$A$2:$A$20,0))</f>
        <v>/</v>
      </c>
      <c r="H959" s="10" t="str">
        <f aca="false">Config!$B$3</f>
        <v>2610_ff_lansare</v>
      </c>
      <c r="I959" s="10" t="str">
        <f aca="false">D959&amp;"_"&amp;Config!$B$4</f>
        <v>cald_general</v>
      </c>
      <c r="J959" s="10" t="str">
        <f aca="false">"https://"&amp;B959&amp;G959&amp;"?utm_source="&amp;E959&amp;"&amp;utm_medium="&amp;F959&amp;"&amp;utm_campaign="&amp;H959&amp;"&amp;utm_content="&amp;I959</f>
        <v>https://eu-ai-act.ro/?utm_source=newsletter&amp;utm_medium=email&amp;utm_campaign=2610_ff_lansare&amp;utm_content=cald_general</v>
      </c>
    </row>
    <row r="960" customFormat="false" ht="15" hidden="false" customHeight="false" outlineLevel="0" collapsed="false">
      <c r="A960" s="10" t="s">
        <v>70</v>
      </c>
      <c r="B960" s="10" t="str">
        <f aca="false">INDEX('Site-uri'!$B$2:$B$20,MATCH(A960,'Site-uri'!$A$2:$A$20,0))</f>
        <v>eu-ai-act.ro</v>
      </c>
      <c r="C960" s="10" t="s">
        <v>131</v>
      </c>
      <c r="D960" s="10" t="s">
        <v>231</v>
      </c>
      <c r="E960" s="10" t="str">
        <f aca="false">INDEX(Canale!$C$2:$C$30,MATCH(C960,Canale!$A$2:$A$30,0))</f>
        <v>newsletter</v>
      </c>
      <c r="F960" s="10" t="str">
        <f aca="false">INDEX(Canale!$D$2:$D$30,MATCH(C960,Canale!$A$2:$A$30,0))</f>
        <v>email</v>
      </c>
      <c r="G960" s="10" t="str">
        <f aca="false">INDEX('Site-uri'!$C$2:$C$20,MATCH(A960,'Site-uri'!$A$2:$A$20,0))</f>
        <v>/</v>
      </c>
      <c r="H960" s="10" t="str">
        <f aca="false">Config!$B$3</f>
        <v>2610_ff_lansare</v>
      </c>
      <c r="I960" s="10" t="str">
        <f aca="false">D960&amp;"_"&amp;Config!$B$4</f>
        <v>fierbinte_general</v>
      </c>
      <c r="J960" s="10" t="str">
        <f aca="false">"https://"&amp;B960&amp;G960&amp;"?utm_source="&amp;E960&amp;"&amp;utm_medium="&amp;F960&amp;"&amp;utm_campaign="&amp;H960&amp;"&amp;utm_content="&amp;I960</f>
        <v>https://eu-ai-act.ro/?utm_source=newsletter&amp;utm_medium=email&amp;utm_campaign=2610_ff_lansare&amp;utm_content=fierbinte_general</v>
      </c>
    </row>
    <row r="961" customFormat="false" ht="15" hidden="false" customHeight="false" outlineLevel="0" collapsed="false">
      <c r="A961" s="10" t="s">
        <v>70</v>
      </c>
      <c r="B961" s="10" t="str">
        <f aca="false">INDEX('Site-uri'!$B$2:$B$20,MATCH(A961,'Site-uri'!$A$2:$A$20,0))</f>
        <v>eu-ai-act.ro</v>
      </c>
      <c r="C961" s="10" t="s">
        <v>131</v>
      </c>
      <c r="D961" s="10" t="s">
        <v>237</v>
      </c>
      <c r="E961" s="10" t="str">
        <f aca="false">INDEX(Canale!$C$2:$C$30,MATCH(C961,Canale!$A$2:$A$30,0))</f>
        <v>newsletter</v>
      </c>
      <c r="F961" s="10" t="str">
        <f aca="false">INDEX(Canale!$D$2:$D$30,MATCH(C961,Canale!$A$2:$A$30,0))</f>
        <v>email</v>
      </c>
      <c r="G961" s="10" t="str">
        <f aca="false">INDEX('Site-uri'!$C$2:$C$20,MATCH(A961,'Site-uri'!$A$2:$A$20,0))</f>
        <v>/</v>
      </c>
      <c r="H961" s="10" t="str">
        <f aca="false">Config!$B$3</f>
        <v>2610_ff_lansare</v>
      </c>
      <c r="I961" s="10" t="str">
        <f aca="false">D961&amp;"_"&amp;Config!$B$4</f>
        <v>client_general</v>
      </c>
      <c r="J961" s="10" t="str">
        <f aca="false">"https://"&amp;B961&amp;G961&amp;"?utm_source="&amp;E961&amp;"&amp;utm_medium="&amp;F961&amp;"&amp;utm_campaign="&amp;H961&amp;"&amp;utm_content="&amp;I961</f>
        <v>https://eu-ai-act.ro/?utm_source=newsletter&amp;utm_medium=email&amp;utm_campaign=2610_ff_lansare&amp;utm_content=client_general</v>
      </c>
    </row>
    <row r="962" customFormat="false" ht="15" hidden="false" customHeight="false" outlineLevel="0" collapsed="false">
      <c r="A962" s="10" t="s">
        <v>70</v>
      </c>
      <c r="B962" s="10" t="str">
        <f aca="false">INDEX('Site-uri'!$B$2:$B$20,MATCH(A962,'Site-uri'!$A$2:$A$20,0))</f>
        <v>eu-ai-act.ro</v>
      </c>
      <c r="C962" s="10" t="s">
        <v>134</v>
      </c>
      <c r="D962" s="10" t="s">
        <v>219</v>
      </c>
      <c r="E962" s="10" t="str">
        <f aca="false">INDEX(Canale!$C$2:$C$30,MATCH(C962,Canale!$A$2:$A$30,0))</f>
        <v>email_signature</v>
      </c>
      <c r="F962" s="10" t="str">
        <f aca="false">INDEX(Canale!$D$2:$D$30,MATCH(C962,Canale!$A$2:$A$30,0))</f>
        <v>email</v>
      </c>
      <c r="G962" s="10" t="str">
        <f aca="false">INDEX('Site-uri'!$C$2:$C$20,MATCH(A962,'Site-uri'!$A$2:$A$20,0))</f>
        <v>/</v>
      </c>
      <c r="H962" s="10" t="str">
        <f aca="false">Config!$B$3</f>
        <v>2610_ff_lansare</v>
      </c>
      <c r="I962" s="10" t="str">
        <f aca="false">D962&amp;"_"&amp;Config!$B$4</f>
        <v>rece_general</v>
      </c>
      <c r="J962" s="10" t="str">
        <f aca="false">"https://"&amp;B962&amp;G962&amp;"?utm_source="&amp;E962&amp;"&amp;utm_medium="&amp;F962&amp;"&amp;utm_campaign="&amp;H962&amp;"&amp;utm_content="&amp;I962</f>
        <v>https://eu-ai-act.ro/?utm_source=email_signature&amp;utm_medium=email&amp;utm_campaign=2610_ff_lansare&amp;utm_content=rece_general</v>
      </c>
    </row>
    <row r="963" customFormat="false" ht="15" hidden="false" customHeight="false" outlineLevel="0" collapsed="false">
      <c r="A963" s="10" t="s">
        <v>70</v>
      </c>
      <c r="B963" s="10" t="str">
        <f aca="false">INDEX('Site-uri'!$B$2:$B$20,MATCH(A963,'Site-uri'!$A$2:$A$20,0))</f>
        <v>eu-ai-act.ro</v>
      </c>
      <c r="C963" s="10" t="s">
        <v>134</v>
      </c>
      <c r="D963" s="10" t="s">
        <v>225</v>
      </c>
      <c r="E963" s="10" t="str">
        <f aca="false">INDEX(Canale!$C$2:$C$30,MATCH(C963,Canale!$A$2:$A$30,0))</f>
        <v>email_signature</v>
      </c>
      <c r="F963" s="10" t="str">
        <f aca="false">INDEX(Canale!$D$2:$D$30,MATCH(C963,Canale!$A$2:$A$30,0))</f>
        <v>email</v>
      </c>
      <c r="G963" s="10" t="str">
        <f aca="false">INDEX('Site-uri'!$C$2:$C$20,MATCH(A963,'Site-uri'!$A$2:$A$20,0))</f>
        <v>/</v>
      </c>
      <c r="H963" s="10" t="str">
        <f aca="false">Config!$B$3</f>
        <v>2610_ff_lansare</v>
      </c>
      <c r="I963" s="10" t="str">
        <f aca="false">D963&amp;"_"&amp;Config!$B$4</f>
        <v>cald_general</v>
      </c>
      <c r="J963" s="10" t="str">
        <f aca="false">"https://"&amp;B963&amp;G963&amp;"?utm_source="&amp;E963&amp;"&amp;utm_medium="&amp;F963&amp;"&amp;utm_campaign="&amp;H963&amp;"&amp;utm_content="&amp;I963</f>
        <v>https://eu-ai-act.ro/?utm_source=email_signature&amp;utm_medium=email&amp;utm_campaign=2610_ff_lansare&amp;utm_content=cald_general</v>
      </c>
    </row>
    <row r="964" customFormat="false" ht="15" hidden="false" customHeight="false" outlineLevel="0" collapsed="false">
      <c r="A964" s="10" t="s">
        <v>70</v>
      </c>
      <c r="B964" s="10" t="str">
        <f aca="false">INDEX('Site-uri'!$B$2:$B$20,MATCH(A964,'Site-uri'!$A$2:$A$20,0))</f>
        <v>eu-ai-act.ro</v>
      </c>
      <c r="C964" s="10" t="s">
        <v>134</v>
      </c>
      <c r="D964" s="10" t="s">
        <v>231</v>
      </c>
      <c r="E964" s="10" t="str">
        <f aca="false">INDEX(Canale!$C$2:$C$30,MATCH(C964,Canale!$A$2:$A$30,0))</f>
        <v>email_signature</v>
      </c>
      <c r="F964" s="10" t="str">
        <f aca="false">INDEX(Canale!$D$2:$D$30,MATCH(C964,Canale!$A$2:$A$30,0))</f>
        <v>email</v>
      </c>
      <c r="G964" s="10" t="str">
        <f aca="false">INDEX('Site-uri'!$C$2:$C$20,MATCH(A964,'Site-uri'!$A$2:$A$20,0))</f>
        <v>/</v>
      </c>
      <c r="H964" s="10" t="str">
        <f aca="false">Config!$B$3</f>
        <v>2610_ff_lansare</v>
      </c>
      <c r="I964" s="10" t="str">
        <f aca="false">D964&amp;"_"&amp;Config!$B$4</f>
        <v>fierbinte_general</v>
      </c>
      <c r="J964" s="10" t="str">
        <f aca="false">"https://"&amp;B964&amp;G964&amp;"?utm_source="&amp;E964&amp;"&amp;utm_medium="&amp;F964&amp;"&amp;utm_campaign="&amp;H964&amp;"&amp;utm_content="&amp;I964</f>
        <v>https://eu-ai-act.ro/?utm_source=email_signature&amp;utm_medium=email&amp;utm_campaign=2610_ff_lansare&amp;utm_content=fierbinte_general</v>
      </c>
    </row>
    <row r="965" customFormat="false" ht="15" hidden="false" customHeight="false" outlineLevel="0" collapsed="false">
      <c r="A965" s="10" t="s">
        <v>70</v>
      </c>
      <c r="B965" s="10" t="str">
        <f aca="false">INDEX('Site-uri'!$B$2:$B$20,MATCH(A965,'Site-uri'!$A$2:$A$20,0))</f>
        <v>eu-ai-act.ro</v>
      </c>
      <c r="C965" s="10" t="s">
        <v>134</v>
      </c>
      <c r="D965" s="10" t="s">
        <v>237</v>
      </c>
      <c r="E965" s="10" t="str">
        <f aca="false">INDEX(Canale!$C$2:$C$30,MATCH(C965,Canale!$A$2:$A$30,0))</f>
        <v>email_signature</v>
      </c>
      <c r="F965" s="10" t="str">
        <f aca="false">INDEX(Canale!$D$2:$D$30,MATCH(C965,Canale!$A$2:$A$30,0))</f>
        <v>email</v>
      </c>
      <c r="G965" s="10" t="str">
        <f aca="false">INDEX('Site-uri'!$C$2:$C$20,MATCH(A965,'Site-uri'!$A$2:$A$20,0))</f>
        <v>/</v>
      </c>
      <c r="H965" s="10" t="str">
        <f aca="false">Config!$B$3</f>
        <v>2610_ff_lansare</v>
      </c>
      <c r="I965" s="10" t="str">
        <f aca="false">D965&amp;"_"&amp;Config!$B$4</f>
        <v>client_general</v>
      </c>
      <c r="J965" s="10" t="str">
        <f aca="false">"https://"&amp;B965&amp;G965&amp;"?utm_source="&amp;E965&amp;"&amp;utm_medium="&amp;F965&amp;"&amp;utm_campaign="&amp;H965&amp;"&amp;utm_content="&amp;I965</f>
        <v>https://eu-ai-act.ro/?utm_source=email_signature&amp;utm_medium=email&amp;utm_campaign=2610_ff_lansare&amp;utm_content=client_general</v>
      </c>
    </row>
    <row r="966" customFormat="false" ht="15" hidden="false" customHeight="false" outlineLevel="0" collapsed="false">
      <c r="A966" s="10" t="s">
        <v>70</v>
      </c>
      <c r="B966" s="10" t="str">
        <f aca="false">INDEX('Site-uri'!$B$2:$B$20,MATCH(A966,'Site-uri'!$A$2:$A$20,0))</f>
        <v>eu-ai-act.ro</v>
      </c>
      <c r="C966" s="10" t="s">
        <v>137</v>
      </c>
      <c r="D966" s="10" t="s">
        <v>219</v>
      </c>
      <c r="E966" s="10" t="str">
        <f aca="false">INDEX(Canale!$C$2:$C$30,MATCH(C966,Canale!$A$2:$A$30,0))</f>
        <v>whatsapp</v>
      </c>
      <c r="F966" s="10" t="str">
        <f aca="false">INDEX(Canale!$D$2:$D$30,MATCH(C966,Canale!$A$2:$A$30,0))</f>
        <v>dm</v>
      </c>
      <c r="G966" s="10" t="str">
        <f aca="false">INDEX('Site-uri'!$C$2:$C$20,MATCH(A966,'Site-uri'!$A$2:$A$20,0))</f>
        <v>/</v>
      </c>
      <c r="H966" s="10" t="str">
        <f aca="false">Config!$B$3</f>
        <v>2610_ff_lansare</v>
      </c>
      <c r="I966" s="10" t="str">
        <f aca="false">D966&amp;"_"&amp;Config!$B$4</f>
        <v>rece_general</v>
      </c>
      <c r="J966" s="10" t="str">
        <f aca="false">"https://"&amp;B966&amp;G966&amp;"?utm_source="&amp;E966&amp;"&amp;utm_medium="&amp;F966&amp;"&amp;utm_campaign="&amp;H966&amp;"&amp;utm_content="&amp;I966</f>
        <v>https://eu-ai-act.ro/?utm_source=whatsapp&amp;utm_medium=dm&amp;utm_campaign=2610_ff_lansare&amp;utm_content=rece_general</v>
      </c>
    </row>
    <row r="967" customFormat="false" ht="15" hidden="false" customHeight="false" outlineLevel="0" collapsed="false">
      <c r="A967" s="10" t="s">
        <v>70</v>
      </c>
      <c r="B967" s="10" t="str">
        <f aca="false">INDEX('Site-uri'!$B$2:$B$20,MATCH(A967,'Site-uri'!$A$2:$A$20,0))</f>
        <v>eu-ai-act.ro</v>
      </c>
      <c r="C967" s="10" t="s">
        <v>137</v>
      </c>
      <c r="D967" s="10" t="s">
        <v>225</v>
      </c>
      <c r="E967" s="10" t="str">
        <f aca="false">INDEX(Canale!$C$2:$C$30,MATCH(C967,Canale!$A$2:$A$30,0))</f>
        <v>whatsapp</v>
      </c>
      <c r="F967" s="10" t="str">
        <f aca="false">INDEX(Canale!$D$2:$D$30,MATCH(C967,Canale!$A$2:$A$30,0))</f>
        <v>dm</v>
      </c>
      <c r="G967" s="10" t="str">
        <f aca="false">INDEX('Site-uri'!$C$2:$C$20,MATCH(A967,'Site-uri'!$A$2:$A$20,0))</f>
        <v>/</v>
      </c>
      <c r="H967" s="10" t="str">
        <f aca="false">Config!$B$3</f>
        <v>2610_ff_lansare</v>
      </c>
      <c r="I967" s="10" t="str">
        <f aca="false">D967&amp;"_"&amp;Config!$B$4</f>
        <v>cald_general</v>
      </c>
      <c r="J967" s="10" t="str">
        <f aca="false">"https://"&amp;B967&amp;G967&amp;"?utm_source="&amp;E967&amp;"&amp;utm_medium="&amp;F967&amp;"&amp;utm_campaign="&amp;H967&amp;"&amp;utm_content="&amp;I967</f>
        <v>https://eu-ai-act.ro/?utm_source=whatsapp&amp;utm_medium=dm&amp;utm_campaign=2610_ff_lansare&amp;utm_content=cald_general</v>
      </c>
    </row>
    <row r="968" customFormat="false" ht="15" hidden="false" customHeight="false" outlineLevel="0" collapsed="false">
      <c r="A968" s="10" t="s">
        <v>70</v>
      </c>
      <c r="B968" s="10" t="str">
        <f aca="false">INDEX('Site-uri'!$B$2:$B$20,MATCH(A968,'Site-uri'!$A$2:$A$20,0))</f>
        <v>eu-ai-act.ro</v>
      </c>
      <c r="C968" s="10" t="s">
        <v>137</v>
      </c>
      <c r="D968" s="10" t="s">
        <v>231</v>
      </c>
      <c r="E968" s="10" t="str">
        <f aca="false">INDEX(Canale!$C$2:$C$30,MATCH(C968,Canale!$A$2:$A$30,0))</f>
        <v>whatsapp</v>
      </c>
      <c r="F968" s="10" t="str">
        <f aca="false">INDEX(Canale!$D$2:$D$30,MATCH(C968,Canale!$A$2:$A$30,0))</f>
        <v>dm</v>
      </c>
      <c r="G968" s="10" t="str">
        <f aca="false">INDEX('Site-uri'!$C$2:$C$20,MATCH(A968,'Site-uri'!$A$2:$A$20,0))</f>
        <v>/</v>
      </c>
      <c r="H968" s="10" t="str">
        <f aca="false">Config!$B$3</f>
        <v>2610_ff_lansare</v>
      </c>
      <c r="I968" s="10" t="str">
        <f aca="false">D968&amp;"_"&amp;Config!$B$4</f>
        <v>fierbinte_general</v>
      </c>
      <c r="J968" s="10" t="str">
        <f aca="false">"https://"&amp;B968&amp;G968&amp;"?utm_source="&amp;E968&amp;"&amp;utm_medium="&amp;F968&amp;"&amp;utm_campaign="&amp;H968&amp;"&amp;utm_content="&amp;I968</f>
        <v>https://eu-ai-act.ro/?utm_source=whatsapp&amp;utm_medium=dm&amp;utm_campaign=2610_ff_lansare&amp;utm_content=fierbinte_general</v>
      </c>
    </row>
    <row r="969" customFormat="false" ht="15" hidden="false" customHeight="false" outlineLevel="0" collapsed="false">
      <c r="A969" s="10" t="s">
        <v>70</v>
      </c>
      <c r="B969" s="10" t="str">
        <f aca="false">INDEX('Site-uri'!$B$2:$B$20,MATCH(A969,'Site-uri'!$A$2:$A$20,0))</f>
        <v>eu-ai-act.ro</v>
      </c>
      <c r="C969" s="10" t="s">
        <v>137</v>
      </c>
      <c r="D969" s="10" t="s">
        <v>237</v>
      </c>
      <c r="E969" s="10" t="str">
        <f aca="false">INDEX(Canale!$C$2:$C$30,MATCH(C969,Canale!$A$2:$A$30,0))</f>
        <v>whatsapp</v>
      </c>
      <c r="F969" s="10" t="str">
        <f aca="false">INDEX(Canale!$D$2:$D$30,MATCH(C969,Canale!$A$2:$A$30,0))</f>
        <v>dm</v>
      </c>
      <c r="G969" s="10" t="str">
        <f aca="false">INDEX('Site-uri'!$C$2:$C$20,MATCH(A969,'Site-uri'!$A$2:$A$20,0))</f>
        <v>/</v>
      </c>
      <c r="H969" s="10" t="str">
        <f aca="false">Config!$B$3</f>
        <v>2610_ff_lansare</v>
      </c>
      <c r="I969" s="10" t="str">
        <f aca="false">D969&amp;"_"&amp;Config!$B$4</f>
        <v>client_general</v>
      </c>
      <c r="J969" s="10" t="str">
        <f aca="false">"https://"&amp;B969&amp;G969&amp;"?utm_source="&amp;E969&amp;"&amp;utm_medium="&amp;F969&amp;"&amp;utm_campaign="&amp;H969&amp;"&amp;utm_content="&amp;I969</f>
        <v>https://eu-ai-act.ro/?utm_source=whatsapp&amp;utm_medium=dm&amp;utm_campaign=2610_ff_lansare&amp;utm_content=client_general</v>
      </c>
    </row>
    <row r="970" customFormat="false" ht="15" hidden="false" customHeight="false" outlineLevel="0" collapsed="false">
      <c r="A970" s="10" t="s">
        <v>70</v>
      </c>
      <c r="B970" s="10" t="str">
        <f aca="false">INDEX('Site-uri'!$B$2:$B$20,MATCH(A970,'Site-uri'!$A$2:$A$20,0))</f>
        <v>eu-ai-act.ro</v>
      </c>
      <c r="C970" s="10" t="s">
        <v>141</v>
      </c>
      <c r="D970" s="10" t="s">
        <v>219</v>
      </c>
      <c r="E970" s="10" t="str">
        <f aca="false">INDEX(Canale!$C$2:$C$30,MATCH(C970,Canale!$A$2:$A$30,0))</f>
        <v>google</v>
      </c>
      <c r="F970" s="10" t="str">
        <f aca="false">INDEX(Canale!$D$2:$D$30,MATCH(C970,Canale!$A$2:$A$30,0))</f>
        <v>cpc</v>
      </c>
      <c r="G970" s="10" t="str">
        <f aca="false">INDEX('Site-uri'!$C$2:$C$20,MATCH(A970,'Site-uri'!$A$2:$A$20,0))</f>
        <v>/</v>
      </c>
      <c r="H970" s="10" t="str">
        <f aca="false">Config!$B$3</f>
        <v>2610_ff_lansare</v>
      </c>
      <c r="I970" s="10" t="str">
        <f aca="false">D970&amp;"_"&amp;Config!$B$4</f>
        <v>rece_general</v>
      </c>
      <c r="J970" s="10" t="str">
        <f aca="false">"https://"&amp;B970&amp;G970&amp;"?utm_source="&amp;E970&amp;"&amp;utm_medium="&amp;F970&amp;"&amp;utm_campaign="&amp;H970&amp;"&amp;utm_content="&amp;I970</f>
        <v>https://eu-ai-act.ro/?utm_source=google&amp;utm_medium=cpc&amp;utm_campaign=2610_ff_lansare&amp;utm_content=rece_general</v>
      </c>
    </row>
    <row r="971" customFormat="false" ht="15" hidden="false" customHeight="false" outlineLevel="0" collapsed="false">
      <c r="A971" s="10" t="s">
        <v>70</v>
      </c>
      <c r="B971" s="10" t="str">
        <f aca="false">INDEX('Site-uri'!$B$2:$B$20,MATCH(A971,'Site-uri'!$A$2:$A$20,0))</f>
        <v>eu-ai-act.ro</v>
      </c>
      <c r="C971" s="10" t="s">
        <v>141</v>
      </c>
      <c r="D971" s="10" t="s">
        <v>225</v>
      </c>
      <c r="E971" s="10" t="str">
        <f aca="false">INDEX(Canale!$C$2:$C$30,MATCH(C971,Canale!$A$2:$A$30,0))</f>
        <v>google</v>
      </c>
      <c r="F971" s="10" t="str">
        <f aca="false">INDEX(Canale!$D$2:$D$30,MATCH(C971,Canale!$A$2:$A$30,0))</f>
        <v>cpc</v>
      </c>
      <c r="G971" s="10" t="str">
        <f aca="false">INDEX('Site-uri'!$C$2:$C$20,MATCH(A971,'Site-uri'!$A$2:$A$20,0))</f>
        <v>/</v>
      </c>
      <c r="H971" s="10" t="str">
        <f aca="false">Config!$B$3</f>
        <v>2610_ff_lansare</v>
      </c>
      <c r="I971" s="10" t="str">
        <f aca="false">D971&amp;"_"&amp;Config!$B$4</f>
        <v>cald_general</v>
      </c>
      <c r="J971" s="10" t="str">
        <f aca="false">"https://"&amp;B971&amp;G971&amp;"?utm_source="&amp;E971&amp;"&amp;utm_medium="&amp;F971&amp;"&amp;utm_campaign="&amp;H971&amp;"&amp;utm_content="&amp;I971</f>
        <v>https://eu-ai-act.ro/?utm_source=google&amp;utm_medium=cpc&amp;utm_campaign=2610_ff_lansare&amp;utm_content=cald_general</v>
      </c>
    </row>
    <row r="972" customFormat="false" ht="15" hidden="false" customHeight="false" outlineLevel="0" collapsed="false">
      <c r="A972" s="10" t="s">
        <v>70</v>
      </c>
      <c r="B972" s="10" t="str">
        <f aca="false">INDEX('Site-uri'!$B$2:$B$20,MATCH(A972,'Site-uri'!$A$2:$A$20,0))</f>
        <v>eu-ai-act.ro</v>
      </c>
      <c r="C972" s="10" t="s">
        <v>141</v>
      </c>
      <c r="D972" s="10" t="s">
        <v>231</v>
      </c>
      <c r="E972" s="10" t="str">
        <f aca="false">INDEX(Canale!$C$2:$C$30,MATCH(C972,Canale!$A$2:$A$30,0))</f>
        <v>google</v>
      </c>
      <c r="F972" s="10" t="str">
        <f aca="false">INDEX(Canale!$D$2:$D$30,MATCH(C972,Canale!$A$2:$A$30,0))</f>
        <v>cpc</v>
      </c>
      <c r="G972" s="10" t="str">
        <f aca="false">INDEX('Site-uri'!$C$2:$C$20,MATCH(A972,'Site-uri'!$A$2:$A$20,0))</f>
        <v>/</v>
      </c>
      <c r="H972" s="10" t="str">
        <f aca="false">Config!$B$3</f>
        <v>2610_ff_lansare</v>
      </c>
      <c r="I972" s="10" t="str">
        <f aca="false">D972&amp;"_"&amp;Config!$B$4</f>
        <v>fierbinte_general</v>
      </c>
      <c r="J972" s="10" t="str">
        <f aca="false">"https://"&amp;B972&amp;G972&amp;"?utm_source="&amp;E972&amp;"&amp;utm_medium="&amp;F972&amp;"&amp;utm_campaign="&amp;H972&amp;"&amp;utm_content="&amp;I972</f>
        <v>https://eu-ai-act.ro/?utm_source=google&amp;utm_medium=cpc&amp;utm_campaign=2610_ff_lansare&amp;utm_content=fierbinte_general</v>
      </c>
    </row>
    <row r="973" customFormat="false" ht="15" hidden="false" customHeight="false" outlineLevel="0" collapsed="false">
      <c r="A973" s="10" t="s">
        <v>70</v>
      </c>
      <c r="B973" s="10" t="str">
        <f aca="false">INDEX('Site-uri'!$B$2:$B$20,MATCH(A973,'Site-uri'!$A$2:$A$20,0))</f>
        <v>eu-ai-act.ro</v>
      </c>
      <c r="C973" s="10" t="s">
        <v>141</v>
      </c>
      <c r="D973" s="10" t="s">
        <v>237</v>
      </c>
      <c r="E973" s="10" t="str">
        <f aca="false">INDEX(Canale!$C$2:$C$30,MATCH(C973,Canale!$A$2:$A$30,0))</f>
        <v>google</v>
      </c>
      <c r="F973" s="10" t="str">
        <f aca="false">INDEX(Canale!$D$2:$D$30,MATCH(C973,Canale!$A$2:$A$30,0))</f>
        <v>cpc</v>
      </c>
      <c r="G973" s="10" t="str">
        <f aca="false">INDEX('Site-uri'!$C$2:$C$20,MATCH(A973,'Site-uri'!$A$2:$A$20,0))</f>
        <v>/</v>
      </c>
      <c r="H973" s="10" t="str">
        <f aca="false">Config!$B$3</f>
        <v>2610_ff_lansare</v>
      </c>
      <c r="I973" s="10" t="str">
        <f aca="false">D973&amp;"_"&amp;Config!$B$4</f>
        <v>client_general</v>
      </c>
      <c r="J973" s="10" t="str">
        <f aca="false">"https://"&amp;B973&amp;G973&amp;"?utm_source="&amp;E973&amp;"&amp;utm_medium="&amp;F973&amp;"&amp;utm_campaign="&amp;H973&amp;"&amp;utm_content="&amp;I973</f>
        <v>https://eu-ai-act.ro/?utm_source=google&amp;utm_medium=cpc&amp;utm_campaign=2610_ff_lansare&amp;utm_content=client_general</v>
      </c>
    </row>
    <row r="974" customFormat="false" ht="15" hidden="false" customHeight="false" outlineLevel="0" collapsed="false">
      <c r="A974" s="10" t="s">
        <v>70</v>
      </c>
      <c r="B974" s="10" t="str">
        <f aca="false">INDEX('Site-uri'!$B$2:$B$20,MATCH(A974,'Site-uri'!$A$2:$A$20,0))</f>
        <v>eu-ai-act.ro</v>
      </c>
      <c r="C974" s="10" t="s">
        <v>146</v>
      </c>
      <c r="D974" s="10" t="s">
        <v>219</v>
      </c>
      <c r="E974" s="10" t="str">
        <f aca="false">INDEX(Canale!$C$2:$C$30,MATCH(C974,Canale!$A$2:$A$30,0))</f>
        <v>bing</v>
      </c>
      <c r="F974" s="10" t="str">
        <f aca="false">INDEX(Canale!$D$2:$D$30,MATCH(C974,Canale!$A$2:$A$30,0))</f>
        <v>cpc</v>
      </c>
      <c r="G974" s="10" t="str">
        <f aca="false">INDEX('Site-uri'!$C$2:$C$20,MATCH(A974,'Site-uri'!$A$2:$A$20,0))</f>
        <v>/</v>
      </c>
      <c r="H974" s="10" t="str">
        <f aca="false">Config!$B$3</f>
        <v>2610_ff_lansare</v>
      </c>
      <c r="I974" s="10" t="str">
        <f aca="false">D974&amp;"_"&amp;Config!$B$4</f>
        <v>rece_general</v>
      </c>
      <c r="J974" s="10" t="str">
        <f aca="false">"https://"&amp;B974&amp;G974&amp;"?utm_source="&amp;E974&amp;"&amp;utm_medium="&amp;F974&amp;"&amp;utm_campaign="&amp;H974&amp;"&amp;utm_content="&amp;I974</f>
        <v>https://eu-ai-act.ro/?utm_source=bing&amp;utm_medium=cpc&amp;utm_campaign=2610_ff_lansare&amp;utm_content=rece_general</v>
      </c>
    </row>
    <row r="975" customFormat="false" ht="15" hidden="false" customHeight="false" outlineLevel="0" collapsed="false">
      <c r="A975" s="10" t="s">
        <v>70</v>
      </c>
      <c r="B975" s="10" t="str">
        <f aca="false">INDEX('Site-uri'!$B$2:$B$20,MATCH(A975,'Site-uri'!$A$2:$A$20,0))</f>
        <v>eu-ai-act.ro</v>
      </c>
      <c r="C975" s="10" t="s">
        <v>146</v>
      </c>
      <c r="D975" s="10" t="s">
        <v>225</v>
      </c>
      <c r="E975" s="10" t="str">
        <f aca="false">INDEX(Canale!$C$2:$C$30,MATCH(C975,Canale!$A$2:$A$30,0))</f>
        <v>bing</v>
      </c>
      <c r="F975" s="10" t="str">
        <f aca="false">INDEX(Canale!$D$2:$D$30,MATCH(C975,Canale!$A$2:$A$30,0))</f>
        <v>cpc</v>
      </c>
      <c r="G975" s="10" t="str">
        <f aca="false">INDEX('Site-uri'!$C$2:$C$20,MATCH(A975,'Site-uri'!$A$2:$A$20,0))</f>
        <v>/</v>
      </c>
      <c r="H975" s="10" t="str">
        <f aca="false">Config!$B$3</f>
        <v>2610_ff_lansare</v>
      </c>
      <c r="I975" s="10" t="str">
        <f aca="false">D975&amp;"_"&amp;Config!$B$4</f>
        <v>cald_general</v>
      </c>
      <c r="J975" s="10" t="str">
        <f aca="false">"https://"&amp;B975&amp;G975&amp;"?utm_source="&amp;E975&amp;"&amp;utm_medium="&amp;F975&amp;"&amp;utm_campaign="&amp;H975&amp;"&amp;utm_content="&amp;I975</f>
        <v>https://eu-ai-act.ro/?utm_source=bing&amp;utm_medium=cpc&amp;utm_campaign=2610_ff_lansare&amp;utm_content=cald_general</v>
      </c>
    </row>
    <row r="976" customFormat="false" ht="15" hidden="false" customHeight="false" outlineLevel="0" collapsed="false">
      <c r="A976" s="10" t="s">
        <v>70</v>
      </c>
      <c r="B976" s="10" t="str">
        <f aca="false">INDEX('Site-uri'!$B$2:$B$20,MATCH(A976,'Site-uri'!$A$2:$A$20,0))</f>
        <v>eu-ai-act.ro</v>
      </c>
      <c r="C976" s="10" t="s">
        <v>146</v>
      </c>
      <c r="D976" s="10" t="s">
        <v>231</v>
      </c>
      <c r="E976" s="10" t="str">
        <f aca="false">INDEX(Canale!$C$2:$C$30,MATCH(C976,Canale!$A$2:$A$30,0))</f>
        <v>bing</v>
      </c>
      <c r="F976" s="10" t="str">
        <f aca="false">INDEX(Canale!$D$2:$D$30,MATCH(C976,Canale!$A$2:$A$30,0))</f>
        <v>cpc</v>
      </c>
      <c r="G976" s="10" t="str">
        <f aca="false">INDEX('Site-uri'!$C$2:$C$20,MATCH(A976,'Site-uri'!$A$2:$A$20,0))</f>
        <v>/</v>
      </c>
      <c r="H976" s="10" t="str">
        <f aca="false">Config!$B$3</f>
        <v>2610_ff_lansare</v>
      </c>
      <c r="I976" s="10" t="str">
        <f aca="false">D976&amp;"_"&amp;Config!$B$4</f>
        <v>fierbinte_general</v>
      </c>
      <c r="J976" s="10" t="str">
        <f aca="false">"https://"&amp;B976&amp;G976&amp;"?utm_source="&amp;E976&amp;"&amp;utm_medium="&amp;F976&amp;"&amp;utm_campaign="&amp;H976&amp;"&amp;utm_content="&amp;I976</f>
        <v>https://eu-ai-act.ro/?utm_source=bing&amp;utm_medium=cpc&amp;utm_campaign=2610_ff_lansare&amp;utm_content=fierbinte_general</v>
      </c>
    </row>
    <row r="977" customFormat="false" ht="15" hidden="false" customHeight="false" outlineLevel="0" collapsed="false">
      <c r="A977" s="10" t="s">
        <v>70</v>
      </c>
      <c r="B977" s="10" t="str">
        <f aca="false">INDEX('Site-uri'!$B$2:$B$20,MATCH(A977,'Site-uri'!$A$2:$A$20,0))</f>
        <v>eu-ai-act.ro</v>
      </c>
      <c r="C977" s="10" t="s">
        <v>146</v>
      </c>
      <c r="D977" s="10" t="s">
        <v>237</v>
      </c>
      <c r="E977" s="10" t="str">
        <f aca="false">INDEX(Canale!$C$2:$C$30,MATCH(C977,Canale!$A$2:$A$30,0))</f>
        <v>bing</v>
      </c>
      <c r="F977" s="10" t="str">
        <f aca="false">INDEX(Canale!$D$2:$D$30,MATCH(C977,Canale!$A$2:$A$30,0))</f>
        <v>cpc</v>
      </c>
      <c r="G977" s="10" t="str">
        <f aca="false">INDEX('Site-uri'!$C$2:$C$20,MATCH(A977,'Site-uri'!$A$2:$A$20,0))</f>
        <v>/</v>
      </c>
      <c r="H977" s="10" t="str">
        <f aca="false">Config!$B$3</f>
        <v>2610_ff_lansare</v>
      </c>
      <c r="I977" s="10" t="str">
        <f aca="false">D977&amp;"_"&amp;Config!$B$4</f>
        <v>client_general</v>
      </c>
      <c r="J977" s="10" t="str">
        <f aca="false">"https://"&amp;B977&amp;G977&amp;"?utm_source="&amp;E977&amp;"&amp;utm_medium="&amp;F977&amp;"&amp;utm_campaign="&amp;H977&amp;"&amp;utm_content="&amp;I977</f>
        <v>https://eu-ai-act.ro/?utm_source=bing&amp;utm_medium=cpc&amp;utm_campaign=2610_ff_lansare&amp;utm_content=client_general</v>
      </c>
    </row>
    <row r="978" customFormat="false" ht="15" hidden="false" customHeight="false" outlineLevel="0" collapsed="false">
      <c r="A978" s="10" t="s">
        <v>70</v>
      </c>
      <c r="B978" s="10" t="str">
        <f aca="false">INDEX('Site-uri'!$B$2:$B$20,MATCH(A978,'Site-uri'!$A$2:$A$20,0))</f>
        <v>eu-ai-act.ro</v>
      </c>
      <c r="C978" s="10" t="s">
        <v>149</v>
      </c>
      <c r="D978" s="10" t="s">
        <v>219</v>
      </c>
      <c r="E978" s="10" t="str">
        <f aca="false">INDEX(Canale!$C$2:$C$30,MATCH(C978,Canale!$A$2:$A$30,0))</f>
        <v>facebook</v>
      </c>
      <c r="F978" s="10" t="str">
        <f aca="false">INDEX(Canale!$D$2:$D$30,MATCH(C978,Canale!$A$2:$A$30,0))</f>
        <v>social</v>
      </c>
      <c r="G978" s="10" t="str">
        <f aca="false">INDEX('Site-uri'!$C$2:$C$20,MATCH(A978,'Site-uri'!$A$2:$A$20,0))</f>
        <v>/</v>
      </c>
      <c r="H978" s="10" t="str">
        <f aca="false">Config!$B$3</f>
        <v>2610_ff_lansare</v>
      </c>
      <c r="I978" s="10" t="str">
        <f aca="false">D978&amp;"_"&amp;Config!$B$4</f>
        <v>rece_general</v>
      </c>
      <c r="J978" s="10" t="str">
        <f aca="false">"https://"&amp;B978&amp;G978&amp;"?utm_source="&amp;E978&amp;"&amp;utm_medium="&amp;F978&amp;"&amp;utm_campaign="&amp;H978&amp;"&amp;utm_content="&amp;I978</f>
        <v>https://eu-ai-act.ro/?utm_source=facebook&amp;utm_medium=social&amp;utm_campaign=2610_ff_lansare&amp;utm_content=rece_general</v>
      </c>
    </row>
    <row r="979" customFormat="false" ht="15" hidden="false" customHeight="false" outlineLevel="0" collapsed="false">
      <c r="A979" s="10" t="s">
        <v>70</v>
      </c>
      <c r="B979" s="10" t="str">
        <f aca="false">INDEX('Site-uri'!$B$2:$B$20,MATCH(A979,'Site-uri'!$A$2:$A$20,0))</f>
        <v>eu-ai-act.ro</v>
      </c>
      <c r="C979" s="10" t="s">
        <v>149</v>
      </c>
      <c r="D979" s="10" t="s">
        <v>225</v>
      </c>
      <c r="E979" s="10" t="str">
        <f aca="false">INDEX(Canale!$C$2:$C$30,MATCH(C979,Canale!$A$2:$A$30,0))</f>
        <v>facebook</v>
      </c>
      <c r="F979" s="10" t="str">
        <f aca="false">INDEX(Canale!$D$2:$D$30,MATCH(C979,Canale!$A$2:$A$30,0))</f>
        <v>social</v>
      </c>
      <c r="G979" s="10" t="str">
        <f aca="false">INDEX('Site-uri'!$C$2:$C$20,MATCH(A979,'Site-uri'!$A$2:$A$20,0))</f>
        <v>/</v>
      </c>
      <c r="H979" s="10" t="str">
        <f aca="false">Config!$B$3</f>
        <v>2610_ff_lansare</v>
      </c>
      <c r="I979" s="10" t="str">
        <f aca="false">D979&amp;"_"&amp;Config!$B$4</f>
        <v>cald_general</v>
      </c>
      <c r="J979" s="10" t="str">
        <f aca="false">"https://"&amp;B979&amp;G979&amp;"?utm_source="&amp;E979&amp;"&amp;utm_medium="&amp;F979&amp;"&amp;utm_campaign="&amp;H979&amp;"&amp;utm_content="&amp;I979</f>
        <v>https://eu-ai-act.ro/?utm_source=facebook&amp;utm_medium=social&amp;utm_campaign=2610_ff_lansare&amp;utm_content=cald_general</v>
      </c>
    </row>
    <row r="980" customFormat="false" ht="15" hidden="false" customHeight="false" outlineLevel="0" collapsed="false">
      <c r="A980" s="10" t="s">
        <v>70</v>
      </c>
      <c r="B980" s="10" t="str">
        <f aca="false">INDEX('Site-uri'!$B$2:$B$20,MATCH(A980,'Site-uri'!$A$2:$A$20,0))</f>
        <v>eu-ai-act.ro</v>
      </c>
      <c r="C980" s="10" t="s">
        <v>149</v>
      </c>
      <c r="D980" s="10" t="s">
        <v>231</v>
      </c>
      <c r="E980" s="10" t="str">
        <f aca="false">INDEX(Canale!$C$2:$C$30,MATCH(C980,Canale!$A$2:$A$30,0))</f>
        <v>facebook</v>
      </c>
      <c r="F980" s="10" t="str">
        <f aca="false">INDEX(Canale!$D$2:$D$30,MATCH(C980,Canale!$A$2:$A$30,0))</f>
        <v>social</v>
      </c>
      <c r="G980" s="10" t="str">
        <f aca="false">INDEX('Site-uri'!$C$2:$C$20,MATCH(A980,'Site-uri'!$A$2:$A$20,0))</f>
        <v>/</v>
      </c>
      <c r="H980" s="10" t="str">
        <f aca="false">Config!$B$3</f>
        <v>2610_ff_lansare</v>
      </c>
      <c r="I980" s="10" t="str">
        <f aca="false">D980&amp;"_"&amp;Config!$B$4</f>
        <v>fierbinte_general</v>
      </c>
      <c r="J980" s="10" t="str">
        <f aca="false">"https://"&amp;B980&amp;G980&amp;"?utm_source="&amp;E980&amp;"&amp;utm_medium="&amp;F980&amp;"&amp;utm_campaign="&amp;H980&amp;"&amp;utm_content="&amp;I980</f>
        <v>https://eu-ai-act.ro/?utm_source=facebook&amp;utm_medium=social&amp;utm_campaign=2610_ff_lansare&amp;utm_content=fierbinte_general</v>
      </c>
    </row>
    <row r="981" customFormat="false" ht="15" hidden="false" customHeight="false" outlineLevel="0" collapsed="false">
      <c r="A981" s="10" t="s">
        <v>70</v>
      </c>
      <c r="B981" s="10" t="str">
        <f aca="false">INDEX('Site-uri'!$B$2:$B$20,MATCH(A981,'Site-uri'!$A$2:$A$20,0))</f>
        <v>eu-ai-act.ro</v>
      </c>
      <c r="C981" s="10" t="s">
        <v>149</v>
      </c>
      <c r="D981" s="10" t="s">
        <v>237</v>
      </c>
      <c r="E981" s="10" t="str">
        <f aca="false">INDEX(Canale!$C$2:$C$30,MATCH(C981,Canale!$A$2:$A$30,0))</f>
        <v>facebook</v>
      </c>
      <c r="F981" s="10" t="str">
        <f aca="false">INDEX(Canale!$D$2:$D$30,MATCH(C981,Canale!$A$2:$A$30,0))</f>
        <v>social</v>
      </c>
      <c r="G981" s="10" t="str">
        <f aca="false">INDEX('Site-uri'!$C$2:$C$20,MATCH(A981,'Site-uri'!$A$2:$A$20,0))</f>
        <v>/</v>
      </c>
      <c r="H981" s="10" t="str">
        <f aca="false">Config!$B$3</f>
        <v>2610_ff_lansare</v>
      </c>
      <c r="I981" s="10" t="str">
        <f aca="false">D981&amp;"_"&amp;Config!$B$4</f>
        <v>client_general</v>
      </c>
      <c r="J981" s="10" t="str">
        <f aca="false">"https://"&amp;B981&amp;G981&amp;"?utm_source="&amp;E981&amp;"&amp;utm_medium="&amp;F981&amp;"&amp;utm_campaign="&amp;H981&amp;"&amp;utm_content="&amp;I981</f>
        <v>https://eu-ai-act.ro/?utm_source=facebook&amp;utm_medium=social&amp;utm_campaign=2610_ff_lansare&amp;utm_content=client_general</v>
      </c>
    </row>
    <row r="982" customFormat="false" ht="15" hidden="false" customHeight="false" outlineLevel="0" collapsed="false">
      <c r="A982" s="10" t="s">
        <v>70</v>
      </c>
      <c r="B982" s="10" t="str">
        <f aca="false">INDEX('Site-uri'!$B$2:$B$20,MATCH(A982,'Site-uri'!$A$2:$A$20,0))</f>
        <v>eu-ai-act.ro</v>
      </c>
      <c r="C982" s="10" t="s">
        <v>153</v>
      </c>
      <c r="D982" s="10" t="s">
        <v>219</v>
      </c>
      <c r="E982" s="10" t="str">
        <f aca="false">INDEX(Canale!$C$2:$C$30,MATCH(C982,Canale!$A$2:$A$30,0))</f>
        <v>x</v>
      </c>
      <c r="F982" s="10" t="str">
        <f aca="false">INDEX(Canale!$D$2:$D$30,MATCH(C982,Canale!$A$2:$A$30,0))</f>
        <v>social</v>
      </c>
      <c r="G982" s="10" t="str">
        <f aca="false">INDEX('Site-uri'!$C$2:$C$20,MATCH(A982,'Site-uri'!$A$2:$A$20,0))</f>
        <v>/</v>
      </c>
      <c r="H982" s="10" t="str">
        <f aca="false">Config!$B$3</f>
        <v>2610_ff_lansare</v>
      </c>
      <c r="I982" s="10" t="str">
        <f aca="false">D982&amp;"_"&amp;Config!$B$4</f>
        <v>rece_general</v>
      </c>
      <c r="J982" s="10" t="str">
        <f aca="false">"https://"&amp;B982&amp;G982&amp;"?utm_source="&amp;E982&amp;"&amp;utm_medium="&amp;F982&amp;"&amp;utm_campaign="&amp;H982&amp;"&amp;utm_content="&amp;I982</f>
        <v>https://eu-ai-act.ro/?utm_source=x&amp;utm_medium=social&amp;utm_campaign=2610_ff_lansare&amp;utm_content=rece_general</v>
      </c>
    </row>
    <row r="983" customFormat="false" ht="15" hidden="false" customHeight="false" outlineLevel="0" collapsed="false">
      <c r="A983" s="10" t="s">
        <v>70</v>
      </c>
      <c r="B983" s="10" t="str">
        <f aca="false">INDEX('Site-uri'!$B$2:$B$20,MATCH(A983,'Site-uri'!$A$2:$A$20,0))</f>
        <v>eu-ai-act.ro</v>
      </c>
      <c r="C983" s="10" t="s">
        <v>153</v>
      </c>
      <c r="D983" s="10" t="s">
        <v>225</v>
      </c>
      <c r="E983" s="10" t="str">
        <f aca="false">INDEX(Canale!$C$2:$C$30,MATCH(C983,Canale!$A$2:$A$30,0))</f>
        <v>x</v>
      </c>
      <c r="F983" s="10" t="str">
        <f aca="false">INDEX(Canale!$D$2:$D$30,MATCH(C983,Canale!$A$2:$A$30,0))</f>
        <v>social</v>
      </c>
      <c r="G983" s="10" t="str">
        <f aca="false">INDEX('Site-uri'!$C$2:$C$20,MATCH(A983,'Site-uri'!$A$2:$A$20,0))</f>
        <v>/</v>
      </c>
      <c r="H983" s="10" t="str">
        <f aca="false">Config!$B$3</f>
        <v>2610_ff_lansare</v>
      </c>
      <c r="I983" s="10" t="str">
        <f aca="false">D983&amp;"_"&amp;Config!$B$4</f>
        <v>cald_general</v>
      </c>
      <c r="J983" s="10" t="str">
        <f aca="false">"https://"&amp;B983&amp;G983&amp;"?utm_source="&amp;E983&amp;"&amp;utm_medium="&amp;F983&amp;"&amp;utm_campaign="&amp;H983&amp;"&amp;utm_content="&amp;I983</f>
        <v>https://eu-ai-act.ro/?utm_source=x&amp;utm_medium=social&amp;utm_campaign=2610_ff_lansare&amp;utm_content=cald_general</v>
      </c>
    </row>
    <row r="984" customFormat="false" ht="15" hidden="false" customHeight="false" outlineLevel="0" collapsed="false">
      <c r="A984" s="10" t="s">
        <v>70</v>
      </c>
      <c r="B984" s="10" t="str">
        <f aca="false">INDEX('Site-uri'!$B$2:$B$20,MATCH(A984,'Site-uri'!$A$2:$A$20,0))</f>
        <v>eu-ai-act.ro</v>
      </c>
      <c r="C984" s="10" t="s">
        <v>153</v>
      </c>
      <c r="D984" s="10" t="s">
        <v>231</v>
      </c>
      <c r="E984" s="10" t="str">
        <f aca="false">INDEX(Canale!$C$2:$C$30,MATCH(C984,Canale!$A$2:$A$30,0))</f>
        <v>x</v>
      </c>
      <c r="F984" s="10" t="str">
        <f aca="false">INDEX(Canale!$D$2:$D$30,MATCH(C984,Canale!$A$2:$A$30,0))</f>
        <v>social</v>
      </c>
      <c r="G984" s="10" t="str">
        <f aca="false">INDEX('Site-uri'!$C$2:$C$20,MATCH(A984,'Site-uri'!$A$2:$A$20,0))</f>
        <v>/</v>
      </c>
      <c r="H984" s="10" t="str">
        <f aca="false">Config!$B$3</f>
        <v>2610_ff_lansare</v>
      </c>
      <c r="I984" s="10" t="str">
        <f aca="false">D984&amp;"_"&amp;Config!$B$4</f>
        <v>fierbinte_general</v>
      </c>
      <c r="J984" s="10" t="str">
        <f aca="false">"https://"&amp;B984&amp;G984&amp;"?utm_source="&amp;E984&amp;"&amp;utm_medium="&amp;F984&amp;"&amp;utm_campaign="&amp;H984&amp;"&amp;utm_content="&amp;I984</f>
        <v>https://eu-ai-act.ro/?utm_source=x&amp;utm_medium=social&amp;utm_campaign=2610_ff_lansare&amp;utm_content=fierbinte_general</v>
      </c>
    </row>
    <row r="985" customFormat="false" ht="15" hidden="false" customHeight="false" outlineLevel="0" collapsed="false">
      <c r="A985" s="10" t="s">
        <v>70</v>
      </c>
      <c r="B985" s="10" t="str">
        <f aca="false">INDEX('Site-uri'!$B$2:$B$20,MATCH(A985,'Site-uri'!$A$2:$A$20,0))</f>
        <v>eu-ai-act.ro</v>
      </c>
      <c r="C985" s="10" t="s">
        <v>153</v>
      </c>
      <c r="D985" s="10" t="s">
        <v>237</v>
      </c>
      <c r="E985" s="10" t="str">
        <f aca="false">INDEX(Canale!$C$2:$C$30,MATCH(C985,Canale!$A$2:$A$30,0))</f>
        <v>x</v>
      </c>
      <c r="F985" s="10" t="str">
        <f aca="false">INDEX(Canale!$D$2:$D$30,MATCH(C985,Canale!$A$2:$A$30,0))</f>
        <v>social</v>
      </c>
      <c r="G985" s="10" t="str">
        <f aca="false">INDEX('Site-uri'!$C$2:$C$20,MATCH(A985,'Site-uri'!$A$2:$A$20,0))</f>
        <v>/</v>
      </c>
      <c r="H985" s="10" t="str">
        <f aca="false">Config!$B$3</f>
        <v>2610_ff_lansare</v>
      </c>
      <c r="I985" s="10" t="str">
        <f aca="false">D985&amp;"_"&amp;Config!$B$4</f>
        <v>client_general</v>
      </c>
      <c r="J985" s="10" t="str">
        <f aca="false">"https://"&amp;B985&amp;G985&amp;"?utm_source="&amp;E985&amp;"&amp;utm_medium="&amp;F985&amp;"&amp;utm_campaign="&amp;H985&amp;"&amp;utm_content="&amp;I985</f>
        <v>https://eu-ai-act.ro/?utm_source=x&amp;utm_medium=social&amp;utm_campaign=2610_ff_lansare&amp;utm_content=client_general</v>
      </c>
    </row>
    <row r="986" customFormat="false" ht="15" hidden="false" customHeight="false" outlineLevel="0" collapsed="false">
      <c r="A986" s="10" t="s">
        <v>70</v>
      </c>
      <c r="B986" s="10" t="str">
        <f aca="false">INDEX('Site-uri'!$B$2:$B$20,MATCH(A986,'Site-uri'!$A$2:$A$20,0))</f>
        <v>eu-ai-act.ro</v>
      </c>
      <c r="C986" s="10" t="s">
        <v>155</v>
      </c>
      <c r="D986" s="10" t="s">
        <v>219</v>
      </c>
      <c r="E986" s="10" t="str">
        <f aca="false">INDEX(Canale!$C$2:$C$30,MATCH(C986,Canale!$A$2:$A$30,0))</f>
        <v>youtube</v>
      </c>
      <c r="F986" s="10" t="str">
        <f aca="false">INDEX(Canale!$D$2:$D$30,MATCH(C986,Canale!$A$2:$A$30,0))</f>
        <v>video</v>
      </c>
      <c r="G986" s="10" t="str">
        <f aca="false">INDEX('Site-uri'!$C$2:$C$20,MATCH(A986,'Site-uri'!$A$2:$A$20,0))</f>
        <v>/</v>
      </c>
      <c r="H986" s="10" t="str">
        <f aca="false">Config!$B$3</f>
        <v>2610_ff_lansare</v>
      </c>
      <c r="I986" s="10" t="str">
        <f aca="false">D986&amp;"_"&amp;Config!$B$4</f>
        <v>rece_general</v>
      </c>
      <c r="J986" s="10" t="str">
        <f aca="false">"https://"&amp;B986&amp;G986&amp;"?utm_source="&amp;E986&amp;"&amp;utm_medium="&amp;F986&amp;"&amp;utm_campaign="&amp;H986&amp;"&amp;utm_content="&amp;I986</f>
        <v>https://eu-ai-act.ro/?utm_source=youtube&amp;utm_medium=video&amp;utm_campaign=2610_ff_lansare&amp;utm_content=rece_general</v>
      </c>
    </row>
    <row r="987" customFormat="false" ht="15" hidden="false" customHeight="false" outlineLevel="0" collapsed="false">
      <c r="A987" s="10" t="s">
        <v>70</v>
      </c>
      <c r="B987" s="10" t="str">
        <f aca="false">INDEX('Site-uri'!$B$2:$B$20,MATCH(A987,'Site-uri'!$A$2:$A$20,0))</f>
        <v>eu-ai-act.ro</v>
      </c>
      <c r="C987" s="10" t="s">
        <v>155</v>
      </c>
      <c r="D987" s="10" t="s">
        <v>225</v>
      </c>
      <c r="E987" s="10" t="str">
        <f aca="false">INDEX(Canale!$C$2:$C$30,MATCH(C987,Canale!$A$2:$A$30,0))</f>
        <v>youtube</v>
      </c>
      <c r="F987" s="10" t="str">
        <f aca="false">INDEX(Canale!$D$2:$D$30,MATCH(C987,Canale!$A$2:$A$30,0))</f>
        <v>video</v>
      </c>
      <c r="G987" s="10" t="str">
        <f aca="false">INDEX('Site-uri'!$C$2:$C$20,MATCH(A987,'Site-uri'!$A$2:$A$20,0))</f>
        <v>/</v>
      </c>
      <c r="H987" s="10" t="str">
        <f aca="false">Config!$B$3</f>
        <v>2610_ff_lansare</v>
      </c>
      <c r="I987" s="10" t="str">
        <f aca="false">D987&amp;"_"&amp;Config!$B$4</f>
        <v>cald_general</v>
      </c>
      <c r="J987" s="10" t="str">
        <f aca="false">"https://"&amp;B987&amp;G987&amp;"?utm_source="&amp;E987&amp;"&amp;utm_medium="&amp;F987&amp;"&amp;utm_campaign="&amp;H987&amp;"&amp;utm_content="&amp;I987</f>
        <v>https://eu-ai-act.ro/?utm_source=youtube&amp;utm_medium=video&amp;utm_campaign=2610_ff_lansare&amp;utm_content=cald_general</v>
      </c>
    </row>
    <row r="988" customFormat="false" ht="15" hidden="false" customHeight="false" outlineLevel="0" collapsed="false">
      <c r="A988" s="10" t="s">
        <v>70</v>
      </c>
      <c r="B988" s="10" t="str">
        <f aca="false">INDEX('Site-uri'!$B$2:$B$20,MATCH(A988,'Site-uri'!$A$2:$A$20,0))</f>
        <v>eu-ai-act.ro</v>
      </c>
      <c r="C988" s="10" t="s">
        <v>155</v>
      </c>
      <c r="D988" s="10" t="s">
        <v>231</v>
      </c>
      <c r="E988" s="10" t="str">
        <f aca="false">INDEX(Canale!$C$2:$C$30,MATCH(C988,Canale!$A$2:$A$30,0))</f>
        <v>youtube</v>
      </c>
      <c r="F988" s="10" t="str">
        <f aca="false">INDEX(Canale!$D$2:$D$30,MATCH(C988,Canale!$A$2:$A$30,0))</f>
        <v>video</v>
      </c>
      <c r="G988" s="10" t="str">
        <f aca="false">INDEX('Site-uri'!$C$2:$C$20,MATCH(A988,'Site-uri'!$A$2:$A$20,0))</f>
        <v>/</v>
      </c>
      <c r="H988" s="10" t="str">
        <f aca="false">Config!$B$3</f>
        <v>2610_ff_lansare</v>
      </c>
      <c r="I988" s="10" t="str">
        <f aca="false">D988&amp;"_"&amp;Config!$B$4</f>
        <v>fierbinte_general</v>
      </c>
      <c r="J988" s="10" t="str">
        <f aca="false">"https://"&amp;B988&amp;G988&amp;"?utm_source="&amp;E988&amp;"&amp;utm_medium="&amp;F988&amp;"&amp;utm_campaign="&amp;H988&amp;"&amp;utm_content="&amp;I988</f>
        <v>https://eu-ai-act.ro/?utm_source=youtube&amp;utm_medium=video&amp;utm_campaign=2610_ff_lansare&amp;utm_content=fierbinte_general</v>
      </c>
    </row>
    <row r="989" customFormat="false" ht="15" hidden="false" customHeight="false" outlineLevel="0" collapsed="false">
      <c r="A989" s="10" t="s">
        <v>70</v>
      </c>
      <c r="B989" s="10" t="str">
        <f aca="false">INDEX('Site-uri'!$B$2:$B$20,MATCH(A989,'Site-uri'!$A$2:$A$20,0))</f>
        <v>eu-ai-act.ro</v>
      </c>
      <c r="C989" s="10" t="s">
        <v>155</v>
      </c>
      <c r="D989" s="10" t="s">
        <v>237</v>
      </c>
      <c r="E989" s="10" t="str">
        <f aca="false">INDEX(Canale!$C$2:$C$30,MATCH(C989,Canale!$A$2:$A$30,0))</f>
        <v>youtube</v>
      </c>
      <c r="F989" s="10" t="str">
        <f aca="false">INDEX(Canale!$D$2:$D$30,MATCH(C989,Canale!$A$2:$A$30,0))</f>
        <v>video</v>
      </c>
      <c r="G989" s="10" t="str">
        <f aca="false">INDEX('Site-uri'!$C$2:$C$20,MATCH(A989,'Site-uri'!$A$2:$A$20,0))</f>
        <v>/</v>
      </c>
      <c r="H989" s="10" t="str">
        <f aca="false">Config!$B$3</f>
        <v>2610_ff_lansare</v>
      </c>
      <c r="I989" s="10" t="str">
        <f aca="false">D989&amp;"_"&amp;Config!$B$4</f>
        <v>client_general</v>
      </c>
      <c r="J989" s="10" t="str">
        <f aca="false">"https://"&amp;B989&amp;G989&amp;"?utm_source="&amp;E989&amp;"&amp;utm_medium="&amp;F989&amp;"&amp;utm_campaign="&amp;H989&amp;"&amp;utm_content="&amp;I989</f>
        <v>https://eu-ai-act.ro/?utm_source=youtube&amp;utm_medium=video&amp;utm_campaign=2610_ff_lansare&amp;utm_content=client_general</v>
      </c>
    </row>
    <row r="990" customFormat="false" ht="15" hidden="false" customHeight="false" outlineLevel="0" collapsed="false">
      <c r="A990" s="10" t="s">
        <v>70</v>
      </c>
      <c r="B990" s="10" t="str">
        <f aca="false">INDEX('Site-uri'!$B$2:$B$20,MATCH(A990,'Site-uri'!$A$2:$A$20,0))</f>
        <v>eu-ai-act.ro</v>
      </c>
      <c r="C990" s="10" t="s">
        <v>160</v>
      </c>
      <c r="D990" s="10" t="s">
        <v>219</v>
      </c>
      <c r="E990" s="10" t="str">
        <f aca="false">INDEX(Canale!$C$2:$C$30,MATCH(C990,Canale!$A$2:$A$30,0))</f>
        <v>medium</v>
      </c>
      <c r="F990" s="10" t="str">
        <f aca="false">INDEX(Canale!$D$2:$D$30,MATCH(C990,Canale!$A$2:$A$30,0))</f>
        <v>content</v>
      </c>
      <c r="G990" s="10" t="str">
        <f aca="false">INDEX('Site-uri'!$C$2:$C$20,MATCH(A990,'Site-uri'!$A$2:$A$20,0))</f>
        <v>/</v>
      </c>
      <c r="H990" s="10" t="str">
        <f aca="false">Config!$B$3</f>
        <v>2610_ff_lansare</v>
      </c>
      <c r="I990" s="10" t="str">
        <f aca="false">D990&amp;"_"&amp;Config!$B$4</f>
        <v>rece_general</v>
      </c>
      <c r="J990" s="10" t="str">
        <f aca="false">"https://"&amp;B990&amp;G990&amp;"?utm_source="&amp;E990&amp;"&amp;utm_medium="&amp;F990&amp;"&amp;utm_campaign="&amp;H990&amp;"&amp;utm_content="&amp;I990</f>
        <v>https://eu-ai-act.ro/?utm_source=medium&amp;utm_medium=content&amp;utm_campaign=2610_ff_lansare&amp;utm_content=rece_general</v>
      </c>
    </row>
    <row r="991" customFormat="false" ht="15" hidden="false" customHeight="false" outlineLevel="0" collapsed="false">
      <c r="A991" s="10" t="s">
        <v>70</v>
      </c>
      <c r="B991" s="10" t="str">
        <f aca="false">INDEX('Site-uri'!$B$2:$B$20,MATCH(A991,'Site-uri'!$A$2:$A$20,0))</f>
        <v>eu-ai-act.ro</v>
      </c>
      <c r="C991" s="10" t="s">
        <v>160</v>
      </c>
      <c r="D991" s="10" t="s">
        <v>225</v>
      </c>
      <c r="E991" s="10" t="str">
        <f aca="false">INDEX(Canale!$C$2:$C$30,MATCH(C991,Canale!$A$2:$A$30,0))</f>
        <v>medium</v>
      </c>
      <c r="F991" s="10" t="str">
        <f aca="false">INDEX(Canale!$D$2:$D$30,MATCH(C991,Canale!$A$2:$A$30,0))</f>
        <v>content</v>
      </c>
      <c r="G991" s="10" t="str">
        <f aca="false">INDEX('Site-uri'!$C$2:$C$20,MATCH(A991,'Site-uri'!$A$2:$A$20,0))</f>
        <v>/</v>
      </c>
      <c r="H991" s="10" t="str">
        <f aca="false">Config!$B$3</f>
        <v>2610_ff_lansare</v>
      </c>
      <c r="I991" s="10" t="str">
        <f aca="false">D991&amp;"_"&amp;Config!$B$4</f>
        <v>cald_general</v>
      </c>
      <c r="J991" s="10" t="str">
        <f aca="false">"https://"&amp;B991&amp;G991&amp;"?utm_source="&amp;E991&amp;"&amp;utm_medium="&amp;F991&amp;"&amp;utm_campaign="&amp;H991&amp;"&amp;utm_content="&amp;I991</f>
        <v>https://eu-ai-act.ro/?utm_source=medium&amp;utm_medium=content&amp;utm_campaign=2610_ff_lansare&amp;utm_content=cald_general</v>
      </c>
    </row>
    <row r="992" customFormat="false" ht="15" hidden="false" customHeight="false" outlineLevel="0" collapsed="false">
      <c r="A992" s="10" t="s">
        <v>70</v>
      </c>
      <c r="B992" s="10" t="str">
        <f aca="false">INDEX('Site-uri'!$B$2:$B$20,MATCH(A992,'Site-uri'!$A$2:$A$20,0))</f>
        <v>eu-ai-act.ro</v>
      </c>
      <c r="C992" s="10" t="s">
        <v>160</v>
      </c>
      <c r="D992" s="10" t="s">
        <v>231</v>
      </c>
      <c r="E992" s="10" t="str">
        <f aca="false">INDEX(Canale!$C$2:$C$30,MATCH(C992,Canale!$A$2:$A$30,0))</f>
        <v>medium</v>
      </c>
      <c r="F992" s="10" t="str">
        <f aca="false">INDEX(Canale!$D$2:$D$30,MATCH(C992,Canale!$A$2:$A$30,0))</f>
        <v>content</v>
      </c>
      <c r="G992" s="10" t="str">
        <f aca="false">INDEX('Site-uri'!$C$2:$C$20,MATCH(A992,'Site-uri'!$A$2:$A$20,0))</f>
        <v>/</v>
      </c>
      <c r="H992" s="10" t="str">
        <f aca="false">Config!$B$3</f>
        <v>2610_ff_lansare</v>
      </c>
      <c r="I992" s="10" t="str">
        <f aca="false">D992&amp;"_"&amp;Config!$B$4</f>
        <v>fierbinte_general</v>
      </c>
      <c r="J992" s="10" t="str">
        <f aca="false">"https://"&amp;B992&amp;G992&amp;"?utm_source="&amp;E992&amp;"&amp;utm_medium="&amp;F992&amp;"&amp;utm_campaign="&amp;H992&amp;"&amp;utm_content="&amp;I992</f>
        <v>https://eu-ai-act.ro/?utm_source=medium&amp;utm_medium=content&amp;utm_campaign=2610_ff_lansare&amp;utm_content=fierbinte_general</v>
      </c>
    </row>
    <row r="993" customFormat="false" ht="15" hidden="false" customHeight="false" outlineLevel="0" collapsed="false">
      <c r="A993" s="10" t="s">
        <v>70</v>
      </c>
      <c r="B993" s="10" t="str">
        <f aca="false">INDEX('Site-uri'!$B$2:$B$20,MATCH(A993,'Site-uri'!$A$2:$A$20,0))</f>
        <v>eu-ai-act.ro</v>
      </c>
      <c r="C993" s="10" t="s">
        <v>160</v>
      </c>
      <c r="D993" s="10" t="s">
        <v>237</v>
      </c>
      <c r="E993" s="10" t="str">
        <f aca="false">INDEX(Canale!$C$2:$C$30,MATCH(C993,Canale!$A$2:$A$30,0))</f>
        <v>medium</v>
      </c>
      <c r="F993" s="10" t="str">
        <f aca="false">INDEX(Canale!$D$2:$D$30,MATCH(C993,Canale!$A$2:$A$30,0))</f>
        <v>content</v>
      </c>
      <c r="G993" s="10" t="str">
        <f aca="false">INDEX('Site-uri'!$C$2:$C$20,MATCH(A993,'Site-uri'!$A$2:$A$20,0))</f>
        <v>/</v>
      </c>
      <c r="H993" s="10" t="str">
        <f aca="false">Config!$B$3</f>
        <v>2610_ff_lansare</v>
      </c>
      <c r="I993" s="10" t="str">
        <f aca="false">D993&amp;"_"&amp;Config!$B$4</f>
        <v>client_general</v>
      </c>
      <c r="J993" s="10" t="str">
        <f aca="false">"https://"&amp;B993&amp;G993&amp;"?utm_source="&amp;E993&amp;"&amp;utm_medium="&amp;F993&amp;"&amp;utm_campaign="&amp;H993&amp;"&amp;utm_content="&amp;I993</f>
        <v>https://eu-ai-act.ro/?utm_source=medium&amp;utm_medium=content&amp;utm_campaign=2610_ff_lansare&amp;utm_content=client_general</v>
      </c>
    </row>
    <row r="994" customFormat="false" ht="15" hidden="false" customHeight="false" outlineLevel="0" collapsed="false">
      <c r="A994" s="10" t="s">
        <v>70</v>
      </c>
      <c r="B994" s="10" t="str">
        <f aca="false">INDEX('Site-uri'!$B$2:$B$20,MATCH(A994,'Site-uri'!$A$2:$A$20,0))</f>
        <v>eu-ai-act.ro</v>
      </c>
      <c r="C994" s="10" t="s">
        <v>165</v>
      </c>
      <c r="D994" s="10" t="s">
        <v>219</v>
      </c>
      <c r="E994" s="10" t="str">
        <f aca="false">INDEX(Canale!$C$2:$C$30,MATCH(C994,Canale!$A$2:$A$30,0))</f>
        <v>crunchbase</v>
      </c>
      <c r="F994" s="10" t="str">
        <f aca="false">INDEX(Canale!$D$2:$D$30,MATCH(C994,Canale!$A$2:$A$30,0))</f>
        <v>referral</v>
      </c>
      <c r="G994" s="10" t="str">
        <f aca="false">INDEX('Site-uri'!$C$2:$C$20,MATCH(A994,'Site-uri'!$A$2:$A$20,0))</f>
        <v>/</v>
      </c>
      <c r="H994" s="10" t="str">
        <f aca="false">Config!$B$3</f>
        <v>2610_ff_lansare</v>
      </c>
      <c r="I994" s="10" t="str">
        <f aca="false">D994&amp;"_"&amp;Config!$B$4</f>
        <v>rece_general</v>
      </c>
      <c r="J994" s="10" t="str">
        <f aca="false">"https://"&amp;B994&amp;G994&amp;"?utm_source="&amp;E994&amp;"&amp;utm_medium="&amp;F994&amp;"&amp;utm_campaign="&amp;H994&amp;"&amp;utm_content="&amp;I994</f>
        <v>https://eu-ai-act.ro/?utm_source=crunchbase&amp;utm_medium=referral&amp;utm_campaign=2610_ff_lansare&amp;utm_content=rece_general</v>
      </c>
    </row>
    <row r="995" customFormat="false" ht="15" hidden="false" customHeight="false" outlineLevel="0" collapsed="false">
      <c r="A995" s="10" t="s">
        <v>70</v>
      </c>
      <c r="B995" s="10" t="str">
        <f aca="false">INDEX('Site-uri'!$B$2:$B$20,MATCH(A995,'Site-uri'!$A$2:$A$20,0))</f>
        <v>eu-ai-act.ro</v>
      </c>
      <c r="C995" s="10" t="s">
        <v>165</v>
      </c>
      <c r="D995" s="10" t="s">
        <v>225</v>
      </c>
      <c r="E995" s="10" t="str">
        <f aca="false">INDEX(Canale!$C$2:$C$30,MATCH(C995,Canale!$A$2:$A$30,0))</f>
        <v>crunchbase</v>
      </c>
      <c r="F995" s="10" t="str">
        <f aca="false">INDEX(Canale!$D$2:$D$30,MATCH(C995,Canale!$A$2:$A$30,0))</f>
        <v>referral</v>
      </c>
      <c r="G995" s="10" t="str">
        <f aca="false">INDEX('Site-uri'!$C$2:$C$20,MATCH(A995,'Site-uri'!$A$2:$A$20,0))</f>
        <v>/</v>
      </c>
      <c r="H995" s="10" t="str">
        <f aca="false">Config!$B$3</f>
        <v>2610_ff_lansare</v>
      </c>
      <c r="I995" s="10" t="str">
        <f aca="false">D995&amp;"_"&amp;Config!$B$4</f>
        <v>cald_general</v>
      </c>
      <c r="J995" s="10" t="str">
        <f aca="false">"https://"&amp;B995&amp;G995&amp;"?utm_source="&amp;E995&amp;"&amp;utm_medium="&amp;F995&amp;"&amp;utm_campaign="&amp;H995&amp;"&amp;utm_content="&amp;I995</f>
        <v>https://eu-ai-act.ro/?utm_source=crunchbase&amp;utm_medium=referral&amp;utm_campaign=2610_ff_lansare&amp;utm_content=cald_general</v>
      </c>
    </row>
    <row r="996" customFormat="false" ht="15" hidden="false" customHeight="false" outlineLevel="0" collapsed="false">
      <c r="A996" s="10" t="s">
        <v>70</v>
      </c>
      <c r="B996" s="10" t="str">
        <f aca="false">INDEX('Site-uri'!$B$2:$B$20,MATCH(A996,'Site-uri'!$A$2:$A$20,0))</f>
        <v>eu-ai-act.ro</v>
      </c>
      <c r="C996" s="10" t="s">
        <v>165</v>
      </c>
      <c r="D996" s="10" t="s">
        <v>231</v>
      </c>
      <c r="E996" s="10" t="str">
        <f aca="false">INDEX(Canale!$C$2:$C$30,MATCH(C996,Canale!$A$2:$A$30,0))</f>
        <v>crunchbase</v>
      </c>
      <c r="F996" s="10" t="str">
        <f aca="false">INDEX(Canale!$D$2:$D$30,MATCH(C996,Canale!$A$2:$A$30,0))</f>
        <v>referral</v>
      </c>
      <c r="G996" s="10" t="str">
        <f aca="false">INDEX('Site-uri'!$C$2:$C$20,MATCH(A996,'Site-uri'!$A$2:$A$20,0))</f>
        <v>/</v>
      </c>
      <c r="H996" s="10" t="str">
        <f aca="false">Config!$B$3</f>
        <v>2610_ff_lansare</v>
      </c>
      <c r="I996" s="10" t="str">
        <f aca="false">D996&amp;"_"&amp;Config!$B$4</f>
        <v>fierbinte_general</v>
      </c>
      <c r="J996" s="10" t="str">
        <f aca="false">"https://"&amp;B996&amp;G996&amp;"?utm_source="&amp;E996&amp;"&amp;utm_medium="&amp;F996&amp;"&amp;utm_campaign="&amp;H996&amp;"&amp;utm_content="&amp;I996</f>
        <v>https://eu-ai-act.ro/?utm_source=crunchbase&amp;utm_medium=referral&amp;utm_campaign=2610_ff_lansare&amp;utm_content=fierbinte_general</v>
      </c>
    </row>
    <row r="997" customFormat="false" ht="15" hidden="false" customHeight="false" outlineLevel="0" collapsed="false">
      <c r="A997" s="10" t="s">
        <v>70</v>
      </c>
      <c r="B997" s="10" t="str">
        <f aca="false">INDEX('Site-uri'!$B$2:$B$20,MATCH(A997,'Site-uri'!$A$2:$A$20,0))</f>
        <v>eu-ai-act.ro</v>
      </c>
      <c r="C997" s="10" t="s">
        <v>165</v>
      </c>
      <c r="D997" s="10" t="s">
        <v>237</v>
      </c>
      <c r="E997" s="10" t="str">
        <f aca="false">INDEX(Canale!$C$2:$C$30,MATCH(C997,Canale!$A$2:$A$30,0))</f>
        <v>crunchbase</v>
      </c>
      <c r="F997" s="10" t="str">
        <f aca="false">INDEX(Canale!$D$2:$D$30,MATCH(C997,Canale!$A$2:$A$30,0))</f>
        <v>referral</v>
      </c>
      <c r="G997" s="10" t="str">
        <f aca="false">INDEX('Site-uri'!$C$2:$C$20,MATCH(A997,'Site-uri'!$A$2:$A$20,0))</f>
        <v>/</v>
      </c>
      <c r="H997" s="10" t="str">
        <f aca="false">Config!$B$3</f>
        <v>2610_ff_lansare</v>
      </c>
      <c r="I997" s="10" t="str">
        <f aca="false">D997&amp;"_"&amp;Config!$B$4</f>
        <v>client_general</v>
      </c>
      <c r="J997" s="10" t="str">
        <f aca="false">"https://"&amp;B997&amp;G997&amp;"?utm_source="&amp;E997&amp;"&amp;utm_medium="&amp;F997&amp;"&amp;utm_campaign="&amp;H997&amp;"&amp;utm_content="&amp;I997</f>
        <v>https://eu-ai-act.ro/?utm_source=crunchbase&amp;utm_medium=referral&amp;utm_campaign=2610_ff_lansare&amp;utm_content=client_general</v>
      </c>
    </row>
    <row r="998" customFormat="false" ht="15" hidden="false" customHeight="false" outlineLevel="0" collapsed="false">
      <c r="A998" s="10" t="s">
        <v>70</v>
      </c>
      <c r="B998" s="10" t="str">
        <f aca="false">INDEX('Site-uri'!$B$2:$B$20,MATCH(A998,'Site-uri'!$A$2:$A$20,0))</f>
        <v>eu-ai-act.ro</v>
      </c>
      <c r="C998" s="10" t="s">
        <v>170</v>
      </c>
      <c r="D998" s="10" t="s">
        <v>219</v>
      </c>
      <c r="E998" s="10" t="str">
        <f aca="false">INDEX(Canale!$C$2:$C$30,MATCH(C998,Canale!$A$2:$A$30,0))</f>
        <v>zenodo</v>
      </c>
      <c r="F998" s="10" t="str">
        <f aca="false">INDEX(Canale!$D$2:$D$30,MATCH(C998,Canale!$A$2:$A$30,0))</f>
        <v>referral</v>
      </c>
      <c r="G998" s="10" t="str">
        <f aca="false">INDEX('Site-uri'!$C$2:$C$20,MATCH(A998,'Site-uri'!$A$2:$A$20,0))</f>
        <v>/</v>
      </c>
      <c r="H998" s="10" t="str">
        <f aca="false">Config!$B$3</f>
        <v>2610_ff_lansare</v>
      </c>
      <c r="I998" s="10" t="str">
        <f aca="false">D998&amp;"_"&amp;Config!$B$4</f>
        <v>rece_general</v>
      </c>
      <c r="J998" s="10" t="str">
        <f aca="false">"https://"&amp;B998&amp;G998&amp;"?utm_source="&amp;E998&amp;"&amp;utm_medium="&amp;F998&amp;"&amp;utm_campaign="&amp;H998&amp;"&amp;utm_content="&amp;I998</f>
        <v>https://eu-ai-act.ro/?utm_source=zenodo&amp;utm_medium=referral&amp;utm_campaign=2610_ff_lansare&amp;utm_content=rece_general</v>
      </c>
    </row>
    <row r="999" customFormat="false" ht="15" hidden="false" customHeight="false" outlineLevel="0" collapsed="false">
      <c r="A999" s="10" t="s">
        <v>70</v>
      </c>
      <c r="B999" s="10" t="str">
        <f aca="false">INDEX('Site-uri'!$B$2:$B$20,MATCH(A999,'Site-uri'!$A$2:$A$20,0))</f>
        <v>eu-ai-act.ro</v>
      </c>
      <c r="C999" s="10" t="s">
        <v>170</v>
      </c>
      <c r="D999" s="10" t="s">
        <v>225</v>
      </c>
      <c r="E999" s="10" t="str">
        <f aca="false">INDEX(Canale!$C$2:$C$30,MATCH(C999,Canale!$A$2:$A$30,0))</f>
        <v>zenodo</v>
      </c>
      <c r="F999" s="10" t="str">
        <f aca="false">INDEX(Canale!$D$2:$D$30,MATCH(C999,Canale!$A$2:$A$30,0))</f>
        <v>referral</v>
      </c>
      <c r="G999" s="10" t="str">
        <f aca="false">INDEX('Site-uri'!$C$2:$C$20,MATCH(A999,'Site-uri'!$A$2:$A$20,0))</f>
        <v>/</v>
      </c>
      <c r="H999" s="10" t="str">
        <f aca="false">Config!$B$3</f>
        <v>2610_ff_lansare</v>
      </c>
      <c r="I999" s="10" t="str">
        <f aca="false">D999&amp;"_"&amp;Config!$B$4</f>
        <v>cald_general</v>
      </c>
      <c r="J999" s="10" t="str">
        <f aca="false">"https://"&amp;B999&amp;G999&amp;"?utm_source="&amp;E999&amp;"&amp;utm_medium="&amp;F999&amp;"&amp;utm_campaign="&amp;H999&amp;"&amp;utm_content="&amp;I999</f>
        <v>https://eu-ai-act.ro/?utm_source=zenodo&amp;utm_medium=referral&amp;utm_campaign=2610_ff_lansare&amp;utm_content=cald_general</v>
      </c>
    </row>
    <row r="1000" customFormat="false" ht="15" hidden="false" customHeight="false" outlineLevel="0" collapsed="false">
      <c r="A1000" s="10" t="s">
        <v>70</v>
      </c>
      <c r="B1000" s="10" t="str">
        <f aca="false">INDEX('Site-uri'!$B$2:$B$20,MATCH(A1000,'Site-uri'!$A$2:$A$20,0))</f>
        <v>eu-ai-act.ro</v>
      </c>
      <c r="C1000" s="10" t="s">
        <v>170</v>
      </c>
      <c r="D1000" s="10" t="s">
        <v>231</v>
      </c>
      <c r="E1000" s="10" t="str">
        <f aca="false">INDEX(Canale!$C$2:$C$30,MATCH(C1000,Canale!$A$2:$A$30,0))</f>
        <v>zenodo</v>
      </c>
      <c r="F1000" s="10" t="str">
        <f aca="false">INDEX(Canale!$D$2:$D$30,MATCH(C1000,Canale!$A$2:$A$30,0))</f>
        <v>referral</v>
      </c>
      <c r="G1000" s="10" t="str">
        <f aca="false">INDEX('Site-uri'!$C$2:$C$20,MATCH(A1000,'Site-uri'!$A$2:$A$20,0))</f>
        <v>/</v>
      </c>
      <c r="H1000" s="10" t="str">
        <f aca="false">Config!$B$3</f>
        <v>2610_ff_lansare</v>
      </c>
      <c r="I1000" s="10" t="str">
        <f aca="false">D1000&amp;"_"&amp;Config!$B$4</f>
        <v>fierbinte_general</v>
      </c>
      <c r="J1000" s="10" t="str">
        <f aca="false">"https://"&amp;B1000&amp;G1000&amp;"?utm_source="&amp;E1000&amp;"&amp;utm_medium="&amp;F1000&amp;"&amp;utm_campaign="&amp;H1000&amp;"&amp;utm_content="&amp;I1000</f>
        <v>https://eu-ai-act.ro/?utm_source=zenodo&amp;utm_medium=referral&amp;utm_campaign=2610_ff_lansare&amp;utm_content=fierbinte_general</v>
      </c>
    </row>
    <row r="1001" customFormat="false" ht="15" hidden="false" customHeight="false" outlineLevel="0" collapsed="false">
      <c r="A1001" s="10" t="s">
        <v>70</v>
      </c>
      <c r="B1001" s="10" t="str">
        <f aca="false">INDEX('Site-uri'!$B$2:$B$20,MATCH(A1001,'Site-uri'!$A$2:$A$20,0))</f>
        <v>eu-ai-act.ro</v>
      </c>
      <c r="C1001" s="10" t="s">
        <v>170</v>
      </c>
      <c r="D1001" s="10" t="s">
        <v>237</v>
      </c>
      <c r="E1001" s="10" t="str">
        <f aca="false">INDEX(Canale!$C$2:$C$30,MATCH(C1001,Canale!$A$2:$A$30,0))</f>
        <v>zenodo</v>
      </c>
      <c r="F1001" s="10" t="str">
        <f aca="false">INDEX(Canale!$D$2:$D$30,MATCH(C1001,Canale!$A$2:$A$30,0))</f>
        <v>referral</v>
      </c>
      <c r="G1001" s="10" t="str">
        <f aca="false">INDEX('Site-uri'!$C$2:$C$20,MATCH(A1001,'Site-uri'!$A$2:$A$20,0))</f>
        <v>/</v>
      </c>
      <c r="H1001" s="10" t="str">
        <f aca="false">Config!$B$3</f>
        <v>2610_ff_lansare</v>
      </c>
      <c r="I1001" s="10" t="str">
        <f aca="false">D1001&amp;"_"&amp;Config!$B$4</f>
        <v>client_general</v>
      </c>
      <c r="J1001" s="10" t="str">
        <f aca="false">"https://"&amp;B1001&amp;G1001&amp;"?utm_source="&amp;E1001&amp;"&amp;utm_medium="&amp;F1001&amp;"&amp;utm_campaign="&amp;H1001&amp;"&amp;utm_content="&amp;I1001</f>
        <v>https://eu-ai-act.ro/?utm_source=zenodo&amp;utm_medium=referral&amp;utm_campaign=2610_ff_lansare&amp;utm_content=client_general</v>
      </c>
    </row>
    <row r="1002" customFormat="false" ht="15" hidden="false" customHeight="false" outlineLevel="0" collapsed="false">
      <c r="A1002" s="10" t="s">
        <v>70</v>
      </c>
      <c r="B1002" s="10" t="str">
        <f aca="false">INDEX('Site-uri'!$B$2:$B$20,MATCH(A1002,'Site-uri'!$A$2:$A$20,0))</f>
        <v>eu-ai-act.ro</v>
      </c>
      <c r="C1002" s="10" t="s">
        <v>173</v>
      </c>
      <c r="D1002" s="10" t="s">
        <v>219</v>
      </c>
      <c r="E1002" s="10" t="str">
        <f aca="false">INDEX(Canale!$C$2:$C$30,MATCH(C1002,Canale!$A$2:$A$30,0))</f>
        <v>orcid</v>
      </c>
      <c r="F1002" s="10" t="str">
        <f aca="false">INDEX(Canale!$D$2:$D$30,MATCH(C1002,Canale!$A$2:$A$30,0))</f>
        <v>referral</v>
      </c>
      <c r="G1002" s="10" t="str">
        <f aca="false">INDEX('Site-uri'!$C$2:$C$20,MATCH(A1002,'Site-uri'!$A$2:$A$20,0))</f>
        <v>/</v>
      </c>
      <c r="H1002" s="10" t="str">
        <f aca="false">Config!$B$3</f>
        <v>2610_ff_lansare</v>
      </c>
      <c r="I1002" s="10" t="str">
        <f aca="false">D1002&amp;"_"&amp;Config!$B$4</f>
        <v>rece_general</v>
      </c>
      <c r="J1002" s="10" t="str">
        <f aca="false">"https://"&amp;B1002&amp;G1002&amp;"?utm_source="&amp;E1002&amp;"&amp;utm_medium="&amp;F1002&amp;"&amp;utm_campaign="&amp;H1002&amp;"&amp;utm_content="&amp;I1002</f>
        <v>https://eu-ai-act.ro/?utm_source=orcid&amp;utm_medium=referral&amp;utm_campaign=2610_ff_lansare&amp;utm_content=rece_general</v>
      </c>
    </row>
    <row r="1003" customFormat="false" ht="15" hidden="false" customHeight="false" outlineLevel="0" collapsed="false">
      <c r="A1003" s="10" t="s">
        <v>70</v>
      </c>
      <c r="B1003" s="10" t="str">
        <f aca="false">INDEX('Site-uri'!$B$2:$B$20,MATCH(A1003,'Site-uri'!$A$2:$A$20,0))</f>
        <v>eu-ai-act.ro</v>
      </c>
      <c r="C1003" s="10" t="s">
        <v>173</v>
      </c>
      <c r="D1003" s="10" t="s">
        <v>225</v>
      </c>
      <c r="E1003" s="10" t="str">
        <f aca="false">INDEX(Canale!$C$2:$C$30,MATCH(C1003,Canale!$A$2:$A$30,0))</f>
        <v>orcid</v>
      </c>
      <c r="F1003" s="10" t="str">
        <f aca="false">INDEX(Canale!$D$2:$D$30,MATCH(C1003,Canale!$A$2:$A$30,0))</f>
        <v>referral</v>
      </c>
      <c r="G1003" s="10" t="str">
        <f aca="false">INDEX('Site-uri'!$C$2:$C$20,MATCH(A1003,'Site-uri'!$A$2:$A$20,0))</f>
        <v>/</v>
      </c>
      <c r="H1003" s="10" t="str">
        <f aca="false">Config!$B$3</f>
        <v>2610_ff_lansare</v>
      </c>
      <c r="I1003" s="10" t="str">
        <f aca="false">D1003&amp;"_"&amp;Config!$B$4</f>
        <v>cald_general</v>
      </c>
      <c r="J1003" s="10" t="str">
        <f aca="false">"https://"&amp;B1003&amp;G1003&amp;"?utm_source="&amp;E1003&amp;"&amp;utm_medium="&amp;F1003&amp;"&amp;utm_campaign="&amp;H1003&amp;"&amp;utm_content="&amp;I1003</f>
        <v>https://eu-ai-act.ro/?utm_source=orcid&amp;utm_medium=referral&amp;utm_campaign=2610_ff_lansare&amp;utm_content=cald_general</v>
      </c>
    </row>
    <row r="1004" customFormat="false" ht="15" hidden="false" customHeight="false" outlineLevel="0" collapsed="false">
      <c r="A1004" s="10" t="s">
        <v>70</v>
      </c>
      <c r="B1004" s="10" t="str">
        <f aca="false">INDEX('Site-uri'!$B$2:$B$20,MATCH(A1004,'Site-uri'!$A$2:$A$20,0))</f>
        <v>eu-ai-act.ro</v>
      </c>
      <c r="C1004" s="10" t="s">
        <v>173</v>
      </c>
      <c r="D1004" s="10" t="s">
        <v>231</v>
      </c>
      <c r="E1004" s="10" t="str">
        <f aca="false">INDEX(Canale!$C$2:$C$30,MATCH(C1004,Canale!$A$2:$A$30,0))</f>
        <v>orcid</v>
      </c>
      <c r="F1004" s="10" t="str">
        <f aca="false">INDEX(Canale!$D$2:$D$30,MATCH(C1004,Canale!$A$2:$A$30,0))</f>
        <v>referral</v>
      </c>
      <c r="G1004" s="10" t="str">
        <f aca="false">INDEX('Site-uri'!$C$2:$C$20,MATCH(A1004,'Site-uri'!$A$2:$A$20,0))</f>
        <v>/</v>
      </c>
      <c r="H1004" s="10" t="str">
        <f aca="false">Config!$B$3</f>
        <v>2610_ff_lansare</v>
      </c>
      <c r="I1004" s="10" t="str">
        <f aca="false">D1004&amp;"_"&amp;Config!$B$4</f>
        <v>fierbinte_general</v>
      </c>
      <c r="J1004" s="10" t="str">
        <f aca="false">"https://"&amp;B1004&amp;G1004&amp;"?utm_source="&amp;E1004&amp;"&amp;utm_medium="&amp;F1004&amp;"&amp;utm_campaign="&amp;H1004&amp;"&amp;utm_content="&amp;I1004</f>
        <v>https://eu-ai-act.ro/?utm_source=orcid&amp;utm_medium=referral&amp;utm_campaign=2610_ff_lansare&amp;utm_content=fierbinte_general</v>
      </c>
    </row>
    <row r="1005" customFormat="false" ht="15" hidden="false" customHeight="false" outlineLevel="0" collapsed="false">
      <c r="A1005" s="10" t="s">
        <v>70</v>
      </c>
      <c r="B1005" s="10" t="str">
        <f aca="false">INDEX('Site-uri'!$B$2:$B$20,MATCH(A1005,'Site-uri'!$A$2:$A$20,0))</f>
        <v>eu-ai-act.ro</v>
      </c>
      <c r="C1005" s="10" t="s">
        <v>173</v>
      </c>
      <c r="D1005" s="10" t="s">
        <v>237</v>
      </c>
      <c r="E1005" s="10" t="str">
        <f aca="false">INDEX(Canale!$C$2:$C$30,MATCH(C1005,Canale!$A$2:$A$30,0))</f>
        <v>orcid</v>
      </c>
      <c r="F1005" s="10" t="str">
        <f aca="false">INDEX(Canale!$D$2:$D$30,MATCH(C1005,Canale!$A$2:$A$30,0))</f>
        <v>referral</v>
      </c>
      <c r="G1005" s="10" t="str">
        <f aca="false">INDEX('Site-uri'!$C$2:$C$20,MATCH(A1005,'Site-uri'!$A$2:$A$20,0))</f>
        <v>/</v>
      </c>
      <c r="H1005" s="10" t="str">
        <f aca="false">Config!$B$3</f>
        <v>2610_ff_lansare</v>
      </c>
      <c r="I1005" s="10" t="str">
        <f aca="false">D1005&amp;"_"&amp;Config!$B$4</f>
        <v>client_general</v>
      </c>
      <c r="J1005" s="10" t="str">
        <f aca="false">"https://"&amp;B1005&amp;G1005&amp;"?utm_source="&amp;E1005&amp;"&amp;utm_medium="&amp;F1005&amp;"&amp;utm_campaign="&amp;H1005&amp;"&amp;utm_content="&amp;I1005</f>
        <v>https://eu-ai-act.ro/?utm_source=orcid&amp;utm_medium=referral&amp;utm_campaign=2610_ff_lansare&amp;utm_content=client_general</v>
      </c>
    </row>
    <row r="1006" customFormat="false" ht="15" hidden="false" customHeight="false" outlineLevel="0" collapsed="false">
      <c r="A1006" s="10" t="s">
        <v>70</v>
      </c>
      <c r="B1006" s="10" t="str">
        <f aca="false">INDEX('Site-uri'!$B$2:$B$20,MATCH(A1006,'Site-uri'!$A$2:$A$20,0))</f>
        <v>eu-ai-act.ro</v>
      </c>
      <c r="C1006" s="10" t="s">
        <v>176</v>
      </c>
      <c r="D1006" s="10" t="s">
        <v>219</v>
      </c>
      <c r="E1006" s="10" t="str">
        <f aca="false">INDEX(Canale!$C$2:$C$30,MATCH(C1006,Canale!$A$2:$A$30,0))</f>
        <v>github</v>
      </c>
      <c r="F1006" s="10" t="str">
        <f aca="false">INDEX(Canale!$D$2:$D$30,MATCH(C1006,Canale!$A$2:$A$30,0))</f>
        <v>referral</v>
      </c>
      <c r="G1006" s="10" t="str">
        <f aca="false">INDEX('Site-uri'!$C$2:$C$20,MATCH(A1006,'Site-uri'!$A$2:$A$20,0))</f>
        <v>/</v>
      </c>
      <c r="H1006" s="10" t="str">
        <f aca="false">Config!$B$3</f>
        <v>2610_ff_lansare</v>
      </c>
      <c r="I1006" s="10" t="str">
        <f aca="false">D1006&amp;"_"&amp;Config!$B$4</f>
        <v>rece_general</v>
      </c>
      <c r="J1006" s="10" t="str">
        <f aca="false">"https://"&amp;B1006&amp;G1006&amp;"?utm_source="&amp;E1006&amp;"&amp;utm_medium="&amp;F1006&amp;"&amp;utm_campaign="&amp;H1006&amp;"&amp;utm_content="&amp;I1006</f>
        <v>https://eu-ai-act.ro/?utm_source=github&amp;utm_medium=referral&amp;utm_campaign=2610_ff_lansare&amp;utm_content=rece_general</v>
      </c>
    </row>
    <row r="1007" customFormat="false" ht="15" hidden="false" customHeight="false" outlineLevel="0" collapsed="false">
      <c r="A1007" s="10" t="s">
        <v>70</v>
      </c>
      <c r="B1007" s="10" t="str">
        <f aca="false">INDEX('Site-uri'!$B$2:$B$20,MATCH(A1007,'Site-uri'!$A$2:$A$20,0))</f>
        <v>eu-ai-act.ro</v>
      </c>
      <c r="C1007" s="10" t="s">
        <v>176</v>
      </c>
      <c r="D1007" s="10" t="s">
        <v>225</v>
      </c>
      <c r="E1007" s="10" t="str">
        <f aca="false">INDEX(Canale!$C$2:$C$30,MATCH(C1007,Canale!$A$2:$A$30,0))</f>
        <v>github</v>
      </c>
      <c r="F1007" s="10" t="str">
        <f aca="false">INDEX(Canale!$D$2:$D$30,MATCH(C1007,Canale!$A$2:$A$30,0))</f>
        <v>referral</v>
      </c>
      <c r="G1007" s="10" t="str">
        <f aca="false">INDEX('Site-uri'!$C$2:$C$20,MATCH(A1007,'Site-uri'!$A$2:$A$20,0))</f>
        <v>/</v>
      </c>
      <c r="H1007" s="10" t="str">
        <f aca="false">Config!$B$3</f>
        <v>2610_ff_lansare</v>
      </c>
      <c r="I1007" s="10" t="str">
        <f aca="false">D1007&amp;"_"&amp;Config!$B$4</f>
        <v>cald_general</v>
      </c>
      <c r="J1007" s="10" t="str">
        <f aca="false">"https://"&amp;B1007&amp;G1007&amp;"?utm_source="&amp;E1007&amp;"&amp;utm_medium="&amp;F1007&amp;"&amp;utm_campaign="&amp;H1007&amp;"&amp;utm_content="&amp;I1007</f>
        <v>https://eu-ai-act.ro/?utm_source=github&amp;utm_medium=referral&amp;utm_campaign=2610_ff_lansare&amp;utm_content=cald_general</v>
      </c>
    </row>
    <row r="1008" customFormat="false" ht="15" hidden="false" customHeight="false" outlineLevel="0" collapsed="false">
      <c r="A1008" s="10" t="s">
        <v>70</v>
      </c>
      <c r="B1008" s="10" t="str">
        <f aca="false">INDEX('Site-uri'!$B$2:$B$20,MATCH(A1008,'Site-uri'!$A$2:$A$20,0))</f>
        <v>eu-ai-act.ro</v>
      </c>
      <c r="C1008" s="10" t="s">
        <v>176</v>
      </c>
      <c r="D1008" s="10" t="s">
        <v>231</v>
      </c>
      <c r="E1008" s="10" t="str">
        <f aca="false">INDEX(Canale!$C$2:$C$30,MATCH(C1008,Canale!$A$2:$A$30,0))</f>
        <v>github</v>
      </c>
      <c r="F1008" s="10" t="str">
        <f aca="false">INDEX(Canale!$D$2:$D$30,MATCH(C1008,Canale!$A$2:$A$30,0))</f>
        <v>referral</v>
      </c>
      <c r="G1008" s="10" t="str">
        <f aca="false">INDEX('Site-uri'!$C$2:$C$20,MATCH(A1008,'Site-uri'!$A$2:$A$20,0))</f>
        <v>/</v>
      </c>
      <c r="H1008" s="10" t="str">
        <f aca="false">Config!$B$3</f>
        <v>2610_ff_lansare</v>
      </c>
      <c r="I1008" s="10" t="str">
        <f aca="false">D1008&amp;"_"&amp;Config!$B$4</f>
        <v>fierbinte_general</v>
      </c>
      <c r="J1008" s="10" t="str">
        <f aca="false">"https://"&amp;B1008&amp;G1008&amp;"?utm_source="&amp;E1008&amp;"&amp;utm_medium="&amp;F1008&amp;"&amp;utm_campaign="&amp;H1008&amp;"&amp;utm_content="&amp;I1008</f>
        <v>https://eu-ai-act.ro/?utm_source=github&amp;utm_medium=referral&amp;utm_campaign=2610_ff_lansare&amp;utm_content=fierbinte_general</v>
      </c>
    </row>
    <row r="1009" customFormat="false" ht="15" hidden="false" customHeight="false" outlineLevel="0" collapsed="false">
      <c r="A1009" s="10" t="s">
        <v>70</v>
      </c>
      <c r="B1009" s="10" t="str">
        <f aca="false">INDEX('Site-uri'!$B$2:$B$20,MATCH(A1009,'Site-uri'!$A$2:$A$20,0))</f>
        <v>eu-ai-act.ro</v>
      </c>
      <c r="C1009" s="10" t="s">
        <v>176</v>
      </c>
      <c r="D1009" s="10" t="s">
        <v>237</v>
      </c>
      <c r="E1009" s="10" t="str">
        <f aca="false">INDEX(Canale!$C$2:$C$30,MATCH(C1009,Canale!$A$2:$A$30,0))</f>
        <v>github</v>
      </c>
      <c r="F1009" s="10" t="str">
        <f aca="false">INDEX(Canale!$D$2:$D$30,MATCH(C1009,Canale!$A$2:$A$30,0))</f>
        <v>referral</v>
      </c>
      <c r="G1009" s="10" t="str">
        <f aca="false">INDEX('Site-uri'!$C$2:$C$20,MATCH(A1009,'Site-uri'!$A$2:$A$20,0))</f>
        <v>/</v>
      </c>
      <c r="H1009" s="10" t="str">
        <f aca="false">Config!$B$3</f>
        <v>2610_ff_lansare</v>
      </c>
      <c r="I1009" s="10" t="str">
        <f aca="false">D1009&amp;"_"&amp;Config!$B$4</f>
        <v>client_general</v>
      </c>
      <c r="J1009" s="10" t="str">
        <f aca="false">"https://"&amp;B1009&amp;G1009&amp;"?utm_source="&amp;E1009&amp;"&amp;utm_medium="&amp;F1009&amp;"&amp;utm_campaign="&amp;H1009&amp;"&amp;utm_content="&amp;I1009</f>
        <v>https://eu-ai-act.ro/?utm_source=github&amp;utm_medium=referral&amp;utm_campaign=2610_ff_lansare&amp;utm_content=client_general</v>
      </c>
    </row>
    <row r="1010" customFormat="false" ht="15" hidden="false" customHeight="false" outlineLevel="0" collapsed="false">
      <c r="A1010" s="10" t="s">
        <v>70</v>
      </c>
      <c r="B1010" s="10" t="str">
        <f aca="false">INDEX('Site-uri'!$B$2:$B$20,MATCH(A1010,'Site-uri'!$A$2:$A$20,0))</f>
        <v>eu-ai-act.ro</v>
      </c>
      <c r="C1010" s="10" t="s">
        <v>179</v>
      </c>
      <c r="D1010" s="10" t="s">
        <v>219</v>
      </c>
      <c r="E1010" s="10" t="str">
        <f aca="false">INDEX(Canale!$C$2:$C$30,MATCH(C1010,Canale!$A$2:$A$30,0))</f>
        <v>kdp_book</v>
      </c>
      <c r="F1010" s="10" t="str">
        <f aca="false">INDEX(Canale!$D$2:$D$30,MATCH(C1010,Canale!$A$2:$A$30,0))</f>
        <v>book</v>
      </c>
      <c r="G1010" s="10" t="str">
        <f aca="false">INDEX('Site-uri'!$C$2:$C$20,MATCH(A1010,'Site-uri'!$A$2:$A$20,0))</f>
        <v>/</v>
      </c>
      <c r="H1010" s="10" t="str">
        <f aca="false">Config!$B$3</f>
        <v>2610_ff_lansare</v>
      </c>
      <c r="I1010" s="10" t="str">
        <f aca="false">D1010&amp;"_"&amp;Config!$B$4</f>
        <v>rece_general</v>
      </c>
      <c r="J1010" s="10" t="str">
        <f aca="false">"https://"&amp;B1010&amp;G1010&amp;"?utm_source="&amp;E1010&amp;"&amp;utm_medium="&amp;F1010&amp;"&amp;utm_campaign="&amp;H1010&amp;"&amp;utm_content="&amp;I1010</f>
        <v>https://eu-ai-act.ro/?utm_source=kdp_book&amp;utm_medium=book&amp;utm_campaign=2610_ff_lansare&amp;utm_content=rece_general</v>
      </c>
    </row>
    <row r="1011" customFormat="false" ht="15" hidden="false" customHeight="false" outlineLevel="0" collapsed="false">
      <c r="A1011" s="10" t="s">
        <v>70</v>
      </c>
      <c r="B1011" s="10" t="str">
        <f aca="false">INDEX('Site-uri'!$B$2:$B$20,MATCH(A1011,'Site-uri'!$A$2:$A$20,0))</f>
        <v>eu-ai-act.ro</v>
      </c>
      <c r="C1011" s="10" t="s">
        <v>179</v>
      </c>
      <c r="D1011" s="10" t="s">
        <v>225</v>
      </c>
      <c r="E1011" s="10" t="str">
        <f aca="false">INDEX(Canale!$C$2:$C$30,MATCH(C1011,Canale!$A$2:$A$30,0))</f>
        <v>kdp_book</v>
      </c>
      <c r="F1011" s="10" t="str">
        <f aca="false">INDEX(Canale!$D$2:$D$30,MATCH(C1011,Canale!$A$2:$A$30,0))</f>
        <v>book</v>
      </c>
      <c r="G1011" s="10" t="str">
        <f aca="false">INDEX('Site-uri'!$C$2:$C$20,MATCH(A1011,'Site-uri'!$A$2:$A$20,0))</f>
        <v>/</v>
      </c>
      <c r="H1011" s="10" t="str">
        <f aca="false">Config!$B$3</f>
        <v>2610_ff_lansare</v>
      </c>
      <c r="I1011" s="10" t="str">
        <f aca="false">D1011&amp;"_"&amp;Config!$B$4</f>
        <v>cald_general</v>
      </c>
      <c r="J1011" s="10" t="str">
        <f aca="false">"https://"&amp;B1011&amp;G1011&amp;"?utm_source="&amp;E1011&amp;"&amp;utm_medium="&amp;F1011&amp;"&amp;utm_campaign="&amp;H1011&amp;"&amp;utm_content="&amp;I1011</f>
        <v>https://eu-ai-act.ro/?utm_source=kdp_book&amp;utm_medium=book&amp;utm_campaign=2610_ff_lansare&amp;utm_content=cald_general</v>
      </c>
    </row>
    <row r="1012" customFormat="false" ht="15" hidden="false" customHeight="false" outlineLevel="0" collapsed="false">
      <c r="A1012" s="10" t="s">
        <v>70</v>
      </c>
      <c r="B1012" s="10" t="str">
        <f aca="false">INDEX('Site-uri'!$B$2:$B$20,MATCH(A1012,'Site-uri'!$A$2:$A$20,0))</f>
        <v>eu-ai-act.ro</v>
      </c>
      <c r="C1012" s="10" t="s">
        <v>179</v>
      </c>
      <c r="D1012" s="10" t="s">
        <v>231</v>
      </c>
      <c r="E1012" s="10" t="str">
        <f aca="false">INDEX(Canale!$C$2:$C$30,MATCH(C1012,Canale!$A$2:$A$30,0))</f>
        <v>kdp_book</v>
      </c>
      <c r="F1012" s="10" t="str">
        <f aca="false">INDEX(Canale!$D$2:$D$30,MATCH(C1012,Canale!$A$2:$A$30,0))</f>
        <v>book</v>
      </c>
      <c r="G1012" s="10" t="str">
        <f aca="false">INDEX('Site-uri'!$C$2:$C$20,MATCH(A1012,'Site-uri'!$A$2:$A$20,0))</f>
        <v>/</v>
      </c>
      <c r="H1012" s="10" t="str">
        <f aca="false">Config!$B$3</f>
        <v>2610_ff_lansare</v>
      </c>
      <c r="I1012" s="10" t="str">
        <f aca="false">D1012&amp;"_"&amp;Config!$B$4</f>
        <v>fierbinte_general</v>
      </c>
      <c r="J1012" s="10" t="str">
        <f aca="false">"https://"&amp;B1012&amp;G1012&amp;"?utm_source="&amp;E1012&amp;"&amp;utm_medium="&amp;F1012&amp;"&amp;utm_campaign="&amp;H1012&amp;"&amp;utm_content="&amp;I1012</f>
        <v>https://eu-ai-act.ro/?utm_source=kdp_book&amp;utm_medium=book&amp;utm_campaign=2610_ff_lansare&amp;utm_content=fierbinte_general</v>
      </c>
    </row>
    <row r="1013" customFormat="false" ht="15" hidden="false" customHeight="false" outlineLevel="0" collapsed="false">
      <c r="A1013" s="10" t="s">
        <v>70</v>
      </c>
      <c r="B1013" s="10" t="str">
        <f aca="false">INDEX('Site-uri'!$B$2:$B$20,MATCH(A1013,'Site-uri'!$A$2:$A$20,0))</f>
        <v>eu-ai-act.ro</v>
      </c>
      <c r="C1013" s="10" t="s">
        <v>179</v>
      </c>
      <c r="D1013" s="10" t="s">
        <v>237</v>
      </c>
      <c r="E1013" s="10" t="str">
        <f aca="false">INDEX(Canale!$C$2:$C$30,MATCH(C1013,Canale!$A$2:$A$30,0))</f>
        <v>kdp_book</v>
      </c>
      <c r="F1013" s="10" t="str">
        <f aca="false">INDEX(Canale!$D$2:$D$30,MATCH(C1013,Canale!$A$2:$A$30,0))</f>
        <v>book</v>
      </c>
      <c r="G1013" s="10" t="str">
        <f aca="false">INDEX('Site-uri'!$C$2:$C$20,MATCH(A1013,'Site-uri'!$A$2:$A$20,0))</f>
        <v>/</v>
      </c>
      <c r="H1013" s="10" t="str">
        <f aca="false">Config!$B$3</f>
        <v>2610_ff_lansare</v>
      </c>
      <c r="I1013" s="10" t="str">
        <f aca="false">D1013&amp;"_"&amp;Config!$B$4</f>
        <v>client_general</v>
      </c>
      <c r="J1013" s="10" t="str">
        <f aca="false">"https://"&amp;B1013&amp;G1013&amp;"?utm_source="&amp;E1013&amp;"&amp;utm_medium="&amp;F1013&amp;"&amp;utm_campaign="&amp;H1013&amp;"&amp;utm_content="&amp;I1013</f>
        <v>https://eu-ai-act.ro/?utm_source=kdp_book&amp;utm_medium=book&amp;utm_campaign=2610_ff_lansare&amp;utm_content=client_general</v>
      </c>
    </row>
    <row r="1014" customFormat="false" ht="15" hidden="false" customHeight="false" outlineLevel="0" collapsed="false">
      <c r="A1014" s="10" t="s">
        <v>70</v>
      </c>
      <c r="B1014" s="10" t="str">
        <f aca="false">INDEX('Site-uri'!$B$2:$B$20,MATCH(A1014,'Site-uri'!$A$2:$A$20,0))</f>
        <v>eu-ai-act.ro</v>
      </c>
      <c r="C1014" s="10" t="s">
        <v>184</v>
      </c>
      <c r="D1014" s="10" t="s">
        <v>219</v>
      </c>
      <c r="E1014" s="10" t="str">
        <f aca="false">INDEX(Canale!$C$2:$C$30,MATCH(C1014,Canale!$A$2:$A$30,0))</f>
        <v>udemy</v>
      </c>
      <c r="F1014" s="10" t="str">
        <f aca="false">INDEX(Canale!$D$2:$D$30,MATCH(C1014,Canale!$A$2:$A$30,0))</f>
        <v>course</v>
      </c>
      <c r="G1014" s="10" t="str">
        <f aca="false">INDEX('Site-uri'!$C$2:$C$20,MATCH(A1014,'Site-uri'!$A$2:$A$20,0))</f>
        <v>/</v>
      </c>
      <c r="H1014" s="10" t="str">
        <f aca="false">Config!$B$3</f>
        <v>2610_ff_lansare</v>
      </c>
      <c r="I1014" s="10" t="str">
        <f aca="false">D1014&amp;"_"&amp;Config!$B$4</f>
        <v>rece_general</v>
      </c>
      <c r="J1014" s="10" t="str">
        <f aca="false">"https://"&amp;B1014&amp;G1014&amp;"?utm_source="&amp;E1014&amp;"&amp;utm_medium="&amp;F1014&amp;"&amp;utm_campaign="&amp;H1014&amp;"&amp;utm_content="&amp;I1014</f>
        <v>https://eu-ai-act.ro/?utm_source=udemy&amp;utm_medium=course&amp;utm_campaign=2610_ff_lansare&amp;utm_content=rece_general</v>
      </c>
    </row>
    <row r="1015" customFormat="false" ht="15" hidden="false" customHeight="false" outlineLevel="0" collapsed="false">
      <c r="A1015" s="10" t="s">
        <v>70</v>
      </c>
      <c r="B1015" s="10" t="str">
        <f aca="false">INDEX('Site-uri'!$B$2:$B$20,MATCH(A1015,'Site-uri'!$A$2:$A$20,0))</f>
        <v>eu-ai-act.ro</v>
      </c>
      <c r="C1015" s="10" t="s">
        <v>184</v>
      </c>
      <c r="D1015" s="10" t="s">
        <v>225</v>
      </c>
      <c r="E1015" s="10" t="str">
        <f aca="false">INDEX(Canale!$C$2:$C$30,MATCH(C1015,Canale!$A$2:$A$30,0))</f>
        <v>udemy</v>
      </c>
      <c r="F1015" s="10" t="str">
        <f aca="false">INDEX(Canale!$D$2:$D$30,MATCH(C1015,Canale!$A$2:$A$30,0))</f>
        <v>course</v>
      </c>
      <c r="G1015" s="10" t="str">
        <f aca="false">INDEX('Site-uri'!$C$2:$C$20,MATCH(A1015,'Site-uri'!$A$2:$A$20,0))</f>
        <v>/</v>
      </c>
      <c r="H1015" s="10" t="str">
        <f aca="false">Config!$B$3</f>
        <v>2610_ff_lansare</v>
      </c>
      <c r="I1015" s="10" t="str">
        <f aca="false">D1015&amp;"_"&amp;Config!$B$4</f>
        <v>cald_general</v>
      </c>
      <c r="J1015" s="10" t="str">
        <f aca="false">"https://"&amp;B1015&amp;G1015&amp;"?utm_source="&amp;E1015&amp;"&amp;utm_medium="&amp;F1015&amp;"&amp;utm_campaign="&amp;H1015&amp;"&amp;utm_content="&amp;I1015</f>
        <v>https://eu-ai-act.ro/?utm_source=udemy&amp;utm_medium=course&amp;utm_campaign=2610_ff_lansare&amp;utm_content=cald_general</v>
      </c>
    </row>
    <row r="1016" customFormat="false" ht="15" hidden="false" customHeight="false" outlineLevel="0" collapsed="false">
      <c r="A1016" s="10" t="s">
        <v>70</v>
      </c>
      <c r="B1016" s="10" t="str">
        <f aca="false">INDEX('Site-uri'!$B$2:$B$20,MATCH(A1016,'Site-uri'!$A$2:$A$20,0))</f>
        <v>eu-ai-act.ro</v>
      </c>
      <c r="C1016" s="10" t="s">
        <v>184</v>
      </c>
      <c r="D1016" s="10" t="s">
        <v>231</v>
      </c>
      <c r="E1016" s="10" t="str">
        <f aca="false">INDEX(Canale!$C$2:$C$30,MATCH(C1016,Canale!$A$2:$A$30,0))</f>
        <v>udemy</v>
      </c>
      <c r="F1016" s="10" t="str">
        <f aca="false">INDEX(Canale!$D$2:$D$30,MATCH(C1016,Canale!$A$2:$A$30,0))</f>
        <v>course</v>
      </c>
      <c r="G1016" s="10" t="str">
        <f aca="false">INDEX('Site-uri'!$C$2:$C$20,MATCH(A1016,'Site-uri'!$A$2:$A$20,0))</f>
        <v>/</v>
      </c>
      <c r="H1016" s="10" t="str">
        <f aca="false">Config!$B$3</f>
        <v>2610_ff_lansare</v>
      </c>
      <c r="I1016" s="10" t="str">
        <f aca="false">D1016&amp;"_"&amp;Config!$B$4</f>
        <v>fierbinte_general</v>
      </c>
      <c r="J1016" s="10" t="str">
        <f aca="false">"https://"&amp;B1016&amp;G1016&amp;"?utm_source="&amp;E1016&amp;"&amp;utm_medium="&amp;F1016&amp;"&amp;utm_campaign="&amp;H1016&amp;"&amp;utm_content="&amp;I1016</f>
        <v>https://eu-ai-act.ro/?utm_source=udemy&amp;utm_medium=course&amp;utm_campaign=2610_ff_lansare&amp;utm_content=fierbinte_general</v>
      </c>
    </row>
    <row r="1017" customFormat="false" ht="15" hidden="false" customHeight="false" outlineLevel="0" collapsed="false">
      <c r="A1017" s="10" t="s">
        <v>70</v>
      </c>
      <c r="B1017" s="10" t="str">
        <f aca="false">INDEX('Site-uri'!$B$2:$B$20,MATCH(A1017,'Site-uri'!$A$2:$A$20,0))</f>
        <v>eu-ai-act.ro</v>
      </c>
      <c r="C1017" s="10" t="s">
        <v>184</v>
      </c>
      <c r="D1017" s="10" t="s">
        <v>237</v>
      </c>
      <c r="E1017" s="10" t="str">
        <f aca="false">INDEX(Canale!$C$2:$C$30,MATCH(C1017,Canale!$A$2:$A$30,0))</f>
        <v>udemy</v>
      </c>
      <c r="F1017" s="10" t="str">
        <f aca="false">INDEX(Canale!$D$2:$D$30,MATCH(C1017,Canale!$A$2:$A$30,0))</f>
        <v>course</v>
      </c>
      <c r="G1017" s="10" t="str">
        <f aca="false">INDEX('Site-uri'!$C$2:$C$20,MATCH(A1017,'Site-uri'!$A$2:$A$20,0))</f>
        <v>/</v>
      </c>
      <c r="H1017" s="10" t="str">
        <f aca="false">Config!$B$3</f>
        <v>2610_ff_lansare</v>
      </c>
      <c r="I1017" s="10" t="str">
        <f aca="false">D1017&amp;"_"&amp;Config!$B$4</f>
        <v>client_general</v>
      </c>
      <c r="J1017" s="10" t="str">
        <f aca="false">"https://"&amp;B1017&amp;G1017&amp;"?utm_source="&amp;E1017&amp;"&amp;utm_medium="&amp;F1017&amp;"&amp;utm_campaign="&amp;H1017&amp;"&amp;utm_content="&amp;I1017</f>
        <v>https://eu-ai-act.ro/?utm_source=udemy&amp;utm_medium=course&amp;utm_campaign=2610_ff_lansare&amp;utm_content=client_general</v>
      </c>
    </row>
    <row r="1018" customFormat="false" ht="15" hidden="false" customHeight="false" outlineLevel="0" collapsed="false">
      <c r="A1018" s="10" t="s">
        <v>70</v>
      </c>
      <c r="B1018" s="10" t="str">
        <f aca="false">INDEX('Site-uri'!$B$2:$B$20,MATCH(A1018,'Site-uri'!$A$2:$A$20,0))</f>
        <v>eu-ai-act.ro</v>
      </c>
      <c r="C1018" s="10" t="s">
        <v>187</v>
      </c>
      <c r="D1018" s="10" t="s">
        <v>219</v>
      </c>
      <c r="E1018" s="10" t="str">
        <f aca="false">INDEX(Canale!$C$2:$C$30,MATCH(C1018,Canale!$A$2:$A$30,0))</f>
        <v>directory</v>
      </c>
      <c r="F1018" s="10" t="str">
        <f aca="false">INDEX(Canale!$D$2:$D$30,MATCH(C1018,Canale!$A$2:$A$30,0))</f>
        <v>referral</v>
      </c>
      <c r="G1018" s="10" t="str">
        <f aca="false">INDEX('Site-uri'!$C$2:$C$20,MATCH(A1018,'Site-uri'!$A$2:$A$20,0))</f>
        <v>/</v>
      </c>
      <c r="H1018" s="10" t="str">
        <f aca="false">Config!$B$3</f>
        <v>2610_ff_lansare</v>
      </c>
      <c r="I1018" s="10" t="str">
        <f aca="false">D1018&amp;"_"&amp;Config!$B$4</f>
        <v>rece_general</v>
      </c>
      <c r="J1018" s="10" t="str">
        <f aca="false">"https://"&amp;B1018&amp;G1018&amp;"?utm_source="&amp;E1018&amp;"&amp;utm_medium="&amp;F1018&amp;"&amp;utm_campaign="&amp;H1018&amp;"&amp;utm_content="&amp;I1018</f>
        <v>https://eu-ai-act.ro/?utm_source=directory&amp;utm_medium=referral&amp;utm_campaign=2610_ff_lansare&amp;utm_content=rece_general</v>
      </c>
    </row>
    <row r="1019" customFormat="false" ht="15" hidden="false" customHeight="false" outlineLevel="0" collapsed="false">
      <c r="A1019" s="10" t="s">
        <v>70</v>
      </c>
      <c r="B1019" s="10" t="str">
        <f aca="false">INDEX('Site-uri'!$B$2:$B$20,MATCH(A1019,'Site-uri'!$A$2:$A$20,0))</f>
        <v>eu-ai-act.ro</v>
      </c>
      <c r="C1019" s="10" t="s">
        <v>187</v>
      </c>
      <c r="D1019" s="10" t="s">
        <v>225</v>
      </c>
      <c r="E1019" s="10" t="str">
        <f aca="false">INDEX(Canale!$C$2:$C$30,MATCH(C1019,Canale!$A$2:$A$30,0))</f>
        <v>directory</v>
      </c>
      <c r="F1019" s="10" t="str">
        <f aca="false">INDEX(Canale!$D$2:$D$30,MATCH(C1019,Canale!$A$2:$A$30,0))</f>
        <v>referral</v>
      </c>
      <c r="G1019" s="10" t="str">
        <f aca="false">INDEX('Site-uri'!$C$2:$C$20,MATCH(A1019,'Site-uri'!$A$2:$A$20,0))</f>
        <v>/</v>
      </c>
      <c r="H1019" s="10" t="str">
        <f aca="false">Config!$B$3</f>
        <v>2610_ff_lansare</v>
      </c>
      <c r="I1019" s="10" t="str">
        <f aca="false">D1019&amp;"_"&amp;Config!$B$4</f>
        <v>cald_general</v>
      </c>
      <c r="J1019" s="10" t="str">
        <f aca="false">"https://"&amp;B1019&amp;G1019&amp;"?utm_source="&amp;E1019&amp;"&amp;utm_medium="&amp;F1019&amp;"&amp;utm_campaign="&amp;H1019&amp;"&amp;utm_content="&amp;I1019</f>
        <v>https://eu-ai-act.ro/?utm_source=directory&amp;utm_medium=referral&amp;utm_campaign=2610_ff_lansare&amp;utm_content=cald_general</v>
      </c>
    </row>
    <row r="1020" customFormat="false" ht="15" hidden="false" customHeight="false" outlineLevel="0" collapsed="false">
      <c r="A1020" s="10" t="s">
        <v>70</v>
      </c>
      <c r="B1020" s="10" t="str">
        <f aca="false">INDEX('Site-uri'!$B$2:$B$20,MATCH(A1020,'Site-uri'!$A$2:$A$20,0))</f>
        <v>eu-ai-act.ro</v>
      </c>
      <c r="C1020" s="10" t="s">
        <v>187</v>
      </c>
      <c r="D1020" s="10" t="s">
        <v>231</v>
      </c>
      <c r="E1020" s="10" t="str">
        <f aca="false">INDEX(Canale!$C$2:$C$30,MATCH(C1020,Canale!$A$2:$A$30,0))</f>
        <v>directory</v>
      </c>
      <c r="F1020" s="10" t="str">
        <f aca="false">INDEX(Canale!$D$2:$D$30,MATCH(C1020,Canale!$A$2:$A$30,0))</f>
        <v>referral</v>
      </c>
      <c r="G1020" s="10" t="str">
        <f aca="false">INDEX('Site-uri'!$C$2:$C$20,MATCH(A1020,'Site-uri'!$A$2:$A$20,0))</f>
        <v>/</v>
      </c>
      <c r="H1020" s="10" t="str">
        <f aca="false">Config!$B$3</f>
        <v>2610_ff_lansare</v>
      </c>
      <c r="I1020" s="10" t="str">
        <f aca="false">D1020&amp;"_"&amp;Config!$B$4</f>
        <v>fierbinte_general</v>
      </c>
      <c r="J1020" s="10" t="str">
        <f aca="false">"https://"&amp;B1020&amp;G1020&amp;"?utm_source="&amp;E1020&amp;"&amp;utm_medium="&amp;F1020&amp;"&amp;utm_campaign="&amp;H1020&amp;"&amp;utm_content="&amp;I1020</f>
        <v>https://eu-ai-act.ro/?utm_source=directory&amp;utm_medium=referral&amp;utm_campaign=2610_ff_lansare&amp;utm_content=fierbinte_general</v>
      </c>
    </row>
    <row r="1021" customFormat="false" ht="15" hidden="false" customHeight="false" outlineLevel="0" collapsed="false">
      <c r="A1021" s="10" t="s">
        <v>70</v>
      </c>
      <c r="B1021" s="10" t="str">
        <f aca="false">INDEX('Site-uri'!$B$2:$B$20,MATCH(A1021,'Site-uri'!$A$2:$A$20,0))</f>
        <v>eu-ai-act.ro</v>
      </c>
      <c r="C1021" s="10" t="s">
        <v>187</v>
      </c>
      <c r="D1021" s="10" t="s">
        <v>237</v>
      </c>
      <c r="E1021" s="10" t="str">
        <f aca="false">INDEX(Canale!$C$2:$C$30,MATCH(C1021,Canale!$A$2:$A$30,0))</f>
        <v>directory</v>
      </c>
      <c r="F1021" s="10" t="str">
        <f aca="false">INDEX(Canale!$D$2:$D$30,MATCH(C1021,Canale!$A$2:$A$30,0))</f>
        <v>referral</v>
      </c>
      <c r="G1021" s="10" t="str">
        <f aca="false">INDEX('Site-uri'!$C$2:$C$20,MATCH(A1021,'Site-uri'!$A$2:$A$20,0))</f>
        <v>/</v>
      </c>
      <c r="H1021" s="10" t="str">
        <f aca="false">Config!$B$3</f>
        <v>2610_ff_lansare</v>
      </c>
      <c r="I1021" s="10" t="str">
        <f aca="false">D1021&amp;"_"&amp;Config!$B$4</f>
        <v>client_general</v>
      </c>
      <c r="J1021" s="10" t="str">
        <f aca="false">"https://"&amp;B1021&amp;G1021&amp;"?utm_source="&amp;E1021&amp;"&amp;utm_medium="&amp;F1021&amp;"&amp;utm_campaign="&amp;H1021&amp;"&amp;utm_content="&amp;I1021</f>
        <v>https://eu-ai-act.ro/?utm_source=directory&amp;utm_medium=referral&amp;utm_campaign=2610_ff_lansare&amp;utm_content=client_general</v>
      </c>
    </row>
    <row r="1022" customFormat="false" ht="15" hidden="false" customHeight="false" outlineLevel="0" collapsed="false">
      <c r="A1022" s="10" t="s">
        <v>70</v>
      </c>
      <c r="B1022" s="10" t="str">
        <f aca="false">INDEX('Site-uri'!$B$2:$B$20,MATCH(A1022,'Site-uri'!$A$2:$A$20,0))</f>
        <v>eu-ai-act.ro</v>
      </c>
      <c r="C1022" s="10" t="s">
        <v>191</v>
      </c>
      <c r="D1022" s="10" t="s">
        <v>219</v>
      </c>
      <c r="E1022" s="10" t="str">
        <f aca="false">INDEX(Canale!$C$2:$C$30,MATCH(C1022,Canale!$A$2:$A$30,0))</f>
        <v>partner</v>
      </c>
      <c r="F1022" s="10" t="str">
        <f aca="false">INDEX(Canale!$D$2:$D$30,MATCH(C1022,Canale!$A$2:$A$30,0))</f>
        <v>partner</v>
      </c>
      <c r="G1022" s="10" t="str">
        <f aca="false">INDEX('Site-uri'!$C$2:$C$20,MATCH(A1022,'Site-uri'!$A$2:$A$20,0))</f>
        <v>/</v>
      </c>
      <c r="H1022" s="10" t="str">
        <f aca="false">Config!$B$3</f>
        <v>2610_ff_lansare</v>
      </c>
      <c r="I1022" s="10" t="str">
        <f aca="false">D1022&amp;"_"&amp;Config!$B$4</f>
        <v>rece_general</v>
      </c>
      <c r="J1022" s="10" t="str">
        <f aca="false">"https://"&amp;B1022&amp;G1022&amp;"?utm_source="&amp;E1022&amp;"&amp;utm_medium="&amp;F1022&amp;"&amp;utm_campaign="&amp;H1022&amp;"&amp;utm_content="&amp;I1022</f>
        <v>https://eu-ai-act.ro/?utm_source=partner&amp;utm_medium=partner&amp;utm_campaign=2610_ff_lansare&amp;utm_content=rece_general</v>
      </c>
    </row>
    <row r="1023" customFormat="false" ht="15" hidden="false" customHeight="false" outlineLevel="0" collapsed="false">
      <c r="A1023" s="10" t="s">
        <v>70</v>
      </c>
      <c r="B1023" s="10" t="str">
        <f aca="false">INDEX('Site-uri'!$B$2:$B$20,MATCH(A1023,'Site-uri'!$A$2:$A$20,0))</f>
        <v>eu-ai-act.ro</v>
      </c>
      <c r="C1023" s="10" t="s">
        <v>191</v>
      </c>
      <c r="D1023" s="10" t="s">
        <v>225</v>
      </c>
      <c r="E1023" s="10" t="str">
        <f aca="false">INDEX(Canale!$C$2:$C$30,MATCH(C1023,Canale!$A$2:$A$30,0))</f>
        <v>partner</v>
      </c>
      <c r="F1023" s="10" t="str">
        <f aca="false">INDEX(Canale!$D$2:$D$30,MATCH(C1023,Canale!$A$2:$A$30,0))</f>
        <v>partner</v>
      </c>
      <c r="G1023" s="10" t="str">
        <f aca="false">INDEX('Site-uri'!$C$2:$C$20,MATCH(A1023,'Site-uri'!$A$2:$A$20,0))</f>
        <v>/</v>
      </c>
      <c r="H1023" s="10" t="str">
        <f aca="false">Config!$B$3</f>
        <v>2610_ff_lansare</v>
      </c>
      <c r="I1023" s="10" t="str">
        <f aca="false">D1023&amp;"_"&amp;Config!$B$4</f>
        <v>cald_general</v>
      </c>
      <c r="J1023" s="10" t="str">
        <f aca="false">"https://"&amp;B1023&amp;G1023&amp;"?utm_source="&amp;E1023&amp;"&amp;utm_medium="&amp;F1023&amp;"&amp;utm_campaign="&amp;H1023&amp;"&amp;utm_content="&amp;I1023</f>
        <v>https://eu-ai-act.ro/?utm_source=partner&amp;utm_medium=partner&amp;utm_campaign=2610_ff_lansare&amp;utm_content=cald_general</v>
      </c>
    </row>
    <row r="1024" customFormat="false" ht="15" hidden="false" customHeight="false" outlineLevel="0" collapsed="false">
      <c r="A1024" s="10" t="s">
        <v>70</v>
      </c>
      <c r="B1024" s="10" t="str">
        <f aca="false">INDEX('Site-uri'!$B$2:$B$20,MATCH(A1024,'Site-uri'!$A$2:$A$20,0))</f>
        <v>eu-ai-act.ro</v>
      </c>
      <c r="C1024" s="10" t="s">
        <v>191</v>
      </c>
      <c r="D1024" s="10" t="s">
        <v>231</v>
      </c>
      <c r="E1024" s="10" t="str">
        <f aca="false">INDEX(Canale!$C$2:$C$30,MATCH(C1024,Canale!$A$2:$A$30,0))</f>
        <v>partner</v>
      </c>
      <c r="F1024" s="10" t="str">
        <f aca="false">INDEX(Canale!$D$2:$D$30,MATCH(C1024,Canale!$A$2:$A$30,0))</f>
        <v>partner</v>
      </c>
      <c r="G1024" s="10" t="str">
        <f aca="false">INDEX('Site-uri'!$C$2:$C$20,MATCH(A1024,'Site-uri'!$A$2:$A$20,0))</f>
        <v>/</v>
      </c>
      <c r="H1024" s="10" t="str">
        <f aca="false">Config!$B$3</f>
        <v>2610_ff_lansare</v>
      </c>
      <c r="I1024" s="10" t="str">
        <f aca="false">D1024&amp;"_"&amp;Config!$B$4</f>
        <v>fierbinte_general</v>
      </c>
      <c r="J1024" s="10" t="str">
        <f aca="false">"https://"&amp;B1024&amp;G1024&amp;"?utm_source="&amp;E1024&amp;"&amp;utm_medium="&amp;F1024&amp;"&amp;utm_campaign="&amp;H1024&amp;"&amp;utm_content="&amp;I1024</f>
        <v>https://eu-ai-act.ro/?utm_source=partner&amp;utm_medium=partner&amp;utm_campaign=2610_ff_lansare&amp;utm_content=fierbinte_general</v>
      </c>
    </row>
    <row r="1025" customFormat="false" ht="15" hidden="false" customHeight="false" outlineLevel="0" collapsed="false">
      <c r="A1025" s="10" t="s">
        <v>70</v>
      </c>
      <c r="B1025" s="10" t="str">
        <f aca="false">INDEX('Site-uri'!$B$2:$B$20,MATCH(A1025,'Site-uri'!$A$2:$A$20,0))</f>
        <v>eu-ai-act.ro</v>
      </c>
      <c r="C1025" s="10" t="s">
        <v>191</v>
      </c>
      <c r="D1025" s="10" t="s">
        <v>237</v>
      </c>
      <c r="E1025" s="10" t="str">
        <f aca="false">INDEX(Canale!$C$2:$C$30,MATCH(C1025,Canale!$A$2:$A$30,0))</f>
        <v>partner</v>
      </c>
      <c r="F1025" s="10" t="str">
        <f aca="false">INDEX(Canale!$D$2:$D$30,MATCH(C1025,Canale!$A$2:$A$30,0))</f>
        <v>partner</v>
      </c>
      <c r="G1025" s="10" t="str">
        <f aca="false">INDEX('Site-uri'!$C$2:$C$20,MATCH(A1025,'Site-uri'!$A$2:$A$20,0))</f>
        <v>/</v>
      </c>
      <c r="H1025" s="10" t="str">
        <f aca="false">Config!$B$3</f>
        <v>2610_ff_lansare</v>
      </c>
      <c r="I1025" s="10" t="str">
        <f aca="false">D1025&amp;"_"&amp;Config!$B$4</f>
        <v>client_general</v>
      </c>
      <c r="J1025" s="10" t="str">
        <f aca="false">"https://"&amp;B1025&amp;G1025&amp;"?utm_source="&amp;E1025&amp;"&amp;utm_medium="&amp;F1025&amp;"&amp;utm_campaign="&amp;H1025&amp;"&amp;utm_content="&amp;I1025</f>
        <v>https://eu-ai-act.ro/?utm_source=partner&amp;utm_medium=partner&amp;utm_campaign=2610_ff_lansare&amp;utm_content=client_general</v>
      </c>
    </row>
    <row r="1026" customFormat="false" ht="15" hidden="false" customHeight="false" outlineLevel="0" collapsed="false">
      <c r="A1026" s="10" t="s">
        <v>70</v>
      </c>
      <c r="B1026" s="10" t="str">
        <f aca="false">INDEX('Site-uri'!$B$2:$B$20,MATCH(A1026,'Site-uri'!$A$2:$A$20,0))</f>
        <v>eu-ai-act.ro</v>
      </c>
      <c r="C1026" s="10" t="s">
        <v>193</v>
      </c>
      <c r="D1026" s="10" t="s">
        <v>219</v>
      </c>
      <c r="E1026" s="10" t="str">
        <f aca="false">INDEX(Canale!$C$2:$C$30,MATCH(C1026,Canale!$A$2:$A$30,0))</f>
        <v>pdf_proposal</v>
      </c>
      <c r="F1026" s="10" t="str">
        <f aca="false">INDEX(Canale!$D$2:$D$30,MATCH(C1026,Canale!$A$2:$A$30,0))</f>
        <v>document</v>
      </c>
      <c r="G1026" s="10" t="str">
        <f aca="false">INDEX('Site-uri'!$C$2:$C$20,MATCH(A1026,'Site-uri'!$A$2:$A$20,0))</f>
        <v>/</v>
      </c>
      <c r="H1026" s="10" t="str">
        <f aca="false">Config!$B$3</f>
        <v>2610_ff_lansare</v>
      </c>
      <c r="I1026" s="10" t="str">
        <f aca="false">D1026&amp;"_"&amp;Config!$B$4</f>
        <v>rece_general</v>
      </c>
      <c r="J1026" s="10" t="str">
        <f aca="false">"https://"&amp;B1026&amp;G1026&amp;"?utm_source="&amp;E1026&amp;"&amp;utm_medium="&amp;F1026&amp;"&amp;utm_campaign="&amp;H1026&amp;"&amp;utm_content="&amp;I1026</f>
        <v>https://eu-ai-act.ro/?utm_source=pdf_proposal&amp;utm_medium=document&amp;utm_campaign=2610_ff_lansare&amp;utm_content=rece_general</v>
      </c>
    </row>
    <row r="1027" customFormat="false" ht="15" hidden="false" customHeight="false" outlineLevel="0" collapsed="false">
      <c r="A1027" s="10" t="s">
        <v>70</v>
      </c>
      <c r="B1027" s="10" t="str">
        <f aca="false">INDEX('Site-uri'!$B$2:$B$20,MATCH(A1027,'Site-uri'!$A$2:$A$20,0))</f>
        <v>eu-ai-act.ro</v>
      </c>
      <c r="C1027" s="10" t="s">
        <v>193</v>
      </c>
      <c r="D1027" s="10" t="s">
        <v>225</v>
      </c>
      <c r="E1027" s="10" t="str">
        <f aca="false">INDEX(Canale!$C$2:$C$30,MATCH(C1027,Canale!$A$2:$A$30,0))</f>
        <v>pdf_proposal</v>
      </c>
      <c r="F1027" s="10" t="str">
        <f aca="false">INDEX(Canale!$D$2:$D$30,MATCH(C1027,Canale!$A$2:$A$30,0))</f>
        <v>document</v>
      </c>
      <c r="G1027" s="10" t="str">
        <f aca="false">INDEX('Site-uri'!$C$2:$C$20,MATCH(A1027,'Site-uri'!$A$2:$A$20,0))</f>
        <v>/</v>
      </c>
      <c r="H1027" s="10" t="str">
        <f aca="false">Config!$B$3</f>
        <v>2610_ff_lansare</v>
      </c>
      <c r="I1027" s="10" t="str">
        <f aca="false">D1027&amp;"_"&amp;Config!$B$4</f>
        <v>cald_general</v>
      </c>
      <c r="J1027" s="10" t="str">
        <f aca="false">"https://"&amp;B1027&amp;G1027&amp;"?utm_source="&amp;E1027&amp;"&amp;utm_medium="&amp;F1027&amp;"&amp;utm_campaign="&amp;H1027&amp;"&amp;utm_content="&amp;I1027</f>
        <v>https://eu-ai-act.ro/?utm_source=pdf_proposal&amp;utm_medium=document&amp;utm_campaign=2610_ff_lansare&amp;utm_content=cald_general</v>
      </c>
    </row>
    <row r="1028" customFormat="false" ht="15" hidden="false" customHeight="false" outlineLevel="0" collapsed="false">
      <c r="A1028" s="10" t="s">
        <v>70</v>
      </c>
      <c r="B1028" s="10" t="str">
        <f aca="false">INDEX('Site-uri'!$B$2:$B$20,MATCH(A1028,'Site-uri'!$A$2:$A$20,0))</f>
        <v>eu-ai-act.ro</v>
      </c>
      <c r="C1028" s="10" t="s">
        <v>193</v>
      </c>
      <c r="D1028" s="10" t="s">
        <v>231</v>
      </c>
      <c r="E1028" s="10" t="str">
        <f aca="false">INDEX(Canale!$C$2:$C$30,MATCH(C1028,Canale!$A$2:$A$30,0))</f>
        <v>pdf_proposal</v>
      </c>
      <c r="F1028" s="10" t="str">
        <f aca="false">INDEX(Canale!$D$2:$D$30,MATCH(C1028,Canale!$A$2:$A$30,0))</f>
        <v>document</v>
      </c>
      <c r="G1028" s="10" t="str">
        <f aca="false">INDEX('Site-uri'!$C$2:$C$20,MATCH(A1028,'Site-uri'!$A$2:$A$20,0))</f>
        <v>/</v>
      </c>
      <c r="H1028" s="10" t="str">
        <f aca="false">Config!$B$3</f>
        <v>2610_ff_lansare</v>
      </c>
      <c r="I1028" s="10" t="str">
        <f aca="false">D1028&amp;"_"&amp;Config!$B$4</f>
        <v>fierbinte_general</v>
      </c>
      <c r="J1028" s="10" t="str">
        <f aca="false">"https://"&amp;B1028&amp;G1028&amp;"?utm_source="&amp;E1028&amp;"&amp;utm_medium="&amp;F1028&amp;"&amp;utm_campaign="&amp;H1028&amp;"&amp;utm_content="&amp;I1028</f>
        <v>https://eu-ai-act.ro/?utm_source=pdf_proposal&amp;utm_medium=document&amp;utm_campaign=2610_ff_lansare&amp;utm_content=fierbinte_general</v>
      </c>
    </row>
    <row r="1029" customFormat="false" ht="15" hidden="false" customHeight="false" outlineLevel="0" collapsed="false">
      <c r="A1029" s="10" t="s">
        <v>70</v>
      </c>
      <c r="B1029" s="10" t="str">
        <f aca="false">INDEX('Site-uri'!$B$2:$B$20,MATCH(A1029,'Site-uri'!$A$2:$A$20,0))</f>
        <v>eu-ai-act.ro</v>
      </c>
      <c r="C1029" s="10" t="s">
        <v>193</v>
      </c>
      <c r="D1029" s="10" t="s">
        <v>237</v>
      </c>
      <c r="E1029" s="10" t="str">
        <f aca="false">INDEX(Canale!$C$2:$C$30,MATCH(C1029,Canale!$A$2:$A$30,0))</f>
        <v>pdf_proposal</v>
      </c>
      <c r="F1029" s="10" t="str">
        <f aca="false">INDEX(Canale!$D$2:$D$30,MATCH(C1029,Canale!$A$2:$A$30,0))</f>
        <v>document</v>
      </c>
      <c r="G1029" s="10" t="str">
        <f aca="false">INDEX('Site-uri'!$C$2:$C$20,MATCH(A1029,'Site-uri'!$A$2:$A$20,0))</f>
        <v>/</v>
      </c>
      <c r="H1029" s="10" t="str">
        <f aca="false">Config!$B$3</f>
        <v>2610_ff_lansare</v>
      </c>
      <c r="I1029" s="10" t="str">
        <f aca="false">D1029&amp;"_"&amp;Config!$B$4</f>
        <v>client_general</v>
      </c>
      <c r="J1029" s="10" t="str">
        <f aca="false">"https://"&amp;B1029&amp;G1029&amp;"?utm_source="&amp;E1029&amp;"&amp;utm_medium="&amp;F1029&amp;"&amp;utm_campaign="&amp;H1029&amp;"&amp;utm_content="&amp;I1029</f>
        <v>https://eu-ai-act.ro/?utm_source=pdf_proposal&amp;utm_medium=document&amp;utm_campaign=2610_ff_lansare&amp;utm_content=client_general</v>
      </c>
    </row>
    <row r="1030" customFormat="false" ht="15" hidden="false" customHeight="false" outlineLevel="0" collapsed="false">
      <c r="A1030" s="10" t="s">
        <v>70</v>
      </c>
      <c r="B1030" s="10" t="str">
        <f aca="false">INDEX('Site-uri'!$B$2:$B$20,MATCH(A1030,'Site-uri'!$A$2:$A$20,0))</f>
        <v>eu-ai-act.ro</v>
      </c>
      <c r="C1030" s="10" t="s">
        <v>198</v>
      </c>
      <c r="D1030" s="10" t="s">
        <v>219</v>
      </c>
      <c r="E1030" s="10" t="str">
        <f aca="false">INDEX(Canale!$C$2:$C$30,MATCH(C1030,Canale!$A$2:$A$30,0))</f>
        <v>qr_print</v>
      </c>
      <c r="F1030" s="10" t="str">
        <f aca="false">INDEX(Canale!$D$2:$D$30,MATCH(C1030,Canale!$A$2:$A$30,0))</f>
        <v>qr</v>
      </c>
      <c r="G1030" s="10" t="str">
        <f aca="false">INDEX('Site-uri'!$C$2:$C$20,MATCH(A1030,'Site-uri'!$A$2:$A$20,0))</f>
        <v>/</v>
      </c>
      <c r="H1030" s="10" t="str">
        <f aca="false">Config!$B$3</f>
        <v>2610_ff_lansare</v>
      </c>
      <c r="I1030" s="10" t="str">
        <f aca="false">D1030&amp;"_"&amp;Config!$B$4</f>
        <v>rece_general</v>
      </c>
      <c r="J1030" s="10" t="str">
        <f aca="false">"https://"&amp;B1030&amp;G1030&amp;"?utm_source="&amp;E1030&amp;"&amp;utm_medium="&amp;F1030&amp;"&amp;utm_campaign="&amp;H1030&amp;"&amp;utm_content="&amp;I1030</f>
        <v>https://eu-ai-act.ro/?utm_source=qr_print&amp;utm_medium=qr&amp;utm_campaign=2610_ff_lansare&amp;utm_content=rece_general</v>
      </c>
    </row>
    <row r="1031" customFormat="false" ht="15" hidden="false" customHeight="false" outlineLevel="0" collapsed="false">
      <c r="A1031" s="10" t="s">
        <v>70</v>
      </c>
      <c r="B1031" s="10" t="str">
        <f aca="false">INDEX('Site-uri'!$B$2:$B$20,MATCH(A1031,'Site-uri'!$A$2:$A$20,0))</f>
        <v>eu-ai-act.ro</v>
      </c>
      <c r="C1031" s="10" t="s">
        <v>198</v>
      </c>
      <c r="D1031" s="10" t="s">
        <v>225</v>
      </c>
      <c r="E1031" s="10" t="str">
        <f aca="false">INDEX(Canale!$C$2:$C$30,MATCH(C1031,Canale!$A$2:$A$30,0))</f>
        <v>qr_print</v>
      </c>
      <c r="F1031" s="10" t="str">
        <f aca="false">INDEX(Canale!$D$2:$D$30,MATCH(C1031,Canale!$A$2:$A$30,0))</f>
        <v>qr</v>
      </c>
      <c r="G1031" s="10" t="str">
        <f aca="false">INDEX('Site-uri'!$C$2:$C$20,MATCH(A1031,'Site-uri'!$A$2:$A$20,0))</f>
        <v>/</v>
      </c>
      <c r="H1031" s="10" t="str">
        <f aca="false">Config!$B$3</f>
        <v>2610_ff_lansare</v>
      </c>
      <c r="I1031" s="10" t="str">
        <f aca="false">D1031&amp;"_"&amp;Config!$B$4</f>
        <v>cald_general</v>
      </c>
      <c r="J1031" s="10" t="str">
        <f aca="false">"https://"&amp;B1031&amp;G1031&amp;"?utm_source="&amp;E1031&amp;"&amp;utm_medium="&amp;F1031&amp;"&amp;utm_campaign="&amp;H1031&amp;"&amp;utm_content="&amp;I1031</f>
        <v>https://eu-ai-act.ro/?utm_source=qr_print&amp;utm_medium=qr&amp;utm_campaign=2610_ff_lansare&amp;utm_content=cald_general</v>
      </c>
    </row>
    <row r="1032" customFormat="false" ht="15" hidden="false" customHeight="false" outlineLevel="0" collapsed="false">
      <c r="A1032" s="10" t="s">
        <v>70</v>
      </c>
      <c r="B1032" s="10" t="str">
        <f aca="false">INDEX('Site-uri'!$B$2:$B$20,MATCH(A1032,'Site-uri'!$A$2:$A$20,0))</f>
        <v>eu-ai-act.ro</v>
      </c>
      <c r="C1032" s="10" t="s">
        <v>198</v>
      </c>
      <c r="D1032" s="10" t="s">
        <v>231</v>
      </c>
      <c r="E1032" s="10" t="str">
        <f aca="false">INDEX(Canale!$C$2:$C$30,MATCH(C1032,Canale!$A$2:$A$30,0))</f>
        <v>qr_print</v>
      </c>
      <c r="F1032" s="10" t="str">
        <f aca="false">INDEX(Canale!$D$2:$D$30,MATCH(C1032,Canale!$A$2:$A$30,0))</f>
        <v>qr</v>
      </c>
      <c r="G1032" s="10" t="str">
        <f aca="false">INDEX('Site-uri'!$C$2:$C$20,MATCH(A1032,'Site-uri'!$A$2:$A$20,0))</f>
        <v>/</v>
      </c>
      <c r="H1032" s="10" t="str">
        <f aca="false">Config!$B$3</f>
        <v>2610_ff_lansare</v>
      </c>
      <c r="I1032" s="10" t="str">
        <f aca="false">D1032&amp;"_"&amp;Config!$B$4</f>
        <v>fierbinte_general</v>
      </c>
      <c r="J1032" s="10" t="str">
        <f aca="false">"https://"&amp;B1032&amp;G1032&amp;"?utm_source="&amp;E1032&amp;"&amp;utm_medium="&amp;F1032&amp;"&amp;utm_campaign="&amp;H1032&amp;"&amp;utm_content="&amp;I1032</f>
        <v>https://eu-ai-act.ro/?utm_source=qr_print&amp;utm_medium=qr&amp;utm_campaign=2610_ff_lansare&amp;utm_content=fierbinte_general</v>
      </c>
    </row>
    <row r="1033" customFormat="false" ht="15" hidden="false" customHeight="false" outlineLevel="0" collapsed="false">
      <c r="A1033" s="10" t="s">
        <v>70</v>
      </c>
      <c r="B1033" s="10" t="str">
        <f aca="false">INDEX('Site-uri'!$B$2:$B$20,MATCH(A1033,'Site-uri'!$A$2:$A$20,0))</f>
        <v>eu-ai-act.ro</v>
      </c>
      <c r="C1033" s="10" t="s">
        <v>198</v>
      </c>
      <c r="D1033" s="10" t="s">
        <v>237</v>
      </c>
      <c r="E1033" s="10" t="str">
        <f aca="false">INDEX(Canale!$C$2:$C$30,MATCH(C1033,Canale!$A$2:$A$30,0))</f>
        <v>qr_print</v>
      </c>
      <c r="F1033" s="10" t="str">
        <f aca="false">INDEX(Canale!$D$2:$D$30,MATCH(C1033,Canale!$A$2:$A$30,0))</f>
        <v>qr</v>
      </c>
      <c r="G1033" s="10" t="str">
        <f aca="false">INDEX('Site-uri'!$C$2:$C$20,MATCH(A1033,'Site-uri'!$A$2:$A$20,0))</f>
        <v>/</v>
      </c>
      <c r="H1033" s="10" t="str">
        <f aca="false">Config!$B$3</f>
        <v>2610_ff_lansare</v>
      </c>
      <c r="I1033" s="10" t="str">
        <f aca="false">D1033&amp;"_"&amp;Config!$B$4</f>
        <v>client_general</v>
      </c>
      <c r="J1033" s="10" t="str">
        <f aca="false">"https://"&amp;B1033&amp;G1033&amp;"?utm_source="&amp;E1033&amp;"&amp;utm_medium="&amp;F1033&amp;"&amp;utm_campaign="&amp;H1033&amp;"&amp;utm_content="&amp;I1033</f>
        <v>https://eu-ai-act.ro/?utm_source=qr_print&amp;utm_medium=qr&amp;utm_campaign=2610_ff_lansare&amp;utm_content=client_general</v>
      </c>
    </row>
    <row r="1034" customFormat="false" ht="15" hidden="false" customHeight="false" outlineLevel="0" collapsed="false">
      <c r="A1034" s="10" t="s">
        <v>70</v>
      </c>
      <c r="B1034" s="10" t="str">
        <f aca="false">INDEX('Site-uri'!$B$2:$B$20,MATCH(A1034,'Site-uri'!$A$2:$A$20,0))</f>
        <v>eu-ai-act.ro</v>
      </c>
      <c r="C1034" s="10" t="s">
        <v>202</v>
      </c>
      <c r="D1034" s="10" t="s">
        <v>219</v>
      </c>
      <c r="E1034" s="10" t="str">
        <f aca="false">INDEX(Canale!$C$2:$C$30,MATCH(C1034,Canale!$A$2:$A$30,0))</f>
        <v>event</v>
      </c>
      <c r="F1034" s="10" t="str">
        <f aca="false">INDEX(Canale!$D$2:$D$30,MATCH(C1034,Canale!$A$2:$A$30,0))</f>
        <v>event</v>
      </c>
      <c r="G1034" s="10" t="str">
        <f aca="false">INDEX('Site-uri'!$C$2:$C$20,MATCH(A1034,'Site-uri'!$A$2:$A$20,0))</f>
        <v>/</v>
      </c>
      <c r="H1034" s="10" t="str">
        <f aca="false">Config!$B$3</f>
        <v>2610_ff_lansare</v>
      </c>
      <c r="I1034" s="10" t="str">
        <f aca="false">D1034&amp;"_"&amp;Config!$B$4</f>
        <v>rece_general</v>
      </c>
      <c r="J1034" s="10" t="str">
        <f aca="false">"https://"&amp;B1034&amp;G1034&amp;"?utm_source="&amp;E1034&amp;"&amp;utm_medium="&amp;F1034&amp;"&amp;utm_campaign="&amp;H1034&amp;"&amp;utm_content="&amp;I1034</f>
        <v>https://eu-ai-act.ro/?utm_source=event&amp;utm_medium=event&amp;utm_campaign=2610_ff_lansare&amp;utm_content=rece_general</v>
      </c>
    </row>
    <row r="1035" customFormat="false" ht="15" hidden="false" customHeight="false" outlineLevel="0" collapsed="false">
      <c r="A1035" s="10" t="s">
        <v>70</v>
      </c>
      <c r="B1035" s="10" t="str">
        <f aca="false">INDEX('Site-uri'!$B$2:$B$20,MATCH(A1035,'Site-uri'!$A$2:$A$20,0))</f>
        <v>eu-ai-act.ro</v>
      </c>
      <c r="C1035" s="10" t="s">
        <v>202</v>
      </c>
      <c r="D1035" s="10" t="s">
        <v>225</v>
      </c>
      <c r="E1035" s="10" t="str">
        <f aca="false">INDEX(Canale!$C$2:$C$30,MATCH(C1035,Canale!$A$2:$A$30,0))</f>
        <v>event</v>
      </c>
      <c r="F1035" s="10" t="str">
        <f aca="false">INDEX(Canale!$D$2:$D$30,MATCH(C1035,Canale!$A$2:$A$30,0))</f>
        <v>event</v>
      </c>
      <c r="G1035" s="10" t="str">
        <f aca="false">INDEX('Site-uri'!$C$2:$C$20,MATCH(A1035,'Site-uri'!$A$2:$A$20,0))</f>
        <v>/</v>
      </c>
      <c r="H1035" s="10" t="str">
        <f aca="false">Config!$B$3</f>
        <v>2610_ff_lansare</v>
      </c>
      <c r="I1035" s="10" t="str">
        <f aca="false">D1035&amp;"_"&amp;Config!$B$4</f>
        <v>cald_general</v>
      </c>
      <c r="J1035" s="10" t="str">
        <f aca="false">"https://"&amp;B1035&amp;G1035&amp;"?utm_source="&amp;E1035&amp;"&amp;utm_medium="&amp;F1035&amp;"&amp;utm_campaign="&amp;H1035&amp;"&amp;utm_content="&amp;I1035</f>
        <v>https://eu-ai-act.ro/?utm_source=event&amp;utm_medium=event&amp;utm_campaign=2610_ff_lansare&amp;utm_content=cald_general</v>
      </c>
    </row>
    <row r="1036" customFormat="false" ht="15" hidden="false" customHeight="false" outlineLevel="0" collapsed="false">
      <c r="A1036" s="10" t="s">
        <v>70</v>
      </c>
      <c r="B1036" s="10" t="str">
        <f aca="false">INDEX('Site-uri'!$B$2:$B$20,MATCH(A1036,'Site-uri'!$A$2:$A$20,0))</f>
        <v>eu-ai-act.ro</v>
      </c>
      <c r="C1036" s="10" t="s">
        <v>202</v>
      </c>
      <c r="D1036" s="10" t="s">
        <v>231</v>
      </c>
      <c r="E1036" s="10" t="str">
        <f aca="false">INDEX(Canale!$C$2:$C$30,MATCH(C1036,Canale!$A$2:$A$30,0))</f>
        <v>event</v>
      </c>
      <c r="F1036" s="10" t="str">
        <f aca="false">INDEX(Canale!$D$2:$D$30,MATCH(C1036,Canale!$A$2:$A$30,0))</f>
        <v>event</v>
      </c>
      <c r="G1036" s="10" t="str">
        <f aca="false">INDEX('Site-uri'!$C$2:$C$20,MATCH(A1036,'Site-uri'!$A$2:$A$20,0))</f>
        <v>/</v>
      </c>
      <c r="H1036" s="10" t="str">
        <f aca="false">Config!$B$3</f>
        <v>2610_ff_lansare</v>
      </c>
      <c r="I1036" s="10" t="str">
        <f aca="false">D1036&amp;"_"&amp;Config!$B$4</f>
        <v>fierbinte_general</v>
      </c>
      <c r="J1036" s="10" t="str">
        <f aca="false">"https://"&amp;B1036&amp;G1036&amp;"?utm_source="&amp;E1036&amp;"&amp;utm_medium="&amp;F1036&amp;"&amp;utm_campaign="&amp;H1036&amp;"&amp;utm_content="&amp;I1036</f>
        <v>https://eu-ai-act.ro/?utm_source=event&amp;utm_medium=event&amp;utm_campaign=2610_ff_lansare&amp;utm_content=fierbinte_general</v>
      </c>
    </row>
    <row r="1037" customFormat="false" ht="15" hidden="false" customHeight="false" outlineLevel="0" collapsed="false">
      <c r="A1037" s="10" t="s">
        <v>70</v>
      </c>
      <c r="B1037" s="10" t="str">
        <f aca="false">INDEX('Site-uri'!$B$2:$B$20,MATCH(A1037,'Site-uri'!$A$2:$A$20,0))</f>
        <v>eu-ai-act.ro</v>
      </c>
      <c r="C1037" s="10" t="s">
        <v>202</v>
      </c>
      <c r="D1037" s="10" t="s">
        <v>237</v>
      </c>
      <c r="E1037" s="10" t="str">
        <f aca="false">INDEX(Canale!$C$2:$C$30,MATCH(C1037,Canale!$A$2:$A$30,0))</f>
        <v>event</v>
      </c>
      <c r="F1037" s="10" t="str">
        <f aca="false">INDEX(Canale!$D$2:$D$30,MATCH(C1037,Canale!$A$2:$A$30,0))</f>
        <v>event</v>
      </c>
      <c r="G1037" s="10" t="str">
        <f aca="false">INDEX('Site-uri'!$C$2:$C$20,MATCH(A1037,'Site-uri'!$A$2:$A$20,0))</f>
        <v>/</v>
      </c>
      <c r="H1037" s="10" t="str">
        <f aca="false">Config!$B$3</f>
        <v>2610_ff_lansare</v>
      </c>
      <c r="I1037" s="10" t="str">
        <f aca="false">D1037&amp;"_"&amp;Config!$B$4</f>
        <v>client_general</v>
      </c>
      <c r="J1037" s="10" t="str">
        <f aca="false">"https://"&amp;B1037&amp;G1037&amp;"?utm_source="&amp;E1037&amp;"&amp;utm_medium="&amp;F1037&amp;"&amp;utm_campaign="&amp;H1037&amp;"&amp;utm_content="&amp;I1037</f>
        <v>https://eu-ai-act.ro/?utm_source=event&amp;utm_medium=event&amp;utm_campaign=2610_ff_lansare&amp;utm_content=client_general</v>
      </c>
    </row>
    <row r="1038" customFormat="false" ht="15" hidden="false" customHeight="false" outlineLevel="0" collapsed="false">
      <c r="A1038" s="10" t="s">
        <v>70</v>
      </c>
      <c r="B1038" s="10" t="str">
        <f aca="false">INDEX('Site-uri'!$B$2:$B$20,MATCH(A1038,'Site-uri'!$A$2:$A$20,0))</f>
        <v>eu-ai-act.ro</v>
      </c>
      <c r="C1038" s="10" t="s">
        <v>204</v>
      </c>
      <c r="D1038" s="10" t="s">
        <v>219</v>
      </c>
      <c r="E1038" s="10" t="str">
        <f aca="false">INDEX(Canale!$C$2:$C$30,MATCH(C1038,Canale!$A$2:$A$30,0))</f>
        <v>a2a_agent_card</v>
      </c>
      <c r="F1038" s="10" t="str">
        <f aca="false">INDEX(Canale!$D$2:$D$30,MATCH(C1038,Canale!$A$2:$A$30,0))</f>
        <v>agent</v>
      </c>
      <c r="G1038" s="10" t="str">
        <f aca="false">INDEX('Site-uri'!$C$2:$C$20,MATCH(A1038,'Site-uri'!$A$2:$A$20,0))</f>
        <v>/</v>
      </c>
      <c r="H1038" s="10" t="str">
        <f aca="false">Config!$B$3</f>
        <v>2610_ff_lansare</v>
      </c>
      <c r="I1038" s="10" t="str">
        <f aca="false">D1038&amp;"_"&amp;Config!$B$4</f>
        <v>rece_general</v>
      </c>
      <c r="J1038" s="10" t="str">
        <f aca="false">"https://"&amp;B1038&amp;G1038&amp;"?utm_source="&amp;E1038&amp;"&amp;utm_medium="&amp;F1038&amp;"&amp;utm_campaign="&amp;H1038&amp;"&amp;utm_content="&amp;I1038</f>
        <v>https://eu-ai-act.ro/?utm_source=a2a_agent_card&amp;utm_medium=agent&amp;utm_campaign=2610_ff_lansare&amp;utm_content=rece_general</v>
      </c>
    </row>
    <row r="1039" customFormat="false" ht="15" hidden="false" customHeight="false" outlineLevel="0" collapsed="false">
      <c r="A1039" s="10" t="s">
        <v>70</v>
      </c>
      <c r="B1039" s="10" t="str">
        <f aca="false">INDEX('Site-uri'!$B$2:$B$20,MATCH(A1039,'Site-uri'!$A$2:$A$20,0))</f>
        <v>eu-ai-act.ro</v>
      </c>
      <c r="C1039" s="10" t="s">
        <v>204</v>
      </c>
      <c r="D1039" s="10" t="s">
        <v>225</v>
      </c>
      <c r="E1039" s="10" t="str">
        <f aca="false">INDEX(Canale!$C$2:$C$30,MATCH(C1039,Canale!$A$2:$A$30,0))</f>
        <v>a2a_agent_card</v>
      </c>
      <c r="F1039" s="10" t="str">
        <f aca="false">INDEX(Canale!$D$2:$D$30,MATCH(C1039,Canale!$A$2:$A$30,0))</f>
        <v>agent</v>
      </c>
      <c r="G1039" s="10" t="str">
        <f aca="false">INDEX('Site-uri'!$C$2:$C$20,MATCH(A1039,'Site-uri'!$A$2:$A$20,0))</f>
        <v>/</v>
      </c>
      <c r="H1039" s="10" t="str">
        <f aca="false">Config!$B$3</f>
        <v>2610_ff_lansare</v>
      </c>
      <c r="I1039" s="10" t="str">
        <f aca="false">D1039&amp;"_"&amp;Config!$B$4</f>
        <v>cald_general</v>
      </c>
      <c r="J1039" s="10" t="str">
        <f aca="false">"https://"&amp;B1039&amp;G1039&amp;"?utm_source="&amp;E1039&amp;"&amp;utm_medium="&amp;F1039&amp;"&amp;utm_campaign="&amp;H1039&amp;"&amp;utm_content="&amp;I1039</f>
        <v>https://eu-ai-act.ro/?utm_source=a2a_agent_card&amp;utm_medium=agent&amp;utm_campaign=2610_ff_lansare&amp;utm_content=cald_general</v>
      </c>
    </row>
    <row r="1040" customFormat="false" ht="15" hidden="false" customHeight="false" outlineLevel="0" collapsed="false">
      <c r="A1040" s="10" t="s">
        <v>70</v>
      </c>
      <c r="B1040" s="10" t="str">
        <f aca="false">INDEX('Site-uri'!$B$2:$B$20,MATCH(A1040,'Site-uri'!$A$2:$A$20,0))</f>
        <v>eu-ai-act.ro</v>
      </c>
      <c r="C1040" s="10" t="s">
        <v>204</v>
      </c>
      <c r="D1040" s="10" t="s">
        <v>231</v>
      </c>
      <c r="E1040" s="10" t="str">
        <f aca="false">INDEX(Canale!$C$2:$C$30,MATCH(C1040,Canale!$A$2:$A$30,0))</f>
        <v>a2a_agent_card</v>
      </c>
      <c r="F1040" s="10" t="str">
        <f aca="false">INDEX(Canale!$D$2:$D$30,MATCH(C1040,Canale!$A$2:$A$30,0))</f>
        <v>agent</v>
      </c>
      <c r="G1040" s="10" t="str">
        <f aca="false">INDEX('Site-uri'!$C$2:$C$20,MATCH(A1040,'Site-uri'!$A$2:$A$20,0))</f>
        <v>/</v>
      </c>
      <c r="H1040" s="10" t="str">
        <f aca="false">Config!$B$3</f>
        <v>2610_ff_lansare</v>
      </c>
      <c r="I1040" s="10" t="str">
        <f aca="false">D1040&amp;"_"&amp;Config!$B$4</f>
        <v>fierbinte_general</v>
      </c>
      <c r="J1040" s="10" t="str">
        <f aca="false">"https://"&amp;B1040&amp;G1040&amp;"?utm_source="&amp;E1040&amp;"&amp;utm_medium="&amp;F1040&amp;"&amp;utm_campaign="&amp;H1040&amp;"&amp;utm_content="&amp;I1040</f>
        <v>https://eu-ai-act.ro/?utm_source=a2a_agent_card&amp;utm_medium=agent&amp;utm_campaign=2610_ff_lansare&amp;utm_content=fierbinte_general</v>
      </c>
    </row>
    <row r="1041" customFormat="false" ht="15" hidden="false" customHeight="false" outlineLevel="0" collapsed="false">
      <c r="A1041" s="10" t="s">
        <v>70</v>
      </c>
      <c r="B1041" s="10" t="str">
        <f aca="false">INDEX('Site-uri'!$B$2:$B$20,MATCH(A1041,'Site-uri'!$A$2:$A$20,0))</f>
        <v>eu-ai-act.ro</v>
      </c>
      <c r="C1041" s="10" t="s">
        <v>204</v>
      </c>
      <c r="D1041" s="10" t="s">
        <v>237</v>
      </c>
      <c r="E1041" s="10" t="str">
        <f aca="false">INDEX(Canale!$C$2:$C$30,MATCH(C1041,Canale!$A$2:$A$30,0))</f>
        <v>a2a_agent_card</v>
      </c>
      <c r="F1041" s="10" t="str">
        <f aca="false">INDEX(Canale!$D$2:$D$30,MATCH(C1041,Canale!$A$2:$A$30,0))</f>
        <v>agent</v>
      </c>
      <c r="G1041" s="10" t="str">
        <f aca="false">INDEX('Site-uri'!$C$2:$C$20,MATCH(A1041,'Site-uri'!$A$2:$A$20,0))</f>
        <v>/</v>
      </c>
      <c r="H1041" s="10" t="str">
        <f aca="false">Config!$B$3</f>
        <v>2610_ff_lansare</v>
      </c>
      <c r="I1041" s="10" t="str">
        <f aca="false">D1041&amp;"_"&amp;Config!$B$4</f>
        <v>client_general</v>
      </c>
      <c r="J1041" s="10" t="str">
        <f aca="false">"https://"&amp;B1041&amp;G1041&amp;"?utm_source="&amp;E1041&amp;"&amp;utm_medium="&amp;F1041&amp;"&amp;utm_campaign="&amp;H1041&amp;"&amp;utm_content="&amp;I1041</f>
        <v>https://eu-ai-act.ro/?utm_source=a2a_agent_card&amp;utm_medium=agent&amp;utm_campaign=2610_ff_lansare&amp;utm_content=client_general</v>
      </c>
    </row>
    <row r="1042" customFormat="false" ht="15" hidden="false" customHeight="false" outlineLevel="0" collapsed="false">
      <c r="A1042" s="10" t="s">
        <v>70</v>
      </c>
      <c r="B1042" s="10" t="str">
        <f aca="false">INDEX('Site-uri'!$B$2:$B$20,MATCH(A1042,'Site-uri'!$A$2:$A$20,0))</f>
        <v>eu-ai-act.ro</v>
      </c>
      <c r="C1042" s="10" t="s">
        <v>209</v>
      </c>
      <c r="D1042" s="10" t="s">
        <v>219</v>
      </c>
      <c r="E1042" s="10" t="str">
        <f aca="false">INDEX(Canale!$C$2:$C$30,MATCH(C1042,Canale!$A$2:$A$30,0))</f>
        <v>llms_txt</v>
      </c>
      <c r="F1042" s="10" t="str">
        <f aca="false">INDEX(Canale!$D$2:$D$30,MATCH(C1042,Canale!$A$2:$A$30,0))</f>
        <v>ai_web</v>
      </c>
      <c r="G1042" s="10" t="str">
        <f aca="false">INDEX('Site-uri'!$C$2:$C$20,MATCH(A1042,'Site-uri'!$A$2:$A$20,0))</f>
        <v>/</v>
      </c>
      <c r="H1042" s="10" t="str">
        <f aca="false">Config!$B$3</f>
        <v>2610_ff_lansare</v>
      </c>
      <c r="I1042" s="10" t="str">
        <f aca="false">D1042&amp;"_"&amp;Config!$B$4</f>
        <v>rece_general</v>
      </c>
      <c r="J1042" s="10" t="str">
        <f aca="false">"https://"&amp;B1042&amp;G1042&amp;"?utm_source="&amp;E1042&amp;"&amp;utm_medium="&amp;F1042&amp;"&amp;utm_campaign="&amp;H1042&amp;"&amp;utm_content="&amp;I1042</f>
        <v>https://eu-ai-act.ro/?utm_source=llms_txt&amp;utm_medium=ai_web&amp;utm_campaign=2610_ff_lansare&amp;utm_content=rece_general</v>
      </c>
    </row>
    <row r="1043" customFormat="false" ht="15" hidden="false" customHeight="false" outlineLevel="0" collapsed="false">
      <c r="A1043" s="10" t="s">
        <v>70</v>
      </c>
      <c r="B1043" s="10" t="str">
        <f aca="false">INDEX('Site-uri'!$B$2:$B$20,MATCH(A1043,'Site-uri'!$A$2:$A$20,0))</f>
        <v>eu-ai-act.ro</v>
      </c>
      <c r="C1043" s="10" t="s">
        <v>209</v>
      </c>
      <c r="D1043" s="10" t="s">
        <v>225</v>
      </c>
      <c r="E1043" s="10" t="str">
        <f aca="false">INDEX(Canale!$C$2:$C$30,MATCH(C1043,Canale!$A$2:$A$30,0))</f>
        <v>llms_txt</v>
      </c>
      <c r="F1043" s="10" t="str">
        <f aca="false">INDEX(Canale!$D$2:$D$30,MATCH(C1043,Canale!$A$2:$A$30,0))</f>
        <v>ai_web</v>
      </c>
      <c r="G1043" s="10" t="str">
        <f aca="false">INDEX('Site-uri'!$C$2:$C$20,MATCH(A1043,'Site-uri'!$A$2:$A$20,0))</f>
        <v>/</v>
      </c>
      <c r="H1043" s="10" t="str">
        <f aca="false">Config!$B$3</f>
        <v>2610_ff_lansare</v>
      </c>
      <c r="I1043" s="10" t="str">
        <f aca="false">D1043&amp;"_"&amp;Config!$B$4</f>
        <v>cald_general</v>
      </c>
      <c r="J1043" s="10" t="str">
        <f aca="false">"https://"&amp;B1043&amp;G1043&amp;"?utm_source="&amp;E1043&amp;"&amp;utm_medium="&amp;F1043&amp;"&amp;utm_campaign="&amp;H1043&amp;"&amp;utm_content="&amp;I1043</f>
        <v>https://eu-ai-act.ro/?utm_source=llms_txt&amp;utm_medium=ai_web&amp;utm_campaign=2610_ff_lansare&amp;utm_content=cald_general</v>
      </c>
    </row>
    <row r="1044" customFormat="false" ht="15" hidden="false" customHeight="false" outlineLevel="0" collapsed="false">
      <c r="A1044" s="10" t="s">
        <v>70</v>
      </c>
      <c r="B1044" s="10" t="str">
        <f aca="false">INDEX('Site-uri'!$B$2:$B$20,MATCH(A1044,'Site-uri'!$A$2:$A$20,0))</f>
        <v>eu-ai-act.ro</v>
      </c>
      <c r="C1044" s="10" t="s">
        <v>209</v>
      </c>
      <c r="D1044" s="10" t="s">
        <v>231</v>
      </c>
      <c r="E1044" s="10" t="str">
        <f aca="false">INDEX(Canale!$C$2:$C$30,MATCH(C1044,Canale!$A$2:$A$30,0))</f>
        <v>llms_txt</v>
      </c>
      <c r="F1044" s="10" t="str">
        <f aca="false">INDEX(Canale!$D$2:$D$30,MATCH(C1044,Canale!$A$2:$A$30,0))</f>
        <v>ai_web</v>
      </c>
      <c r="G1044" s="10" t="str">
        <f aca="false">INDEX('Site-uri'!$C$2:$C$20,MATCH(A1044,'Site-uri'!$A$2:$A$20,0))</f>
        <v>/</v>
      </c>
      <c r="H1044" s="10" t="str">
        <f aca="false">Config!$B$3</f>
        <v>2610_ff_lansare</v>
      </c>
      <c r="I1044" s="10" t="str">
        <f aca="false">D1044&amp;"_"&amp;Config!$B$4</f>
        <v>fierbinte_general</v>
      </c>
      <c r="J1044" s="10" t="str">
        <f aca="false">"https://"&amp;B1044&amp;G1044&amp;"?utm_source="&amp;E1044&amp;"&amp;utm_medium="&amp;F1044&amp;"&amp;utm_campaign="&amp;H1044&amp;"&amp;utm_content="&amp;I1044</f>
        <v>https://eu-ai-act.ro/?utm_source=llms_txt&amp;utm_medium=ai_web&amp;utm_campaign=2610_ff_lansare&amp;utm_content=fierbinte_general</v>
      </c>
    </row>
    <row r="1045" customFormat="false" ht="15" hidden="false" customHeight="false" outlineLevel="0" collapsed="false">
      <c r="A1045" s="10" t="s">
        <v>70</v>
      </c>
      <c r="B1045" s="10" t="str">
        <f aca="false">INDEX('Site-uri'!$B$2:$B$20,MATCH(A1045,'Site-uri'!$A$2:$A$20,0))</f>
        <v>eu-ai-act.ro</v>
      </c>
      <c r="C1045" s="10" t="s">
        <v>209</v>
      </c>
      <c r="D1045" s="10" t="s">
        <v>237</v>
      </c>
      <c r="E1045" s="10" t="str">
        <f aca="false">INDEX(Canale!$C$2:$C$30,MATCH(C1045,Canale!$A$2:$A$30,0))</f>
        <v>llms_txt</v>
      </c>
      <c r="F1045" s="10" t="str">
        <f aca="false">INDEX(Canale!$D$2:$D$30,MATCH(C1045,Canale!$A$2:$A$30,0))</f>
        <v>ai_web</v>
      </c>
      <c r="G1045" s="10" t="str">
        <f aca="false">INDEX('Site-uri'!$C$2:$C$20,MATCH(A1045,'Site-uri'!$A$2:$A$20,0))</f>
        <v>/</v>
      </c>
      <c r="H1045" s="10" t="str">
        <f aca="false">Config!$B$3</f>
        <v>2610_ff_lansare</v>
      </c>
      <c r="I1045" s="10" t="str">
        <f aca="false">D1045&amp;"_"&amp;Config!$B$4</f>
        <v>client_general</v>
      </c>
      <c r="J1045" s="10" t="str">
        <f aca="false">"https://"&amp;B1045&amp;G1045&amp;"?utm_source="&amp;E1045&amp;"&amp;utm_medium="&amp;F1045&amp;"&amp;utm_campaign="&amp;H1045&amp;"&amp;utm_content="&amp;I1045</f>
        <v>https://eu-ai-act.ro/?utm_source=llms_txt&amp;utm_medium=ai_web&amp;utm_campaign=2610_ff_lansare&amp;utm_content=client_general</v>
      </c>
    </row>
    <row r="1046" customFormat="false" ht="15" hidden="false" customHeight="false" outlineLevel="0" collapsed="false">
      <c r="A1046" s="10" t="s">
        <v>73</v>
      </c>
      <c r="B1046" s="10" t="str">
        <f aca="false">INDEX('Site-uri'!$B$2:$B$20,MATCH(A1046,'Site-uri'!$A$2:$A$20,0))</f>
        <v>eu-ai-act-ready.eu</v>
      </c>
      <c r="C1046" s="10" t="s">
        <v>104</v>
      </c>
      <c r="D1046" s="10" t="s">
        <v>219</v>
      </c>
      <c r="E1046" s="10" t="str">
        <f aca="false">INDEX(Canale!$C$2:$C$30,MATCH(C1046,Canale!$A$2:$A$30,0))</f>
        <v>linkedin_personal</v>
      </c>
      <c r="F1046" s="10" t="str">
        <f aca="false">INDEX(Canale!$D$2:$D$30,MATCH(C1046,Canale!$A$2:$A$30,0))</f>
        <v>social</v>
      </c>
      <c r="G1046" s="10" t="str">
        <f aca="false">INDEX('Site-uri'!$C$2:$C$20,MATCH(A1046,'Site-uri'!$A$2:$A$20,0))</f>
        <v>/</v>
      </c>
      <c r="H1046" s="10" t="str">
        <f aca="false">Config!$B$3</f>
        <v>2610_ff_lansare</v>
      </c>
      <c r="I1046" s="10" t="str">
        <f aca="false">D1046&amp;"_"&amp;Config!$B$4</f>
        <v>rece_general</v>
      </c>
      <c r="J1046" s="10" t="str">
        <f aca="false">"https://"&amp;B1046&amp;G1046&amp;"?utm_source="&amp;E1046&amp;"&amp;utm_medium="&amp;F1046&amp;"&amp;utm_campaign="&amp;H1046&amp;"&amp;utm_content="&amp;I1046</f>
        <v>https://eu-ai-act-ready.eu/?utm_source=linkedin_personal&amp;utm_medium=social&amp;utm_campaign=2610_ff_lansare&amp;utm_content=rece_general</v>
      </c>
    </row>
    <row r="1047" customFormat="false" ht="15" hidden="false" customHeight="false" outlineLevel="0" collapsed="false">
      <c r="A1047" s="10" t="s">
        <v>73</v>
      </c>
      <c r="B1047" s="10" t="str">
        <f aca="false">INDEX('Site-uri'!$B$2:$B$20,MATCH(A1047,'Site-uri'!$A$2:$A$20,0))</f>
        <v>eu-ai-act-ready.eu</v>
      </c>
      <c r="C1047" s="10" t="s">
        <v>104</v>
      </c>
      <c r="D1047" s="10" t="s">
        <v>225</v>
      </c>
      <c r="E1047" s="10" t="str">
        <f aca="false">INDEX(Canale!$C$2:$C$30,MATCH(C1047,Canale!$A$2:$A$30,0))</f>
        <v>linkedin_personal</v>
      </c>
      <c r="F1047" s="10" t="str">
        <f aca="false">INDEX(Canale!$D$2:$D$30,MATCH(C1047,Canale!$A$2:$A$30,0))</f>
        <v>social</v>
      </c>
      <c r="G1047" s="10" t="str">
        <f aca="false">INDEX('Site-uri'!$C$2:$C$20,MATCH(A1047,'Site-uri'!$A$2:$A$20,0))</f>
        <v>/</v>
      </c>
      <c r="H1047" s="10" t="str">
        <f aca="false">Config!$B$3</f>
        <v>2610_ff_lansare</v>
      </c>
      <c r="I1047" s="10" t="str">
        <f aca="false">D1047&amp;"_"&amp;Config!$B$4</f>
        <v>cald_general</v>
      </c>
      <c r="J1047" s="10" t="str">
        <f aca="false">"https://"&amp;B1047&amp;G1047&amp;"?utm_source="&amp;E1047&amp;"&amp;utm_medium="&amp;F1047&amp;"&amp;utm_campaign="&amp;H1047&amp;"&amp;utm_content="&amp;I1047</f>
        <v>https://eu-ai-act-ready.eu/?utm_source=linkedin_personal&amp;utm_medium=social&amp;utm_campaign=2610_ff_lansare&amp;utm_content=cald_general</v>
      </c>
    </row>
    <row r="1048" customFormat="false" ht="15" hidden="false" customHeight="false" outlineLevel="0" collapsed="false">
      <c r="A1048" s="10" t="s">
        <v>73</v>
      </c>
      <c r="B1048" s="10" t="str">
        <f aca="false">INDEX('Site-uri'!$B$2:$B$20,MATCH(A1048,'Site-uri'!$A$2:$A$20,0))</f>
        <v>eu-ai-act-ready.eu</v>
      </c>
      <c r="C1048" s="10" t="s">
        <v>104</v>
      </c>
      <c r="D1048" s="10" t="s">
        <v>231</v>
      </c>
      <c r="E1048" s="10" t="str">
        <f aca="false">INDEX(Canale!$C$2:$C$30,MATCH(C1048,Canale!$A$2:$A$30,0))</f>
        <v>linkedin_personal</v>
      </c>
      <c r="F1048" s="10" t="str">
        <f aca="false">INDEX(Canale!$D$2:$D$30,MATCH(C1048,Canale!$A$2:$A$30,0))</f>
        <v>social</v>
      </c>
      <c r="G1048" s="10" t="str">
        <f aca="false">INDEX('Site-uri'!$C$2:$C$20,MATCH(A1048,'Site-uri'!$A$2:$A$20,0))</f>
        <v>/</v>
      </c>
      <c r="H1048" s="10" t="str">
        <f aca="false">Config!$B$3</f>
        <v>2610_ff_lansare</v>
      </c>
      <c r="I1048" s="10" t="str">
        <f aca="false">D1048&amp;"_"&amp;Config!$B$4</f>
        <v>fierbinte_general</v>
      </c>
      <c r="J1048" s="10" t="str">
        <f aca="false">"https://"&amp;B1048&amp;G1048&amp;"?utm_source="&amp;E1048&amp;"&amp;utm_medium="&amp;F1048&amp;"&amp;utm_campaign="&amp;H1048&amp;"&amp;utm_content="&amp;I1048</f>
        <v>https://eu-ai-act-ready.eu/?utm_source=linkedin_personal&amp;utm_medium=social&amp;utm_campaign=2610_ff_lansare&amp;utm_content=fierbinte_general</v>
      </c>
    </row>
    <row r="1049" customFormat="false" ht="15" hidden="false" customHeight="false" outlineLevel="0" collapsed="false">
      <c r="A1049" s="10" t="s">
        <v>73</v>
      </c>
      <c r="B1049" s="10" t="str">
        <f aca="false">INDEX('Site-uri'!$B$2:$B$20,MATCH(A1049,'Site-uri'!$A$2:$A$20,0))</f>
        <v>eu-ai-act-ready.eu</v>
      </c>
      <c r="C1049" s="10" t="s">
        <v>104</v>
      </c>
      <c r="D1049" s="10" t="s">
        <v>237</v>
      </c>
      <c r="E1049" s="10" t="str">
        <f aca="false">INDEX(Canale!$C$2:$C$30,MATCH(C1049,Canale!$A$2:$A$30,0))</f>
        <v>linkedin_personal</v>
      </c>
      <c r="F1049" s="10" t="str">
        <f aca="false">INDEX(Canale!$D$2:$D$30,MATCH(C1049,Canale!$A$2:$A$30,0))</f>
        <v>social</v>
      </c>
      <c r="G1049" s="10" t="str">
        <f aca="false">INDEX('Site-uri'!$C$2:$C$20,MATCH(A1049,'Site-uri'!$A$2:$A$20,0))</f>
        <v>/</v>
      </c>
      <c r="H1049" s="10" t="str">
        <f aca="false">Config!$B$3</f>
        <v>2610_ff_lansare</v>
      </c>
      <c r="I1049" s="10" t="str">
        <f aca="false">D1049&amp;"_"&amp;Config!$B$4</f>
        <v>client_general</v>
      </c>
      <c r="J1049" s="10" t="str">
        <f aca="false">"https://"&amp;B1049&amp;G1049&amp;"?utm_source="&amp;E1049&amp;"&amp;utm_medium="&amp;F1049&amp;"&amp;utm_campaign="&amp;H1049&amp;"&amp;utm_content="&amp;I1049</f>
        <v>https://eu-ai-act-ready.eu/?utm_source=linkedin_personal&amp;utm_medium=social&amp;utm_campaign=2610_ff_lansare&amp;utm_content=client_general</v>
      </c>
    </row>
    <row r="1050" customFormat="false" ht="15" hidden="false" customHeight="false" outlineLevel="0" collapsed="false">
      <c r="A1050" s="10" t="s">
        <v>73</v>
      </c>
      <c r="B1050" s="10" t="str">
        <f aca="false">INDEX('Site-uri'!$B$2:$B$20,MATCH(A1050,'Site-uri'!$A$2:$A$20,0))</f>
        <v>eu-ai-act-ready.eu</v>
      </c>
      <c r="C1050" s="10" t="s">
        <v>109</v>
      </c>
      <c r="D1050" s="10" t="s">
        <v>219</v>
      </c>
      <c r="E1050" s="10" t="str">
        <f aca="false">INDEX(Canale!$C$2:$C$30,MATCH(C1050,Canale!$A$2:$A$30,0))</f>
        <v>linkedin_company</v>
      </c>
      <c r="F1050" s="10" t="str">
        <f aca="false">INDEX(Canale!$D$2:$D$30,MATCH(C1050,Canale!$A$2:$A$30,0))</f>
        <v>social</v>
      </c>
      <c r="G1050" s="10" t="str">
        <f aca="false">INDEX('Site-uri'!$C$2:$C$20,MATCH(A1050,'Site-uri'!$A$2:$A$20,0))</f>
        <v>/</v>
      </c>
      <c r="H1050" s="10" t="str">
        <f aca="false">Config!$B$3</f>
        <v>2610_ff_lansare</v>
      </c>
      <c r="I1050" s="10" t="str">
        <f aca="false">D1050&amp;"_"&amp;Config!$B$4</f>
        <v>rece_general</v>
      </c>
      <c r="J1050" s="10" t="str">
        <f aca="false">"https://"&amp;B1050&amp;G1050&amp;"?utm_source="&amp;E1050&amp;"&amp;utm_medium="&amp;F1050&amp;"&amp;utm_campaign="&amp;H1050&amp;"&amp;utm_content="&amp;I1050</f>
        <v>https://eu-ai-act-ready.eu/?utm_source=linkedin_company&amp;utm_medium=social&amp;utm_campaign=2610_ff_lansare&amp;utm_content=rece_general</v>
      </c>
    </row>
    <row r="1051" customFormat="false" ht="15" hidden="false" customHeight="false" outlineLevel="0" collapsed="false">
      <c r="A1051" s="10" t="s">
        <v>73</v>
      </c>
      <c r="B1051" s="10" t="str">
        <f aca="false">INDEX('Site-uri'!$B$2:$B$20,MATCH(A1051,'Site-uri'!$A$2:$A$20,0))</f>
        <v>eu-ai-act-ready.eu</v>
      </c>
      <c r="C1051" s="10" t="s">
        <v>109</v>
      </c>
      <c r="D1051" s="10" t="s">
        <v>225</v>
      </c>
      <c r="E1051" s="10" t="str">
        <f aca="false">INDEX(Canale!$C$2:$C$30,MATCH(C1051,Canale!$A$2:$A$30,0))</f>
        <v>linkedin_company</v>
      </c>
      <c r="F1051" s="10" t="str">
        <f aca="false">INDEX(Canale!$D$2:$D$30,MATCH(C1051,Canale!$A$2:$A$30,0))</f>
        <v>social</v>
      </c>
      <c r="G1051" s="10" t="str">
        <f aca="false">INDEX('Site-uri'!$C$2:$C$20,MATCH(A1051,'Site-uri'!$A$2:$A$20,0))</f>
        <v>/</v>
      </c>
      <c r="H1051" s="10" t="str">
        <f aca="false">Config!$B$3</f>
        <v>2610_ff_lansare</v>
      </c>
      <c r="I1051" s="10" t="str">
        <f aca="false">D1051&amp;"_"&amp;Config!$B$4</f>
        <v>cald_general</v>
      </c>
      <c r="J1051" s="10" t="str">
        <f aca="false">"https://"&amp;B1051&amp;G1051&amp;"?utm_source="&amp;E1051&amp;"&amp;utm_medium="&amp;F1051&amp;"&amp;utm_campaign="&amp;H1051&amp;"&amp;utm_content="&amp;I1051</f>
        <v>https://eu-ai-act-ready.eu/?utm_source=linkedin_company&amp;utm_medium=social&amp;utm_campaign=2610_ff_lansare&amp;utm_content=cald_general</v>
      </c>
    </row>
    <row r="1052" customFormat="false" ht="15" hidden="false" customHeight="false" outlineLevel="0" collapsed="false">
      <c r="A1052" s="10" t="s">
        <v>73</v>
      </c>
      <c r="B1052" s="10" t="str">
        <f aca="false">INDEX('Site-uri'!$B$2:$B$20,MATCH(A1052,'Site-uri'!$A$2:$A$20,0))</f>
        <v>eu-ai-act-ready.eu</v>
      </c>
      <c r="C1052" s="10" t="s">
        <v>109</v>
      </c>
      <c r="D1052" s="10" t="s">
        <v>231</v>
      </c>
      <c r="E1052" s="10" t="str">
        <f aca="false">INDEX(Canale!$C$2:$C$30,MATCH(C1052,Canale!$A$2:$A$30,0))</f>
        <v>linkedin_company</v>
      </c>
      <c r="F1052" s="10" t="str">
        <f aca="false">INDEX(Canale!$D$2:$D$30,MATCH(C1052,Canale!$A$2:$A$30,0))</f>
        <v>social</v>
      </c>
      <c r="G1052" s="10" t="str">
        <f aca="false">INDEX('Site-uri'!$C$2:$C$20,MATCH(A1052,'Site-uri'!$A$2:$A$20,0))</f>
        <v>/</v>
      </c>
      <c r="H1052" s="10" t="str">
        <f aca="false">Config!$B$3</f>
        <v>2610_ff_lansare</v>
      </c>
      <c r="I1052" s="10" t="str">
        <f aca="false">D1052&amp;"_"&amp;Config!$B$4</f>
        <v>fierbinte_general</v>
      </c>
      <c r="J1052" s="10" t="str">
        <f aca="false">"https://"&amp;B1052&amp;G1052&amp;"?utm_source="&amp;E1052&amp;"&amp;utm_medium="&amp;F1052&amp;"&amp;utm_campaign="&amp;H1052&amp;"&amp;utm_content="&amp;I1052</f>
        <v>https://eu-ai-act-ready.eu/?utm_source=linkedin_company&amp;utm_medium=social&amp;utm_campaign=2610_ff_lansare&amp;utm_content=fierbinte_general</v>
      </c>
    </row>
    <row r="1053" customFormat="false" ht="15" hidden="false" customHeight="false" outlineLevel="0" collapsed="false">
      <c r="A1053" s="10" t="s">
        <v>73</v>
      </c>
      <c r="B1053" s="10" t="str">
        <f aca="false">INDEX('Site-uri'!$B$2:$B$20,MATCH(A1053,'Site-uri'!$A$2:$A$20,0))</f>
        <v>eu-ai-act-ready.eu</v>
      </c>
      <c r="C1053" s="10" t="s">
        <v>109</v>
      </c>
      <c r="D1053" s="10" t="s">
        <v>237</v>
      </c>
      <c r="E1053" s="10" t="str">
        <f aca="false">INDEX(Canale!$C$2:$C$30,MATCH(C1053,Canale!$A$2:$A$30,0))</f>
        <v>linkedin_company</v>
      </c>
      <c r="F1053" s="10" t="str">
        <f aca="false">INDEX(Canale!$D$2:$D$30,MATCH(C1053,Canale!$A$2:$A$30,0))</f>
        <v>social</v>
      </c>
      <c r="G1053" s="10" t="str">
        <f aca="false">INDEX('Site-uri'!$C$2:$C$20,MATCH(A1053,'Site-uri'!$A$2:$A$20,0))</f>
        <v>/</v>
      </c>
      <c r="H1053" s="10" t="str">
        <f aca="false">Config!$B$3</f>
        <v>2610_ff_lansare</v>
      </c>
      <c r="I1053" s="10" t="str">
        <f aca="false">D1053&amp;"_"&amp;Config!$B$4</f>
        <v>client_general</v>
      </c>
      <c r="J1053" s="10" t="str">
        <f aca="false">"https://"&amp;B1053&amp;G1053&amp;"?utm_source="&amp;E1053&amp;"&amp;utm_medium="&amp;F1053&amp;"&amp;utm_campaign="&amp;H1053&amp;"&amp;utm_content="&amp;I1053</f>
        <v>https://eu-ai-act-ready.eu/?utm_source=linkedin_company&amp;utm_medium=social&amp;utm_campaign=2610_ff_lansare&amp;utm_content=client_general</v>
      </c>
    </row>
    <row r="1054" customFormat="false" ht="15" hidden="false" customHeight="false" outlineLevel="0" collapsed="false">
      <c r="A1054" s="10" t="s">
        <v>73</v>
      </c>
      <c r="B1054" s="10" t="str">
        <f aca="false">INDEX('Site-uri'!$B$2:$B$20,MATCH(A1054,'Site-uri'!$A$2:$A$20,0))</f>
        <v>eu-ai-act-ready.eu</v>
      </c>
      <c r="C1054" s="10" t="s">
        <v>112</v>
      </c>
      <c r="D1054" s="10" t="s">
        <v>219</v>
      </c>
      <c r="E1054" s="10" t="str">
        <f aca="false">INDEX(Canale!$C$2:$C$30,MATCH(C1054,Canale!$A$2:$A$30,0))</f>
        <v>linkedin_showcase</v>
      </c>
      <c r="F1054" s="10" t="str">
        <f aca="false">INDEX(Canale!$D$2:$D$30,MATCH(C1054,Canale!$A$2:$A$30,0))</f>
        <v>social</v>
      </c>
      <c r="G1054" s="10" t="str">
        <f aca="false">INDEX('Site-uri'!$C$2:$C$20,MATCH(A1054,'Site-uri'!$A$2:$A$20,0))</f>
        <v>/</v>
      </c>
      <c r="H1054" s="10" t="str">
        <f aca="false">Config!$B$3</f>
        <v>2610_ff_lansare</v>
      </c>
      <c r="I1054" s="10" t="str">
        <f aca="false">D1054&amp;"_"&amp;Config!$B$4</f>
        <v>rece_general</v>
      </c>
      <c r="J1054" s="10" t="str">
        <f aca="false">"https://"&amp;B1054&amp;G1054&amp;"?utm_source="&amp;E1054&amp;"&amp;utm_medium="&amp;F1054&amp;"&amp;utm_campaign="&amp;H1054&amp;"&amp;utm_content="&amp;I1054</f>
        <v>https://eu-ai-act-ready.eu/?utm_source=linkedin_showcase&amp;utm_medium=social&amp;utm_campaign=2610_ff_lansare&amp;utm_content=rece_general</v>
      </c>
    </row>
    <row r="1055" customFormat="false" ht="15" hidden="false" customHeight="false" outlineLevel="0" collapsed="false">
      <c r="A1055" s="10" t="s">
        <v>73</v>
      </c>
      <c r="B1055" s="10" t="str">
        <f aca="false">INDEX('Site-uri'!$B$2:$B$20,MATCH(A1055,'Site-uri'!$A$2:$A$20,0))</f>
        <v>eu-ai-act-ready.eu</v>
      </c>
      <c r="C1055" s="10" t="s">
        <v>112</v>
      </c>
      <c r="D1055" s="10" t="s">
        <v>225</v>
      </c>
      <c r="E1055" s="10" t="str">
        <f aca="false">INDEX(Canale!$C$2:$C$30,MATCH(C1055,Canale!$A$2:$A$30,0))</f>
        <v>linkedin_showcase</v>
      </c>
      <c r="F1055" s="10" t="str">
        <f aca="false">INDEX(Canale!$D$2:$D$30,MATCH(C1055,Canale!$A$2:$A$30,0))</f>
        <v>social</v>
      </c>
      <c r="G1055" s="10" t="str">
        <f aca="false">INDEX('Site-uri'!$C$2:$C$20,MATCH(A1055,'Site-uri'!$A$2:$A$20,0))</f>
        <v>/</v>
      </c>
      <c r="H1055" s="10" t="str">
        <f aca="false">Config!$B$3</f>
        <v>2610_ff_lansare</v>
      </c>
      <c r="I1055" s="10" t="str">
        <f aca="false">D1055&amp;"_"&amp;Config!$B$4</f>
        <v>cald_general</v>
      </c>
      <c r="J1055" s="10" t="str">
        <f aca="false">"https://"&amp;B1055&amp;G1055&amp;"?utm_source="&amp;E1055&amp;"&amp;utm_medium="&amp;F1055&amp;"&amp;utm_campaign="&amp;H1055&amp;"&amp;utm_content="&amp;I1055</f>
        <v>https://eu-ai-act-ready.eu/?utm_source=linkedin_showcase&amp;utm_medium=social&amp;utm_campaign=2610_ff_lansare&amp;utm_content=cald_general</v>
      </c>
    </row>
    <row r="1056" customFormat="false" ht="15" hidden="false" customHeight="false" outlineLevel="0" collapsed="false">
      <c r="A1056" s="10" t="s">
        <v>73</v>
      </c>
      <c r="B1056" s="10" t="str">
        <f aca="false">INDEX('Site-uri'!$B$2:$B$20,MATCH(A1056,'Site-uri'!$A$2:$A$20,0))</f>
        <v>eu-ai-act-ready.eu</v>
      </c>
      <c r="C1056" s="10" t="s">
        <v>112</v>
      </c>
      <c r="D1056" s="10" t="s">
        <v>231</v>
      </c>
      <c r="E1056" s="10" t="str">
        <f aca="false">INDEX(Canale!$C$2:$C$30,MATCH(C1056,Canale!$A$2:$A$30,0))</f>
        <v>linkedin_showcase</v>
      </c>
      <c r="F1056" s="10" t="str">
        <f aca="false">INDEX(Canale!$D$2:$D$30,MATCH(C1056,Canale!$A$2:$A$30,0))</f>
        <v>social</v>
      </c>
      <c r="G1056" s="10" t="str">
        <f aca="false">INDEX('Site-uri'!$C$2:$C$20,MATCH(A1056,'Site-uri'!$A$2:$A$20,0))</f>
        <v>/</v>
      </c>
      <c r="H1056" s="10" t="str">
        <f aca="false">Config!$B$3</f>
        <v>2610_ff_lansare</v>
      </c>
      <c r="I1056" s="10" t="str">
        <f aca="false">D1056&amp;"_"&amp;Config!$B$4</f>
        <v>fierbinte_general</v>
      </c>
      <c r="J1056" s="10" t="str">
        <f aca="false">"https://"&amp;B1056&amp;G1056&amp;"?utm_source="&amp;E1056&amp;"&amp;utm_medium="&amp;F1056&amp;"&amp;utm_campaign="&amp;H1056&amp;"&amp;utm_content="&amp;I1056</f>
        <v>https://eu-ai-act-ready.eu/?utm_source=linkedin_showcase&amp;utm_medium=social&amp;utm_campaign=2610_ff_lansare&amp;utm_content=fierbinte_general</v>
      </c>
    </row>
    <row r="1057" customFormat="false" ht="15" hidden="false" customHeight="false" outlineLevel="0" collapsed="false">
      <c r="A1057" s="10" t="s">
        <v>73</v>
      </c>
      <c r="B1057" s="10" t="str">
        <f aca="false">INDEX('Site-uri'!$B$2:$B$20,MATCH(A1057,'Site-uri'!$A$2:$A$20,0))</f>
        <v>eu-ai-act-ready.eu</v>
      </c>
      <c r="C1057" s="10" t="s">
        <v>112</v>
      </c>
      <c r="D1057" s="10" t="s">
        <v>237</v>
      </c>
      <c r="E1057" s="10" t="str">
        <f aca="false">INDEX(Canale!$C$2:$C$30,MATCH(C1057,Canale!$A$2:$A$30,0))</f>
        <v>linkedin_showcase</v>
      </c>
      <c r="F1057" s="10" t="str">
        <f aca="false">INDEX(Canale!$D$2:$D$30,MATCH(C1057,Canale!$A$2:$A$30,0))</f>
        <v>social</v>
      </c>
      <c r="G1057" s="10" t="str">
        <f aca="false">INDEX('Site-uri'!$C$2:$C$20,MATCH(A1057,'Site-uri'!$A$2:$A$20,0))</f>
        <v>/</v>
      </c>
      <c r="H1057" s="10" t="str">
        <f aca="false">Config!$B$3</f>
        <v>2610_ff_lansare</v>
      </c>
      <c r="I1057" s="10" t="str">
        <f aca="false">D1057&amp;"_"&amp;Config!$B$4</f>
        <v>client_general</v>
      </c>
      <c r="J1057" s="10" t="str">
        <f aca="false">"https://"&amp;B1057&amp;G1057&amp;"?utm_source="&amp;E1057&amp;"&amp;utm_medium="&amp;F1057&amp;"&amp;utm_campaign="&amp;H1057&amp;"&amp;utm_content="&amp;I1057</f>
        <v>https://eu-ai-act-ready.eu/?utm_source=linkedin_showcase&amp;utm_medium=social&amp;utm_campaign=2610_ff_lansare&amp;utm_content=client_general</v>
      </c>
    </row>
    <row r="1058" customFormat="false" ht="15" hidden="false" customHeight="false" outlineLevel="0" collapsed="false">
      <c r="A1058" s="10" t="s">
        <v>73</v>
      </c>
      <c r="B1058" s="10" t="str">
        <f aca="false">INDEX('Site-uri'!$B$2:$B$20,MATCH(A1058,'Site-uri'!$A$2:$A$20,0))</f>
        <v>eu-ai-act-ready.eu</v>
      </c>
      <c r="C1058" s="10" t="s">
        <v>115</v>
      </c>
      <c r="D1058" s="10" t="s">
        <v>219</v>
      </c>
      <c r="E1058" s="10" t="str">
        <f aca="false">INDEX(Canale!$C$2:$C$30,MATCH(C1058,Canale!$A$2:$A$30,0))</f>
        <v>linkedin_newsletter</v>
      </c>
      <c r="F1058" s="10" t="str">
        <f aca="false">INDEX(Canale!$D$2:$D$30,MATCH(C1058,Canale!$A$2:$A$30,0))</f>
        <v>social</v>
      </c>
      <c r="G1058" s="10" t="str">
        <f aca="false">INDEX('Site-uri'!$C$2:$C$20,MATCH(A1058,'Site-uri'!$A$2:$A$20,0))</f>
        <v>/</v>
      </c>
      <c r="H1058" s="10" t="str">
        <f aca="false">Config!$B$3</f>
        <v>2610_ff_lansare</v>
      </c>
      <c r="I1058" s="10" t="str">
        <f aca="false">D1058&amp;"_"&amp;Config!$B$4</f>
        <v>rece_general</v>
      </c>
      <c r="J1058" s="10" t="str">
        <f aca="false">"https://"&amp;B1058&amp;G1058&amp;"?utm_source="&amp;E1058&amp;"&amp;utm_medium="&amp;F1058&amp;"&amp;utm_campaign="&amp;H1058&amp;"&amp;utm_content="&amp;I1058</f>
        <v>https://eu-ai-act-ready.eu/?utm_source=linkedin_newsletter&amp;utm_medium=social&amp;utm_campaign=2610_ff_lansare&amp;utm_content=rece_general</v>
      </c>
    </row>
    <row r="1059" customFormat="false" ht="15" hidden="false" customHeight="false" outlineLevel="0" collapsed="false">
      <c r="A1059" s="10" t="s">
        <v>73</v>
      </c>
      <c r="B1059" s="10" t="str">
        <f aca="false">INDEX('Site-uri'!$B$2:$B$20,MATCH(A1059,'Site-uri'!$A$2:$A$20,0))</f>
        <v>eu-ai-act-ready.eu</v>
      </c>
      <c r="C1059" s="10" t="s">
        <v>115</v>
      </c>
      <c r="D1059" s="10" t="s">
        <v>225</v>
      </c>
      <c r="E1059" s="10" t="str">
        <f aca="false">INDEX(Canale!$C$2:$C$30,MATCH(C1059,Canale!$A$2:$A$30,0))</f>
        <v>linkedin_newsletter</v>
      </c>
      <c r="F1059" s="10" t="str">
        <f aca="false">INDEX(Canale!$D$2:$D$30,MATCH(C1059,Canale!$A$2:$A$30,0))</f>
        <v>social</v>
      </c>
      <c r="G1059" s="10" t="str">
        <f aca="false">INDEX('Site-uri'!$C$2:$C$20,MATCH(A1059,'Site-uri'!$A$2:$A$20,0))</f>
        <v>/</v>
      </c>
      <c r="H1059" s="10" t="str">
        <f aca="false">Config!$B$3</f>
        <v>2610_ff_lansare</v>
      </c>
      <c r="I1059" s="10" t="str">
        <f aca="false">D1059&amp;"_"&amp;Config!$B$4</f>
        <v>cald_general</v>
      </c>
      <c r="J1059" s="10" t="str">
        <f aca="false">"https://"&amp;B1059&amp;G1059&amp;"?utm_source="&amp;E1059&amp;"&amp;utm_medium="&amp;F1059&amp;"&amp;utm_campaign="&amp;H1059&amp;"&amp;utm_content="&amp;I1059</f>
        <v>https://eu-ai-act-ready.eu/?utm_source=linkedin_newsletter&amp;utm_medium=social&amp;utm_campaign=2610_ff_lansare&amp;utm_content=cald_general</v>
      </c>
    </row>
    <row r="1060" customFormat="false" ht="15" hidden="false" customHeight="false" outlineLevel="0" collapsed="false">
      <c r="A1060" s="10" t="s">
        <v>73</v>
      </c>
      <c r="B1060" s="10" t="str">
        <f aca="false">INDEX('Site-uri'!$B$2:$B$20,MATCH(A1060,'Site-uri'!$A$2:$A$20,0))</f>
        <v>eu-ai-act-ready.eu</v>
      </c>
      <c r="C1060" s="10" t="s">
        <v>115</v>
      </c>
      <c r="D1060" s="10" t="s">
        <v>231</v>
      </c>
      <c r="E1060" s="10" t="str">
        <f aca="false">INDEX(Canale!$C$2:$C$30,MATCH(C1060,Canale!$A$2:$A$30,0))</f>
        <v>linkedin_newsletter</v>
      </c>
      <c r="F1060" s="10" t="str">
        <f aca="false">INDEX(Canale!$D$2:$D$30,MATCH(C1060,Canale!$A$2:$A$30,0))</f>
        <v>social</v>
      </c>
      <c r="G1060" s="10" t="str">
        <f aca="false">INDEX('Site-uri'!$C$2:$C$20,MATCH(A1060,'Site-uri'!$A$2:$A$20,0))</f>
        <v>/</v>
      </c>
      <c r="H1060" s="10" t="str">
        <f aca="false">Config!$B$3</f>
        <v>2610_ff_lansare</v>
      </c>
      <c r="I1060" s="10" t="str">
        <f aca="false">D1060&amp;"_"&amp;Config!$B$4</f>
        <v>fierbinte_general</v>
      </c>
      <c r="J1060" s="10" t="str">
        <f aca="false">"https://"&amp;B1060&amp;G1060&amp;"?utm_source="&amp;E1060&amp;"&amp;utm_medium="&amp;F1060&amp;"&amp;utm_campaign="&amp;H1060&amp;"&amp;utm_content="&amp;I1060</f>
        <v>https://eu-ai-act-ready.eu/?utm_source=linkedin_newsletter&amp;utm_medium=social&amp;utm_campaign=2610_ff_lansare&amp;utm_content=fierbinte_general</v>
      </c>
    </row>
    <row r="1061" customFormat="false" ht="15" hidden="false" customHeight="false" outlineLevel="0" collapsed="false">
      <c r="A1061" s="10" t="s">
        <v>73</v>
      </c>
      <c r="B1061" s="10" t="str">
        <f aca="false">INDEX('Site-uri'!$B$2:$B$20,MATCH(A1061,'Site-uri'!$A$2:$A$20,0))</f>
        <v>eu-ai-act-ready.eu</v>
      </c>
      <c r="C1061" s="10" t="s">
        <v>115</v>
      </c>
      <c r="D1061" s="10" t="s">
        <v>237</v>
      </c>
      <c r="E1061" s="10" t="str">
        <f aca="false">INDEX(Canale!$C$2:$C$30,MATCH(C1061,Canale!$A$2:$A$30,0))</f>
        <v>linkedin_newsletter</v>
      </c>
      <c r="F1061" s="10" t="str">
        <f aca="false">INDEX(Canale!$D$2:$D$30,MATCH(C1061,Canale!$A$2:$A$30,0))</f>
        <v>social</v>
      </c>
      <c r="G1061" s="10" t="str">
        <f aca="false">INDEX('Site-uri'!$C$2:$C$20,MATCH(A1061,'Site-uri'!$A$2:$A$20,0))</f>
        <v>/</v>
      </c>
      <c r="H1061" s="10" t="str">
        <f aca="false">Config!$B$3</f>
        <v>2610_ff_lansare</v>
      </c>
      <c r="I1061" s="10" t="str">
        <f aca="false">D1061&amp;"_"&amp;Config!$B$4</f>
        <v>client_general</v>
      </c>
      <c r="J1061" s="10" t="str">
        <f aca="false">"https://"&amp;B1061&amp;G1061&amp;"?utm_source="&amp;E1061&amp;"&amp;utm_medium="&amp;F1061&amp;"&amp;utm_campaign="&amp;H1061&amp;"&amp;utm_content="&amp;I1061</f>
        <v>https://eu-ai-act-ready.eu/?utm_source=linkedin_newsletter&amp;utm_medium=social&amp;utm_campaign=2610_ff_lansare&amp;utm_content=client_general</v>
      </c>
    </row>
    <row r="1062" customFormat="false" ht="15" hidden="false" customHeight="false" outlineLevel="0" collapsed="false">
      <c r="A1062" s="10" t="s">
        <v>73</v>
      </c>
      <c r="B1062" s="10" t="str">
        <f aca="false">INDEX('Site-uri'!$B$2:$B$20,MATCH(A1062,'Site-uri'!$A$2:$A$20,0))</f>
        <v>eu-ai-act-ready.eu</v>
      </c>
      <c r="C1062" s="10" t="s">
        <v>118</v>
      </c>
      <c r="D1062" s="10" t="s">
        <v>219</v>
      </c>
      <c r="E1062" s="10" t="str">
        <f aca="false">INDEX(Canale!$C$2:$C$30,MATCH(C1062,Canale!$A$2:$A$30,0))</f>
        <v>linkedin_ads</v>
      </c>
      <c r="F1062" s="10" t="str">
        <f aca="false">INDEX(Canale!$D$2:$D$30,MATCH(C1062,Canale!$A$2:$A$30,0))</f>
        <v>paid_social</v>
      </c>
      <c r="G1062" s="10" t="str">
        <f aca="false">INDEX('Site-uri'!$C$2:$C$20,MATCH(A1062,'Site-uri'!$A$2:$A$20,0))</f>
        <v>/</v>
      </c>
      <c r="H1062" s="10" t="str">
        <f aca="false">Config!$B$3</f>
        <v>2610_ff_lansare</v>
      </c>
      <c r="I1062" s="10" t="str">
        <f aca="false">D1062&amp;"_"&amp;Config!$B$4</f>
        <v>rece_general</v>
      </c>
      <c r="J1062" s="10" t="str">
        <f aca="false">"https://"&amp;B1062&amp;G1062&amp;"?utm_source="&amp;E1062&amp;"&amp;utm_medium="&amp;F1062&amp;"&amp;utm_campaign="&amp;H1062&amp;"&amp;utm_content="&amp;I1062</f>
        <v>https://eu-ai-act-ready.eu/?utm_source=linkedin_ads&amp;utm_medium=paid_social&amp;utm_campaign=2610_ff_lansare&amp;utm_content=rece_general</v>
      </c>
    </row>
    <row r="1063" customFormat="false" ht="15" hidden="false" customHeight="false" outlineLevel="0" collapsed="false">
      <c r="A1063" s="10" t="s">
        <v>73</v>
      </c>
      <c r="B1063" s="10" t="str">
        <f aca="false">INDEX('Site-uri'!$B$2:$B$20,MATCH(A1063,'Site-uri'!$A$2:$A$20,0))</f>
        <v>eu-ai-act-ready.eu</v>
      </c>
      <c r="C1063" s="10" t="s">
        <v>118</v>
      </c>
      <c r="D1063" s="10" t="s">
        <v>225</v>
      </c>
      <c r="E1063" s="10" t="str">
        <f aca="false">INDEX(Canale!$C$2:$C$30,MATCH(C1063,Canale!$A$2:$A$30,0))</f>
        <v>linkedin_ads</v>
      </c>
      <c r="F1063" s="10" t="str">
        <f aca="false">INDEX(Canale!$D$2:$D$30,MATCH(C1063,Canale!$A$2:$A$30,0))</f>
        <v>paid_social</v>
      </c>
      <c r="G1063" s="10" t="str">
        <f aca="false">INDEX('Site-uri'!$C$2:$C$20,MATCH(A1063,'Site-uri'!$A$2:$A$20,0))</f>
        <v>/</v>
      </c>
      <c r="H1063" s="10" t="str">
        <f aca="false">Config!$B$3</f>
        <v>2610_ff_lansare</v>
      </c>
      <c r="I1063" s="10" t="str">
        <f aca="false">D1063&amp;"_"&amp;Config!$B$4</f>
        <v>cald_general</v>
      </c>
      <c r="J1063" s="10" t="str">
        <f aca="false">"https://"&amp;B1063&amp;G1063&amp;"?utm_source="&amp;E1063&amp;"&amp;utm_medium="&amp;F1063&amp;"&amp;utm_campaign="&amp;H1063&amp;"&amp;utm_content="&amp;I1063</f>
        <v>https://eu-ai-act-ready.eu/?utm_source=linkedin_ads&amp;utm_medium=paid_social&amp;utm_campaign=2610_ff_lansare&amp;utm_content=cald_general</v>
      </c>
    </row>
    <row r="1064" customFormat="false" ht="15" hidden="false" customHeight="false" outlineLevel="0" collapsed="false">
      <c r="A1064" s="10" t="s">
        <v>73</v>
      </c>
      <c r="B1064" s="10" t="str">
        <f aca="false">INDEX('Site-uri'!$B$2:$B$20,MATCH(A1064,'Site-uri'!$A$2:$A$20,0))</f>
        <v>eu-ai-act-ready.eu</v>
      </c>
      <c r="C1064" s="10" t="s">
        <v>118</v>
      </c>
      <c r="D1064" s="10" t="s">
        <v>231</v>
      </c>
      <c r="E1064" s="10" t="str">
        <f aca="false">INDEX(Canale!$C$2:$C$30,MATCH(C1064,Canale!$A$2:$A$30,0))</f>
        <v>linkedin_ads</v>
      </c>
      <c r="F1064" s="10" t="str">
        <f aca="false">INDEX(Canale!$D$2:$D$30,MATCH(C1064,Canale!$A$2:$A$30,0))</f>
        <v>paid_social</v>
      </c>
      <c r="G1064" s="10" t="str">
        <f aca="false">INDEX('Site-uri'!$C$2:$C$20,MATCH(A1064,'Site-uri'!$A$2:$A$20,0))</f>
        <v>/</v>
      </c>
      <c r="H1064" s="10" t="str">
        <f aca="false">Config!$B$3</f>
        <v>2610_ff_lansare</v>
      </c>
      <c r="I1064" s="10" t="str">
        <f aca="false">D1064&amp;"_"&amp;Config!$B$4</f>
        <v>fierbinte_general</v>
      </c>
      <c r="J1064" s="10" t="str">
        <f aca="false">"https://"&amp;B1064&amp;G1064&amp;"?utm_source="&amp;E1064&amp;"&amp;utm_medium="&amp;F1064&amp;"&amp;utm_campaign="&amp;H1064&amp;"&amp;utm_content="&amp;I1064</f>
        <v>https://eu-ai-act-ready.eu/?utm_source=linkedin_ads&amp;utm_medium=paid_social&amp;utm_campaign=2610_ff_lansare&amp;utm_content=fierbinte_general</v>
      </c>
    </row>
    <row r="1065" customFormat="false" ht="15" hidden="false" customHeight="false" outlineLevel="0" collapsed="false">
      <c r="A1065" s="10" t="s">
        <v>73</v>
      </c>
      <c r="B1065" s="10" t="str">
        <f aca="false">INDEX('Site-uri'!$B$2:$B$20,MATCH(A1065,'Site-uri'!$A$2:$A$20,0))</f>
        <v>eu-ai-act-ready.eu</v>
      </c>
      <c r="C1065" s="10" t="s">
        <v>118</v>
      </c>
      <c r="D1065" s="10" t="s">
        <v>237</v>
      </c>
      <c r="E1065" s="10" t="str">
        <f aca="false">INDEX(Canale!$C$2:$C$30,MATCH(C1065,Canale!$A$2:$A$30,0))</f>
        <v>linkedin_ads</v>
      </c>
      <c r="F1065" s="10" t="str">
        <f aca="false">INDEX(Canale!$D$2:$D$30,MATCH(C1065,Canale!$A$2:$A$30,0))</f>
        <v>paid_social</v>
      </c>
      <c r="G1065" s="10" t="str">
        <f aca="false">INDEX('Site-uri'!$C$2:$C$20,MATCH(A1065,'Site-uri'!$A$2:$A$20,0))</f>
        <v>/</v>
      </c>
      <c r="H1065" s="10" t="str">
        <f aca="false">Config!$B$3</f>
        <v>2610_ff_lansare</v>
      </c>
      <c r="I1065" s="10" t="str">
        <f aca="false">D1065&amp;"_"&amp;Config!$B$4</f>
        <v>client_general</v>
      </c>
      <c r="J1065" s="10" t="str">
        <f aca="false">"https://"&amp;B1065&amp;G1065&amp;"?utm_source="&amp;E1065&amp;"&amp;utm_medium="&amp;F1065&amp;"&amp;utm_campaign="&amp;H1065&amp;"&amp;utm_content="&amp;I1065</f>
        <v>https://eu-ai-act-ready.eu/?utm_source=linkedin_ads&amp;utm_medium=paid_social&amp;utm_campaign=2610_ff_lansare&amp;utm_content=client_general</v>
      </c>
    </row>
    <row r="1066" customFormat="false" ht="15" hidden="false" customHeight="false" outlineLevel="0" collapsed="false">
      <c r="A1066" s="10" t="s">
        <v>73</v>
      </c>
      <c r="B1066" s="10" t="str">
        <f aca="false">INDEX('Site-uri'!$B$2:$B$20,MATCH(A1066,'Site-uri'!$A$2:$A$20,0))</f>
        <v>eu-ai-act-ready.eu</v>
      </c>
      <c r="C1066" s="10" t="s">
        <v>122</v>
      </c>
      <c r="D1066" s="10" t="s">
        <v>219</v>
      </c>
      <c r="E1066" s="10" t="str">
        <f aca="false">INDEX(Canale!$C$2:$C$30,MATCH(C1066,Canale!$A$2:$A$30,0))</f>
        <v>linkedin_dm</v>
      </c>
      <c r="F1066" s="10" t="str">
        <f aca="false">INDEX(Canale!$D$2:$D$30,MATCH(C1066,Canale!$A$2:$A$30,0))</f>
        <v>dm</v>
      </c>
      <c r="G1066" s="10" t="str">
        <f aca="false">INDEX('Site-uri'!$C$2:$C$20,MATCH(A1066,'Site-uri'!$A$2:$A$20,0))</f>
        <v>/</v>
      </c>
      <c r="H1066" s="10" t="str">
        <f aca="false">Config!$B$3</f>
        <v>2610_ff_lansare</v>
      </c>
      <c r="I1066" s="10" t="str">
        <f aca="false">D1066&amp;"_"&amp;Config!$B$4</f>
        <v>rece_general</v>
      </c>
      <c r="J1066" s="10" t="str">
        <f aca="false">"https://"&amp;B1066&amp;G1066&amp;"?utm_source="&amp;E1066&amp;"&amp;utm_medium="&amp;F1066&amp;"&amp;utm_campaign="&amp;H1066&amp;"&amp;utm_content="&amp;I1066</f>
        <v>https://eu-ai-act-ready.eu/?utm_source=linkedin_dm&amp;utm_medium=dm&amp;utm_campaign=2610_ff_lansare&amp;utm_content=rece_general</v>
      </c>
    </row>
    <row r="1067" customFormat="false" ht="15" hidden="false" customHeight="false" outlineLevel="0" collapsed="false">
      <c r="A1067" s="10" t="s">
        <v>73</v>
      </c>
      <c r="B1067" s="10" t="str">
        <f aca="false">INDEX('Site-uri'!$B$2:$B$20,MATCH(A1067,'Site-uri'!$A$2:$A$20,0))</f>
        <v>eu-ai-act-ready.eu</v>
      </c>
      <c r="C1067" s="10" t="s">
        <v>122</v>
      </c>
      <c r="D1067" s="10" t="s">
        <v>225</v>
      </c>
      <c r="E1067" s="10" t="str">
        <f aca="false">INDEX(Canale!$C$2:$C$30,MATCH(C1067,Canale!$A$2:$A$30,0))</f>
        <v>linkedin_dm</v>
      </c>
      <c r="F1067" s="10" t="str">
        <f aca="false">INDEX(Canale!$D$2:$D$30,MATCH(C1067,Canale!$A$2:$A$30,0))</f>
        <v>dm</v>
      </c>
      <c r="G1067" s="10" t="str">
        <f aca="false">INDEX('Site-uri'!$C$2:$C$20,MATCH(A1067,'Site-uri'!$A$2:$A$20,0))</f>
        <v>/</v>
      </c>
      <c r="H1067" s="10" t="str">
        <f aca="false">Config!$B$3</f>
        <v>2610_ff_lansare</v>
      </c>
      <c r="I1067" s="10" t="str">
        <f aca="false">D1067&amp;"_"&amp;Config!$B$4</f>
        <v>cald_general</v>
      </c>
      <c r="J1067" s="10" t="str">
        <f aca="false">"https://"&amp;B1067&amp;G1067&amp;"?utm_source="&amp;E1067&amp;"&amp;utm_medium="&amp;F1067&amp;"&amp;utm_campaign="&amp;H1067&amp;"&amp;utm_content="&amp;I1067</f>
        <v>https://eu-ai-act-ready.eu/?utm_source=linkedin_dm&amp;utm_medium=dm&amp;utm_campaign=2610_ff_lansare&amp;utm_content=cald_general</v>
      </c>
    </row>
    <row r="1068" customFormat="false" ht="15" hidden="false" customHeight="false" outlineLevel="0" collapsed="false">
      <c r="A1068" s="10" t="s">
        <v>73</v>
      </c>
      <c r="B1068" s="10" t="str">
        <f aca="false">INDEX('Site-uri'!$B$2:$B$20,MATCH(A1068,'Site-uri'!$A$2:$A$20,0))</f>
        <v>eu-ai-act-ready.eu</v>
      </c>
      <c r="C1068" s="10" t="s">
        <v>122</v>
      </c>
      <c r="D1068" s="10" t="s">
        <v>231</v>
      </c>
      <c r="E1068" s="10" t="str">
        <f aca="false">INDEX(Canale!$C$2:$C$30,MATCH(C1068,Canale!$A$2:$A$30,0))</f>
        <v>linkedin_dm</v>
      </c>
      <c r="F1068" s="10" t="str">
        <f aca="false">INDEX(Canale!$D$2:$D$30,MATCH(C1068,Canale!$A$2:$A$30,0))</f>
        <v>dm</v>
      </c>
      <c r="G1068" s="10" t="str">
        <f aca="false">INDEX('Site-uri'!$C$2:$C$20,MATCH(A1068,'Site-uri'!$A$2:$A$20,0))</f>
        <v>/</v>
      </c>
      <c r="H1068" s="10" t="str">
        <f aca="false">Config!$B$3</f>
        <v>2610_ff_lansare</v>
      </c>
      <c r="I1068" s="10" t="str">
        <f aca="false">D1068&amp;"_"&amp;Config!$B$4</f>
        <v>fierbinte_general</v>
      </c>
      <c r="J1068" s="10" t="str">
        <f aca="false">"https://"&amp;B1068&amp;G1068&amp;"?utm_source="&amp;E1068&amp;"&amp;utm_medium="&amp;F1068&amp;"&amp;utm_campaign="&amp;H1068&amp;"&amp;utm_content="&amp;I1068</f>
        <v>https://eu-ai-act-ready.eu/?utm_source=linkedin_dm&amp;utm_medium=dm&amp;utm_campaign=2610_ff_lansare&amp;utm_content=fierbinte_general</v>
      </c>
    </row>
    <row r="1069" customFormat="false" ht="15" hidden="false" customHeight="false" outlineLevel="0" collapsed="false">
      <c r="A1069" s="10" t="s">
        <v>73</v>
      </c>
      <c r="B1069" s="10" t="str">
        <f aca="false">INDEX('Site-uri'!$B$2:$B$20,MATCH(A1069,'Site-uri'!$A$2:$A$20,0))</f>
        <v>eu-ai-act-ready.eu</v>
      </c>
      <c r="C1069" s="10" t="s">
        <v>122</v>
      </c>
      <c r="D1069" s="10" t="s">
        <v>237</v>
      </c>
      <c r="E1069" s="10" t="str">
        <f aca="false">INDEX(Canale!$C$2:$C$30,MATCH(C1069,Canale!$A$2:$A$30,0))</f>
        <v>linkedin_dm</v>
      </c>
      <c r="F1069" s="10" t="str">
        <f aca="false">INDEX(Canale!$D$2:$D$30,MATCH(C1069,Canale!$A$2:$A$30,0))</f>
        <v>dm</v>
      </c>
      <c r="G1069" s="10" t="str">
        <f aca="false">INDEX('Site-uri'!$C$2:$C$20,MATCH(A1069,'Site-uri'!$A$2:$A$20,0))</f>
        <v>/</v>
      </c>
      <c r="H1069" s="10" t="str">
        <f aca="false">Config!$B$3</f>
        <v>2610_ff_lansare</v>
      </c>
      <c r="I1069" s="10" t="str">
        <f aca="false">D1069&amp;"_"&amp;Config!$B$4</f>
        <v>client_general</v>
      </c>
      <c r="J1069" s="10" t="str">
        <f aca="false">"https://"&amp;B1069&amp;G1069&amp;"?utm_source="&amp;E1069&amp;"&amp;utm_medium="&amp;F1069&amp;"&amp;utm_campaign="&amp;H1069&amp;"&amp;utm_content="&amp;I1069</f>
        <v>https://eu-ai-act-ready.eu/?utm_source=linkedin_dm&amp;utm_medium=dm&amp;utm_campaign=2610_ff_lansare&amp;utm_content=client_general</v>
      </c>
    </row>
    <row r="1070" customFormat="false" ht="15" hidden="false" customHeight="false" outlineLevel="0" collapsed="false">
      <c r="A1070" s="10" t="s">
        <v>73</v>
      </c>
      <c r="B1070" s="10" t="str">
        <f aca="false">INDEX('Site-uri'!$B$2:$B$20,MATCH(A1070,'Site-uri'!$A$2:$A$20,0))</f>
        <v>eu-ai-act-ready.eu</v>
      </c>
      <c r="C1070" s="10" t="s">
        <v>126</v>
      </c>
      <c r="D1070" s="10" t="s">
        <v>219</v>
      </c>
      <c r="E1070" s="10" t="str">
        <f aca="false">INDEX(Canale!$C$2:$C$30,MATCH(C1070,Canale!$A$2:$A$30,0))</f>
        <v>email_outreach</v>
      </c>
      <c r="F1070" s="10" t="str">
        <f aca="false">INDEX(Canale!$D$2:$D$30,MATCH(C1070,Canale!$A$2:$A$30,0))</f>
        <v>email</v>
      </c>
      <c r="G1070" s="10" t="str">
        <f aca="false">INDEX('Site-uri'!$C$2:$C$20,MATCH(A1070,'Site-uri'!$A$2:$A$20,0))</f>
        <v>/</v>
      </c>
      <c r="H1070" s="10" t="str">
        <f aca="false">Config!$B$3</f>
        <v>2610_ff_lansare</v>
      </c>
      <c r="I1070" s="10" t="str">
        <f aca="false">D1070&amp;"_"&amp;Config!$B$4</f>
        <v>rece_general</v>
      </c>
      <c r="J1070" s="10" t="str">
        <f aca="false">"https://"&amp;B1070&amp;G1070&amp;"?utm_source="&amp;E1070&amp;"&amp;utm_medium="&amp;F1070&amp;"&amp;utm_campaign="&amp;H1070&amp;"&amp;utm_content="&amp;I1070</f>
        <v>https://eu-ai-act-ready.eu/?utm_source=email_outreach&amp;utm_medium=email&amp;utm_campaign=2610_ff_lansare&amp;utm_content=rece_general</v>
      </c>
    </row>
    <row r="1071" customFormat="false" ht="15" hidden="false" customHeight="false" outlineLevel="0" collapsed="false">
      <c r="A1071" s="10" t="s">
        <v>73</v>
      </c>
      <c r="B1071" s="10" t="str">
        <f aca="false">INDEX('Site-uri'!$B$2:$B$20,MATCH(A1071,'Site-uri'!$A$2:$A$20,0))</f>
        <v>eu-ai-act-ready.eu</v>
      </c>
      <c r="C1071" s="10" t="s">
        <v>126</v>
      </c>
      <c r="D1071" s="10" t="s">
        <v>225</v>
      </c>
      <c r="E1071" s="10" t="str">
        <f aca="false">INDEX(Canale!$C$2:$C$30,MATCH(C1071,Canale!$A$2:$A$30,0))</f>
        <v>email_outreach</v>
      </c>
      <c r="F1071" s="10" t="str">
        <f aca="false">INDEX(Canale!$D$2:$D$30,MATCH(C1071,Canale!$A$2:$A$30,0))</f>
        <v>email</v>
      </c>
      <c r="G1071" s="10" t="str">
        <f aca="false">INDEX('Site-uri'!$C$2:$C$20,MATCH(A1071,'Site-uri'!$A$2:$A$20,0))</f>
        <v>/</v>
      </c>
      <c r="H1071" s="10" t="str">
        <f aca="false">Config!$B$3</f>
        <v>2610_ff_lansare</v>
      </c>
      <c r="I1071" s="10" t="str">
        <f aca="false">D1071&amp;"_"&amp;Config!$B$4</f>
        <v>cald_general</v>
      </c>
      <c r="J1071" s="10" t="str">
        <f aca="false">"https://"&amp;B1071&amp;G1071&amp;"?utm_source="&amp;E1071&amp;"&amp;utm_medium="&amp;F1071&amp;"&amp;utm_campaign="&amp;H1071&amp;"&amp;utm_content="&amp;I1071</f>
        <v>https://eu-ai-act-ready.eu/?utm_source=email_outreach&amp;utm_medium=email&amp;utm_campaign=2610_ff_lansare&amp;utm_content=cald_general</v>
      </c>
    </row>
    <row r="1072" customFormat="false" ht="15" hidden="false" customHeight="false" outlineLevel="0" collapsed="false">
      <c r="A1072" s="10" t="s">
        <v>73</v>
      </c>
      <c r="B1072" s="10" t="str">
        <f aca="false">INDEX('Site-uri'!$B$2:$B$20,MATCH(A1072,'Site-uri'!$A$2:$A$20,0))</f>
        <v>eu-ai-act-ready.eu</v>
      </c>
      <c r="C1072" s="10" t="s">
        <v>126</v>
      </c>
      <c r="D1072" s="10" t="s">
        <v>231</v>
      </c>
      <c r="E1072" s="10" t="str">
        <f aca="false">INDEX(Canale!$C$2:$C$30,MATCH(C1072,Canale!$A$2:$A$30,0))</f>
        <v>email_outreach</v>
      </c>
      <c r="F1072" s="10" t="str">
        <f aca="false">INDEX(Canale!$D$2:$D$30,MATCH(C1072,Canale!$A$2:$A$30,0))</f>
        <v>email</v>
      </c>
      <c r="G1072" s="10" t="str">
        <f aca="false">INDEX('Site-uri'!$C$2:$C$20,MATCH(A1072,'Site-uri'!$A$2:$A$20,0))</f>
        <v>/</v>
      </c>
      <c r="H1072" s="10" t="str">
        <f aca="false">Config!$B$3</f>
        <v>2610_ff_lansare</v>
      </c>
      <c r="I1072" s="10" t="str">
        <f aca="false">D1072&amp;"_"&amp;Config!$B$4</f>
        <v>fierbinte_general</v>
      </c>
      <c r="J1072" s="10" t="str">
        <f aca="false">"https://"&amp;B1072&amp;G1072&amp;"?utm_source="&amp;E1072&amp;"&amp;utm_medium="&amp;F1072&amp;"&amp;utm_campaign="&amp;H1072&amp;"&amp;utm_content="&amp;I1072</f>
        <v>https://eu-ai-act-ready.eu/?utm_source=email_outreach&amp;utm_medium=email&amp;utm_campaign=2610_ff_lansare&amp;utm_content=fierbinte_general</v>
      </c>
    </row>
    <row r="1073" customFormat="false" ht="15" hidden="false" customHeight="false" outlineLevel="0" collapsed="false">
      <c r="A1073" s="10" t="s">
        <v>73</v>
      </c>
      <c r="B1073" s="10" t="str">
        <f aca="false">INDEX('Site-uri'!$B$2:$B$20,MATCH(A1073,'Site-uri'!$A$2:$A$20,0))</f>
        <v>eu-ai-act-ready.eu</v>
      </c>
      <c r="C1073" s="10" t="s">
        <v>126</v>
      </c>
      <c r="D1073" s="10" t="s">
        <v>237</v>
      </c>
      <c r="E1073" s="10" t="str">
        <f aca="false">INDEX(Canale!$C$2:$C$30,MATCH(C1073,Canale!$A$2:$A$30,0))</f>
        <v>email_outreach</v>
      </c>
      <c r="F1073" s="10" t="str">
        <f aca="false">INDEX(Canale!$D$2:$D$30,MATCH(C1073,Canale!$A$2:$A$30,0))</f>
        <v>email</v>
      </c>
      <c r="G1073" s="10" t="str">
        <f aca="false">INDEX('Site-uri'!$C$2:$C$20,MATCH(A1073,'Site-uri'!$A$2:$A$20,0))</f>
        <v>/</v>
      </c>
      <c r="H1073" s="10" t="str">
        <f aca="false">Config!$B$3</f>
        <v>2610_ff_lansare</v>
      </c>
      <c r="I1073" s="10" t="str">
        <f aca="false">D1073&amp;"_"&amp;Config!$B$4</f>
        <v>client_general</v>
      </c>
      <c r="J1073" s="10" t="str">
        <f aca="false">"https://"&amp;B1073&amp;G1073&amp;"?utm_source="&amp;E1073&amp;"&amp;utm_medium="&amp;F1073&amp;"&amp;utm_campaign="&amp;H1073&amp;"&amp;utm_content="&amp;I1073</f>
        <v>https://eu-ai-act-ready.eu/?utm_source=email_outreach&amp;utm_medium=email&amp;utm_campaign=2610_ff_lansare&amp;utm_content=client_general</v>
      </c>
    </row>
    <row r="1074" customFormat="false" ht="15" hidden="false" customHeight="false" outlineLevel="0" collapsed="false">
      <c r="A1074" s="10" t="s">
        <v>73</v>
      </c>
      <c r="B1074" s="10" t="str">
        <f aca="false">INDEX('Site-uri'!$B$2:$B$20,MATCH(A1074,'Site-uri'!$A$2:$A$20,0))</f>
        <v>eu-ai-act-ready.eu</v>
      </c>
      <c r="C1074" s="10" t="s">
        <v>131</v>
      </c>
      <c r="D1074" s="10" t="s">
        <v>219</v>
      </c>
      <c r="E1074" s="10" t="str">
        <f aca="false">INDEX(Canale!$C$2:$C$30,MATCH(C1074,Canale!$A$2:$A$30,0))</f>
        <v>newsletter</v>
      </c>
      <c r="F1074" s="10" t="str">
        <f aca="false">INDEX(Canale!$D$2:$D$30,MATCH(C1074,Canale!$A$2:$A$30,0))</f>
        <v>email</v>
      </c>
      <c r="G1074" s="10" t="str">
        <f aca="false">INDEX('Site-uri'!$C$2:$C$20,MATCH(A1074,'Site-uri'!$A$2:$A$20,0))</f>
        <v>/</v>
      </c>
      <c r="H1074" s="10" t="str">
        <f aca="false">Config!$B$3</f>
        <v>2610_ff_lansare</v>
      </c>
      <c r="I1074" s="10" t="str">
        <f aca="false">D1074&amp;"_"&amp;Config!$B$4</f>
        <v>rece_general</v>
      </c>
      <c r="J1074" s="10" t="str">
        <f aca="false">"https://"&amp;B1074&amp;G1074&amp;"?utm_source="&amp;E1074&amp;"&amp;utm_medium="&amp;F1074&amp;"&amp;utm_campaign="&amp;H1074&amp;"&amp;utm_content="&amp;I1074</f>
        <v>https://eu-ai-act-ready.eu/?utm_source=newsletter&amp;utm_medium=email&amp;utm_campaign=2610_ff_lansare&amp;utm_content=rece_general</v>
      </c>
    </row>
    <row r="1075" customFormat="false" ht="15" hidden="false" customHeight="false" outlineLevel="0" collapsed="false">
      <c r="A1075" s="10" t="s">
        <v>73</v>
      </c>
      <c r="B1075" s="10" t="str">
        <f aca="false">INDEX('Site-uri'!$B$2:$B$20,MATCH(A1075,'Site-uri'!$A$2:$A$20,0))</f>
        <v>eu-ai-act-ready.eu</v>
      </c>
      <c r="C1075" s="10" t="s">
        <v>131</v>
      </c>
      <c r="D1075" s="10" t="s">
        <v>225</v>
      </c>
      <c r="E1075" s="10" t="str">
        <f aca="false">INDEX(Canale!$C$2:$C$30,MATCH(C1075,Canale!$A$2:$A$30,0))</f>
        <v>newsletter</v>
      </c>
      <c r="F1075" s="10" t="str">
        <f aca="false">INDEX(Canale!$D$2:$D$30,MATCH(C1075,Canale!$A$2:$A$30,0))</f>
        <v>email</v>
      </c>
      <c r="G1075" s="10" t="str">
        <f aca="false">INDEX('Site-uri'!$C$2:$C$20,MATCH(A1075,'Site-uri'!$A$2:$A$20,0))</f>
        <v>/</v>
      </c>
      <c r="H1075" s="10" t="str">
        <f aca="false">Config!$B$3</f>
        <v>2610_ff_lansare</v>
      </c>
      <c r="I1075" s="10" t="str">
        <f aca="false">D1075&amp;"_"&amp;Config!$B$4</f>
        <v>cald_general</v>
      </c>
      <c r="J1075" s="10" t="str">
        <f aca="false">"https://"&amp;B1075&amp;G1075&amp;"?utm_source="&amp;E1075&amp;"&amp;utm_medium="&amp;F1075&amp;"&amp;utm_campaign="&amp;H1075&amp;"&amp;utm_content="&amp;I1075</f>
        <v>https://eu-ai-act-ready.eu/?utm_source=newsletter&amp;utm_medium=email&amp;utm_campaign=2610_ff_lansare&amp;utm_content=cald_general</v>
      </c>
    </row>
    <row r="1076" customFormat="false" ht="15" hidden="false" customHeight="false" outlineLevel="0" collapsed="false">
      <c r="A1076" s="10" t="s">
        <v>73</v>
      </c>
      <c r="B1076" s="10" t="str">
        <f aca="false">INDEX('Site-uri'!$B$2:$B$20,MATCH(A1076,'Site-uri'!$A$2:$A$20,0))</f>
        <v>eu-ai-act-ready.eu</v>
      </c>
      <c r="C1076" s="10" t="s">
        <v>131</v>
      </c>
      <c r="D1076" s="10" t="s">
        <v>231</v>
      </c>
      <c r="E1076" s="10" t="str">
        <f aca="false">INDEX(Canale!$C$2:$C$30,MATCH(C1076,Canale!$A$2:$A$30,0))</f>
        <v>newsletter</v>
      </c>
      <c r="F1076" s="10" t="str">
        <f aca="false">INDEX(Canale!$D$2:$D$30,MATCH(C1076,Canale!$A$2:$A$30,0))</f>
        <v>email</v>
      </c>
      <c r="G1076" s="10" t="str">
        <f aca="false">INDEX('Site-uri'!$C$2:$C$20,MATCH(A1076,'Site-uri'!$A$2:$A$20,0))</f>
        <v>/</v>
      </c>
      <c r="H1076" s="10" t="str">
        <f aca="false">Config!$B$3</f>
        <v>2610_ff_lansare</v>
      </c>
      <c r="I1076" s="10" t="str">
        <f aca="false">D1076&amp;"_"&amp;Config!$B$4</f>
        <v>fierbinte_general</v>
      </c>
      <c r="J1076" s="10" t="str">
        <f aca="false">"https://"&amp;B1076&amp;G1076&amp;"?utm_source="&amp;E1076&amp;"&amp;utm_medium="&amp;F1076&amp;"&amp;utm_campaign="&amp;H1076&amp;"&amp;utm_content="&amp;I1076</f>
        <v>https://eu-ai-act-ready.eu/?utm_source=newsletter&amp;utm_medium=email&amp;utm_campaign=2610_ff_lansare&amp;utm_content=fierbinte_general</v>
      </c>
    </row>
    <row r="1077" customFormat="false" ht="15" hidden="false" customHeight="false" outlineLevel="0" collapsed="false">
      <c r="A1077" s="10" t="s">
        <v>73</v>
      </c>
      <c r="B1077" s="10" t="str">
        <f aca="false">INDEX('Site-uri'!$B$2:$B$20,MATCH(A1077,'Site-uri'!$A$2:$A$20,0))</f>
        <v>eu-ai-act-ready.eu</v>
      </c>
      <c r="C1077" s="10" t="s">
        <v>131</v>
      </c>
      <c r="D1077" s="10" t="s">
        <v>237</v>
      </c>
      <c r="E1077" s="10" t="str">
        <f aca="false">INDEX(Canale!$C$2:$C$30,MATCH(C1077,Canale!$A$2:$A$30,0))</f>
        <v>newsletter</v>
      </c>
      <c r="F1077" s="10" t="str">
        <f aca="false">INDEX(Canale!$D$2:$D$30,MATCH(C1077,Canale!$A$2:$A$30,0))</f>
        <v>email</v>
      </c>
      <c r="G1077" s="10" t="str">
        <f aca="false">INDEX('Site-uri'!$C$2:$C$20,MATCH(A1077,'Site-uri'!$A$2:$A$20,0))</f>
        <v>/</v>
      </c>
      <c r="H1077" s="10" t="str">
        <f aca="false">Config!$B$3</f>
        <v>2610_ff_lansare</v>
      </c>
      <c r="I1077" s="10" t="str">
        <f aca="false">D1077&amp;"_"&amp;Config!$B$4</f>
        <v>client_general</v>
      </c>
      <c r="J1077" s="10" t="str">
        <f aca="false">"https://"&amp;B1077&amp;G1077&amp;"?utm_source="&amp;E1077&amp;"&amp;utm_medium="&amp;F1077&amp;"&amp;utm_campaign="&amp;H1077&amp;"&amp;utm_content="&amp;I1077</f>
        <v>https://eu-ai-act-ready.eu/?utm_source=newsletter&amp;utm_medium=email&amp;utm_campaign=2610_ff_lansare&amp;utm_content=client_general</v>
      </c>
    </row>
    <row r="1078" customFormat="false" ht="15" hidden="false" customHeight="false" outlineLevel="0" collapsed="false">
      <c r="A1078" s="10" t="s">
        <v>73</v>
      </c>
      <c r="B1078" s="10" t="str">
        <f aca="false">INDEX('Site-uri'!$B$2:$B$20,MATCH(A1078,'Site-uri'!$A$2:$A$20,0))</f>
        <v>eu-ai-act-ready.eu</v>
      </c>
      <c r="C1078" s="10" t="s">
        <v>134</v>
      </c>
      <c r="D1078" s="10" t="s">
        <v>219</v>
      </c>
      <c r="E1078" s="10" t="str">
        <f aca="false">INDEX(Canale!$C$2:$C$30,MATCH(C1078,Canale!$A$2:$A$30,0))</f>
        <v>email_signature</v>
      </c>
      <c r="F1078" s="10" t="str">
        <f aca="false">INDEX(Canale!$D$2:$D$30,MATCH(C1078,Canale!$A$2:$A$30,0))</f>
        <v>email</v>
      </c>
      <c r="G1078" s="10" t="str">
        <f aca="false">INDEX('Site-uri'!$C$2:$C$20,MATCH(A1078,'Site-uri'!$A$2:$A$20,0))</f>
        <v>/</v>
      </c>
      <c r="H1078" s="10" t="str">
        <f aca="false">Config!$B$3</f>
        <v>2610_ff_lansare</v>
      </c>
      <c r="I1078" s="10" t="str">
        <f aca="false">D1078&amp;"_"&amp;Config!$B$4</f>
        <v>rece_general</v>
      </c>
      <c r="J1078" s="10" t="str">
        <f aca="false">"https://"&amp;B1078&amp;G1078&amp;"?utm_source="&amp;E1078&amp;"&amp;utm_medium="&amp;F1078&amp;"&amp;utm_campaign="&amp;H1078&amp;"&amp;utm_content="&amp;I1078</f>
        <v>https://eu-ai-act-ready.eu/?utm_source=email_signature&amp;utm_medium=email&amp;utm_campaign=2610_ff_lansare&amp;utm_content=rece_general</v>
      </c>
    </row>
    <row r="1079" customFormat="false" ht="15" hidden="false" customHeight="false" outlineLevel="0" collapsed="false">
      <c r="A1079" s="10" t="s">
        <v>73</v>
      </c>
      <c r="B1079" s="10" t="str">
        <f aca="false">INDEX('Site-uri'!$B$2:$B$20,MATCH(A1079,'Site-uri'!$A$2:$A$20,0))</f>
        <v>eu-ai-act-ready.eu</v>
      </c>
      <c r="C1079" s="10" t="s">
        <v>134</v>
      </c>
      <c r="D1079" s="10" t="s">
        <v>225</v>
      </c>
      <c r="E1079" s="10" t="str">
        <f aca="false">INDEX(Canale!$C$2:$C$30,MATCH(C1079,Canale!$A$2:$A$30,0))</f>
        <v>email_signature</v>
      </c>
      <c r="F1079" s="10" t="str">
        <f aca="false">INDEX(Canale!$D$2:$D$30,MATCH(C1079,Canale!$A$2:$A$30,0))</f>
        <v>email</v>
      </c>
      <c r="G1079" s="10" t="str">
        <f aca="false">INDEX('Site-uri'!$C$2:$C$20,MATCH(A1079,'Site-uri'!$A$2:$A$20,0))</f>
        <v>/</v>
      </c>
      <c r="H1079" s="10" t="str">
        <f aca="false">Config!$B$3</f>
        <v>2610_ff_lansare</v>
      </c>
      <c r="I1079" s="10" t="str">
        <f aca="false">D1079&amp;"_"&amp;Config!$B$4</f>
        <v>cald_general</v>
      </c>
      <c r="J1079" s="10" t="str">
        <f aca="false">"https://"&amp;B1079&amp;G1079&amp;"?utm_source="&amp;E1079&amp;"&amp;utm_medium="&amp;F1079&amp;"&amp;utm_campaign="&amp;H1079&amp;"&amp;utm_content="&amp;I1079</f>
        <v>https://eu-ai-act-ready.eu/?utm_source=email_signature&amp;utm_medium=email&amp;utm_campaign=2610_ff_lansare&amp;utm_content=cald_general</v>
      </c>
    </row>
    <row r="1080" customFormat="false" ht="15" hidden="false" customHeight="false" outlineLevel="0" collapsed="false">
      <c r="A1080" s="10" t="s">
        <v>73</v>
      </c>
      <c r="B1080" s="10" t="str">
        <f aca="false">INDEX('Site-uri'!$B$2:$B$20,MATCH(A1080,'Site-uri'!$A$2:$A$20,0))</f>
        <v>eu-ai-act-ready.eu</v>
      </c>
      <c r="C1080" s="10" t="s">
        <v>134</v>
      </c>
      <c r="D1080" s="10" t="s">
        <v>231</v>
      </c>
      <c r="E1080" s="10" t="str">
        <f aca="false">INDEX(Canale!$C$2:$C$30,MATCH(C1080,Canale!$A$2:$A$30,0))</f>
        <v>email_signature</v>
      </c>
      <c r="F1080" s="10" t="str">
        <f aca="false">INDEX(Canale!$D$2:$D$30,MATCH(C1080,Canale!$A$2:$A$30,0))</f>
        <v>email</v>
      </c>
      <c r="G1080" s="10" t="str">
        <f aca="false">INDEX('Site-uri'!$C$2:$C$20,MATCH(A1080,'Site-uri'!$A$2:$A$20,0))</f>
        <v>/</v>
      </c>
      <c r="H1080" s="10" t="str">
        <f aca="false">Config!$B$3</f>
        <v>2610_ff_lansare</v>
      </c>
      <c r="I1080" s="10" t="str">
        <f aca="false">D1080&amp;"_"&amp;Config!$B$4</f>
        <v>fierbinte_general</v>
      </c>
      <c r="J1080" s="10" t="str">
        <f aca="false">"https://"&amp;B1080&amp;G1080&amp;"?utm_source="&amp;E1080&amp;"&amp;utm_medium="&amp;F1080&amp;"&amp;utm_campaign="&amp;H1080&amp;"&amp;utm_content="&amp;I1080</f>
        <v>https://eu-ai-act-ready.eu/?utm_source=email_signature&amp;utm_medium=email&amp;utm_campaign=2610_ff_lansare&amp;utm_content=fierbinte_general</v>
      </c>
    </row>
    <row r="1081" customFormat="false" ht="15" hidden="false" customHeight="false" outlineLevel="0" collapsed="false">
      <c r="A1081" s="10" t="s">
        <v>73</v>
      </c>
      <c r="B1081" s="10" t="str">
        <f aca="false">INDEX('Site-uri'!$B$2:$B$20,MATCH(A1081,'Site-uri'!$A$2:$A$20,0))</f>
        <v>eu-ai-act-ready.eu</v>
      </c>
      <c r="C1081" s="10" t="s">
        <v>134</v>
      </c>
      <c r="D1081" s="10" t="s">
        <v>237</v>
      </c>
      <c r="E1081" s="10" t="str">
        <f aca="false">INDEX(Canale!$C$2:$C$30,MATCH(C1081,Canale!$A$2:$A$30,0))</f>
        <v>email_signature</v>
      </c>
      <c r="F1081" s="10" t="str">
        <f aca="false">INDEX(Canale!$D$2:$D$30,MATCH(C1081,Canale!$A$2:$A$30,0))</f>
        <v>email</v>
      </c>
      <c r="G1081" s="10" t="str">
        <f aca="false">INDEX('Site-uri'!$C$2:$C$20,MATCH(A1081,'Site-uri'!$A$2:$A$20,0))</f>
        <v>/</v>
      </c>
      <c r="H1081" s="10" t="str">
        <f aca="false">Config!$B$3</f>
        <v>2610_ff_lansare</v>
      </c>
      <c r="I1081" s="10" t="str">
        <f aca="false">D1081&amp;"_"&amp;Config!$B$4</f>
        <v>client_general</v>
      </c>
      <c r="J1081" s="10" t="str">
        <f aca="false">"https://"&amp;B1081&amp;G1081&amp;"?utm_source="&amp;E1081&amp;"&amp;utm_medium="&amp;F1081&amp;"&amp;utm_campaign="&amp;H1081&amp;"&amp;utm_content="&amp;I1081</f>
        <v>https://eu-ai-act-ready.eu/?utm_source=email_signature&amp;utm_medium=email&amp;utm_campaign=2610_ff_lansare&amp;utm_content=client_general</v>
      </c>
    </row>
    <row r="1082" customFormat="false" ht="15" hidden="false" customHeight="false" outlineLevel="0" collapsed="false">
      <c r="A1082" s="10" t="s">
        <v>73</v>
      </c>
      <c r="B1082" s="10" t="str">
        <f aca="false">INDEX('Site-uri'!$B$2:$B$20,MATCH(A1082,'Site-uri'!$A$2:$A$20,0))</f>
        <v>eu-ai-act-ready.eu</v>
      </c>
      <c r="C1082" s="10" t="s">
        <v>137</v>
      </c>
      <c r="D1082" s="10" t="s">
        <v>219</v>
      </c>
      <c r="E1082" s="10" t="str">
        <f aca="false">INDEX(Canale!$C$2:$C$30,MATCH(C1082,Canale!$A$2:$A$30,0))</f>
        <v>whatsapp</v>
      </c>
      <c r="F1082" s="10" t="str">
        <f aca="false">INDEX(Canale!$D$2:$D$30,MATCH(C1082,Canale!$A$2:$A$30,0))</f>
        <v>dm</v>
      </c>
      <c r="G1082" s="10" t="str">
        <f aca="false">INDEX('Site-uri'!$C$2:$C$20,MATCH(A1082,'Site-uri'!$A$2:$A$20,0))</f>
        <v>/</v>
      </c>
      <c r="H1082" s="10" t="str">
        <f aca="false">Config!$B$3</f>
        <v>2610_ff_lansare</v>
      </c>
      <c r="I1082" s="10" t="str">
        <f aca="false">D1082&amp;"_"&amp;Config!$B$4</f>
        <v>rece_general</v>
      </c>
      <c r="J1082" s="10" t="str">
        <f aca="false">"https://"&amp;B1082&amp;G1082&amp;"?utm_source="&amp;E1082&amp;"&amp;utm_medium="&amp;F1082&amp;"&amp;utm_campaign="&amp;H1082&amp;"&amp;utm_content="&amp;I1082</f>
        <v>https://eu-ai-act-ready.eu/?utm_source=whatsapp&amp;utm_medium=dm&amp;utm_campaign=2610_ff_lansare&amp;utm_content=rece_general</v>
      </c>
    </row>
    <row r="1083" customFormat="false" ht="15" hidden="false" customHeight="false" outlineLevel="0" collapsed="false">
      <c r="A1083" s="10" t="s">
        <v>73</v>
      </c>
      <c r="B1083" s="10" t="str">
        <f aca="false">INDEX('Site-uri'!$B$2:$B$20,MATCH(A1083,'Site-uri'!$A$2:$A$20,0))</f>
        <v>eu-ai-act-ready.eu</v>
      </c>
      <c r="C1083" s="10" t="s">
        <v>137</v>
      </c>
      <c r="D1083" s="10" t="s">
        <v>225</v>
      </c>
      <c r="E1083" s="10" t="str">
        <f aca="false">INDEX(Canale!$C$2:$C$30,MATCH(C1083,Canale!$A$2:$A$30,0))</f>
        <v>whatsapp</v>
      </c>
      <c r="F1083" s="10" t="str">
        <f aca="false">INDEX(Canale!$D$2:$D$30,MATCH(C1083,Canale!$A$2:$A$30,0))</f>
        <v>dm</v>
      </c>
      <c r="G1083" s="10" t="str">
        <f aca="false">INDEX('Site-uri'!$C$2:$C$20,MATCH(A1083,'Site-uri'!$A$2:$A$20,0))</f>
        <v>/</v>
      </c>
      <c r="H1083" s="10" t="str">
        <f aca="false">Config!$B$3</f>
        <v>2610_ff_lansare</v>
      </c>
      <c r="I1083" s="10" t="str">
        <f aca="false">D1083&amp;"_"&amp;Config!$B$4</f>
        <v>cald_general</v>
      </c>
      <c r="J1083" s="10" t="str">
        <f aca="false">"https://"&amp;B1083&amp;G1083&amp;"?utm_source="&amp;E1083&amp;"&amp;utm_medium="&amp;F1083&amp;"&amp;utm_campaign="&amp;H1083&amp;"&amp;utm_content="&amp;I1083</f>
        <v>https://eu-ai-act-ready.eu/?utm_source=whatsapp&amp;utm_medium=dm&amp;utm_campaign=2610_ff_lansare&amp;utm_content=cald_general</v>
      </c>
    </row>
    <row r="1084" customFormat="false" ht="15" hidden="false" customHeight="false" outlineLevel="0" collapsed="false">
      <c r="A1084" s="10" t="s">
        <v>73</v>
      </c>
      <c r="B1084" s="10" t="str">
        <f aca="false">INDEX('Site-uri'!$B$2:$B$20,MATCH(A1084,'Site-uri'!$A$2:$A$20,0))</f>
        <v>eu-ai-act-ready.eu</v>
      </c>
      <c r="C1084" s="10" t="s">
        <v>137</v>
      </c>
      <c r="D1084" s="10" t="s">
        <v>231</v>
      </c>
      <c r="E1084" s="10" t="str">
        <f aca="false">INDEX(Canale!$C$2:$C$30,MATCH(C1084,Canale!$A$2:$A$30,0))</f>
        <v>whatsapp</v>
      </c>
      <c r="F1084" s="10" t="str">
        <f aca="false">INDEX(Canale!$D$2:$D$30,MATCH(C1084,Canale!$A$2:$A$30,0))</f>
        <v>dm</v>
      </c>
      <c r="G1084" s="10" t="str">
        <f aca="false">INDEX('Site-uri'!$C$2:$C$20,MATCH(A1084,'Site-uri'!$A$2:$A$20,0))</f>
        <v>/</v>
      </c>
      <c r="H1084" s="10" t="str">
        <f aca="false">Config!$B$3</f>
        <v>2610_ff_lansare</v>
      </c>
      <c r="I1084" s="10" t="str">
        <f aca="false">D1084&amp;"_"&amp;Config!$B$4</f>
        <v>fierbinte_general</v>
      </c>
      <c r="J1084" s="10" t="str">
        <f aca="false">"https://"&amp;B1084&amp;G1084&amp;"?utm_source="&amp;E1084&amp;"&amp;utm_medium="&amp;F1084&amp;"&amp;utm_campaign="&amp;H1084&amp;"&amp;utm_content="&amp;I1084</f>
        <v>https://eu-ai-act-ready.eu/?utm_source=whatsapp&amp;utm_medium=dm&amp;utm_campaign=2610_ff_lansare&amp;utm_content=fierbinte_general</v>
      </c>
    </row>
    <row r="1085" customFormat="false" ht="15" hidden="false" customHeight="false" outlineLevel="0" collapsed="false">
      <c r="A1085" s="10" t="s">
        <v>73</v>
      </c>
      <c r="B1085" s="10" t="str">
        <f aca="false">INDEX('Site-uri'!$B$2:$B$20,MATCH(A1085,'Site-uri'!$A$2:$A$20,0))</f>
        <v>eu-ai-act-ready.eu</v>
      </c>
      <c r="C1085" s="10" t="s">
        <v>137</v>
      </c>
      <c r="D1085" s="10" t="s">
        <v>237</v>
      </c>
      <c r="E1085" s="10" t="str">
        <f aca="false">INDEX(Canale!$C$2:$C$30,MATCH(C1085,Canale!$A$2:$A$30,0))</f>
        <v>whatsapp</v>
      </c>
      <c r="F1085" s="10" t="str">
        <f aca="false">INDEX(Canale!$D$2:$D$30,MATCH(C1085,Canale!$A$2:$A$30,0))</f>
        <v>dm</v>
      </c>
      <c r="G1085" s="10" t="str">
        <f aca="false">INDEX('Site-uri'!$C$2:$C$20,MATCH(A1085,'Site-uri'!$A$2:$A$20,0))</f>
        <v>/</v>
      </c>
      <c r="H1085" s="10" t="str">
        <f aca="false">Config!$B$3</f>
        <v>2610_ff_lansare</v>
      </c>
      <c r="I1085" s="10" t="str">
        <f aca="false">D1085&amp;"_"&amp;Config!$B$4</f>
        <v>client_general</v>
      </c>
      <c r="J1085" s="10" t="str">
        <f aca="false">"https://"&amp;B1085&amp;G1085&amp;"?utm_source="&amp;E1085&amp;"&amp;utm_medium="&amp;F1085&amp;"&amp;utm_campaign="&amp;H1085&amp;"&amp;utm_content="&amp;I1085</f>
        <v>https://eu-ai-act-ready.eu/?utm_source=whatsapp&amp;utm_medium=dm&amp;utm_campaign=2610_ff_lansare&amp;utm_content=client_general</v>
      </c>
    </row>
    <row r="1086" customFormat="false" ht="15" hidden="false" customHeight="false" outlineLevel="0" collapsed="false">
      <c r="A1086" s="10" t="s">
        <v>73</v>
      </c>
      <c r="B1086" s="10" t="str">
        <f aca="false">INDEX('Site-uri'!$B$2:$B$20,MATCH(A1086,'Site-uri'!$A$2:$A$20,0))</f>
        <v>eu-ai-act-ready.eu</v>
      </c>
      <c r="C1086" s="10" t="s">
        <v>141</v>
      </c>
      <c r="D1086" s="10" t="s">
        <v>219</v>
      </c>
      <c r="E1086" s="10" t="str">
        <f aca="false">INDEX(Canale!$C$2:$C$30,MATCH(C1086,Canale!$A$2:$A$30,0))</f>
        <v>google</v>
      </c>
      <c r="F1086" s="10" t="str">
        <f aca="false">INDEX(Canale!$D$2:$D$30,MATCH(C1086,Canale!$A$2:$A$30,0))</f>
        <v>cpc</v>
      </c>
      <c r="G1086" s="10" t="str">
        <f aca="false">INDEX('Site-uri'!$C$2:$C$20,MATCH(A1086,'Site-uri'!$A$2:$A$20,0))</f>
        <v>/</v>
      </c>
      <c r="H1086" s="10" t="str">
        <f aca="false">Config!$B$3</f>
        <v>2610_ff_lansare</v>
      </c>
      <c r="I1086" s="10" t="str">
        <f aca="false">D1086&amp;"_"&amp;Config!$B$4</f>
        <v>rece_general</v>
      </c>
      <c r="J1086" s="10" t="str">
        <f aca="false">"https://"&amp;B1086&amp;G1086&amp;"?utm_source="&amp;E1086&amp;"&amp;utm_medium="&amp;F1086&amp;"&amp;utm_campaign="&amp;H1086&amp;"&amp;utm_content="&amp;I1086</f>
        <v>https://eu-ai-act-ready.eu/?utm_source=google&amp;utm_medium=cpc&amp;utm_campaign=2610_ff_lansare&amp;utm_content=rece_general</v>
      </c>
    </row>
    <row r="1087" customFormat="false" ht="15" hidden="false" customHeight="false" outlineLevel="0" collapsed="false">
      <c r="A1087" s="10" t="s">
        <v>73</v>
      </c>
      <c r="B1087" s="10" t="str">
        <f aca="false">INDEX('Site-uri'!$B$2:$B$20,MATCH(A1087,'Site-uri'!$A$2:$A$20,0))</f>
        <v>eu-ai-act-ready.eu</v>
      </c>
      <c r="C1087" s="10" t="s">
        <v>141</v>
      </c>
      <c r="D1087" s="10" t="s">
        <v>225</v>
      </c>
      <c r="E1087" s="10" t="str">
        <f aca="false">INDEX(Canale!$C$2:$C$30,MATCH(C1087,Canale!$A$2:$A$30,0))</f>
        <v>google</v>
      </c>
      <c r="F1087" s="10" t="str">
        <f aca="false">INDEX(Canale!$D$2:$D$30,MATCH(C1087,Canale!$A$2:$A$30,0))</f>
        <v>cpc</v>
      </c>
      <c r="G1087" s="10" t="str">
        <f aca="false">INDEX('Site-uri'!$C$2:$C$20,MATCH(A1087,'Site-uri'!$A$2:$A$20,0))</f>
        <v>/</v>
      </c>
      <c r="H1087" s="10" t="str">
        <f aca="false">Config!$B$3</f>
        <v>2610_ff_lansare</v>
      </c>
      <c r="I1087" s="10" t="str">
        <f aca="false">D1087&amp;"_"&amp;Config!$B$4</f>
        <v>cald_general</v>
      </c>
      <c r="J1087" s="10" t="str">
        <f aca="false">"https://"&amp;B1087&amp;G1087&amp;"?utm_source="&amp;E1087&amp;"&amp;utm_medium="&amp;F1087&amp;"&amp;utm_campaign="&amp;H1087&amp;"&amp;utm_content="&amp;I1087</f>
        <v>https://eu-ai-act-ready.eu/?utm_source=google&amp;utm_medium=cpc&amp;utm_campaign=2610_ff_lansare&amp;utm_content=cald_general</v>
      </c>
    </row>
    <row r="1088" customFormat="false" ht="15" hidden="false" customHeight="false" outlineLevel="0" collapsed="false">
      <c r="A1088" s="10" t="s">
        <v>73</v>
      </c>
      <c r="B1088" s="10" t="str">
        <f aca="false">INDEX('Site-uri'!$B$2:$B$20,MATCH(A1088,'Site-uri'!$A$2:$A$20,0))</f>
        <v>eu-ai-act-ready.eu</v>
      </c>
      <c r="C1088" s="10" t="s">
        <v>141</v>
      </c>
      <c r="D1088" s="10" t="s">
        <v>231</v>
      </c>
      <c r="E1088" s="10" t="str">
        <f aca="false">INDEX(Canale!$C$2:$C$30,MATCH(C1088,Canale!$A$2:$A$30,0))</f>
        <v>google</v>
      </c>
      <c r="F1088" s="10" t="str">
        <f aca="false">INDEX(Canale!$D$2:$D$30,MATCH(C1088,Canale!$A$2:$A$30,0))</f>
        <v>cpc</v>
      </c>
      <c r="G1088" s="10" t="str">
        <f aca="false">INDEX('Site-uri'!$C$2:$C$20,MATCH(A1088,'Site-uri'!$A$2:$A$20,0))</f>
        <v>/</v>
      </c>
      <c r="H1088" s="10" t="str">
        <f aca="false">Config!$B$3</f>
        <v>2610_ff_lansare</v>
      </c>
      <c r="I1088" s="10" t="str">
        <f aca="false">D1088&amp;"_"&amp;Config!$B$4</f>
        <v>fierbinte_general</v>
      </c>
      <c r="J1088" s="10" t="str">
        <f aca="false">"https://"&amp;B1088&amp;G1088&amp;"?utm_source="&amp;E1088&amp;"&amp;utm_medium="&amp;F1088&amp;"&amp;utm_campaign="&amp;H1088&amp;"&amp;utm_content="&amp;I1088</f>
        <v>https://eu-ai-act-ready.eu/?utm_source=google&amp;utm_medium=cpc&amp;utm_campaign=2610_ff_lansare&amp;utm_content=fierbinte_general</v>
      </c>
    </row>
    <row r="1089" customFormat="false" ht="15" hidden="false" customHeight="false" outlineLevel="0" collapsed="false">
      <c r="A1089" s="10" t="s">
        <v>73</v>
      </c>
      <c r="B1089" s="10" t="str">
        <f aca="false">INDEX('Site-uri'!$B$2:$B$20,MATCH(A1089,'Site-uri'!$A$2:$A$20,0))</f>
        <v>eu-ai-act-ready.eu</v>
      </c>
      <c r="C1089" s="10" t="s">
        <v>141</v>
      </c>
      <c r="D1089" s="10" t="s">
        <v>237</v>
      </c>
      <c r="E1089" s="10" t="str">
        <f aca="false">INDEX(Canale!$C$2:$C$30,MATCH(C1089,Canale!$A$2:$A$30,0))</f>
        <v>google</v>
      </c>
      <c r="F1089" s="10" t="str">
        <f aca="false">INDEX(Canale!$D$2:$D$30,MATCH(C1089,Canale!$A$2:$A$30,0))</f>
        <v>cpc</v>
      </c>
      <c r="G1089" s="10" t="str">
        <f aca="false">INDEX('Site-uri'!$C$2:$C$20,MATCH(A1089,'Site-uri'!$A$2:$A$20,0))</f>
        <v>/</v>
      </c>
      <c r="H1089" s="10" t="str">
        <f aca="false">Config!$B$3</f>
        <v>2610_ff_lansare</v>
      </c>
      <c r="I1089" s="10" t="str">
        <f aca="false">D1089&amp;"_"&amp;Config!$B$4</f>
        <v>client_general</v>
      </c>
      <c r="J1089" s="10" t="str">
        <f aca="false">"https://"&amp;B1089&amp;G1089&amp;"?utm_source="&amp;E1089&amp;"&amp;utm_medium="&amp;F1089&amp;"&amp;utm_campaign="&amp;H1089&amp;"&amp;utm_content="&amp;I1089</f>
        <v>https://eu-ai-act-ready.eu/?utm_source=google&amp;utm_medium=cpc&amp;utm_campaign=2610_ff_lansare&amp;utm_content=client_general</v>
      </c>
    </row>
    <row r="1090" customFormat="false" ht="15" hidden="false" customHeight="false" outlineLevel="0" collapsed="false">
      <c r="A1090" s="10" t="s">
        <v>73</v>
      </c>
      <c r="B1090" s="10" t="str">
        <f aca="false">INDEX('Site-uri'!$B$2:$B$20,MATCH(A1090,'Site-uri'!$A$2:$A$20,0))</f>
        <v>eu-ai-act-ready.eu</v>
      </c>
      <c r="C1090" s="10" t="s">
        <v>146</v>
      </c>
      <c r="D1090" s="10" t="s">
        <v>219</v>
      </c>
      <c r="E1090" s="10" t="str">
        <f aca="false">INDEX(Canale!$C$2:$C$30,MATCH(C1090,Canale!$A$2:$A$30,0))</f>
        <v>bing</v>
      </c>
      <c r="F1090" s="10" t="str">
        <f aca="false">INDEX(Canale!$D$2:$D$30,MATCH(C1090,Canale!$A$2:$A$30,0))</f>
        <v>cpc</v>
      </c>
      <c r="G1090" s="10" t="str">
        <f aca="false">INDEX('Site-uri'!$C$2:$C$20,MATCH(A1090,'Site-uri'!$A$2:$A$20,0))</f>
        <v>/</v>
      </c>
      <c r="H1090" s="10" t="str">
        <f aca="false">Config!$B$3</f>
        <v>2610_ff_lansare</v>
      </c>
      <c r="I1090" s="10" t="str">
        <f aca="false">D1090&amp;"_"&amp;Config!$B$4</f>
        <v>rece_general</v>
      </c>
      <c r="J1090" s="10" t="str">
        <f aca="false">"https://"&amp;B1090&amp;G1090&amp;"?utm_source="&amp;E1090&amp;"&amp;utm_medium="&amp;F1090&amp;"&amp;utm_campaign="&amp;H1090&amp;"&amp;utm_content="&amp;I1090</f>
        <v>https://eu-ai-act-ready.eu/?utm_source=bing&amp;utm_medium=cpc&amp;utm_campaign=2610_ff_lansare&amp;utm_content=rece_general</v>
      </c>
    </row>
    <row r="1091" customFormat="false" ht="15" hidden="false" customHeight="false" outlineLevel="0" collapsed="false">
      <c r="A1091" s="10" t="s">
        <v>73</v>
      </c>
      <c r="B1091" s="10" t="str">
        <f aca="false">INDEX('Site-uri'!$B$2:$B$20,MATCH(A1091,'Site-uri'!$A$2:$A$20,0))</f>
        <v>eu-ai-act-ready.eu</v>
      </c>
      <c r="C1091" s="10" t="s">
        <v>146</v>
      </c>
      <c r="D1091" s="10" t="s">
        <v>225</v>
      </c>
      <c r="E1091" s="10" t="str">
        <f aca="false">INDEX(Canale!$C$2:$C$30,MATCH(C1091,Canale!$A$2:$A$30,0))</f>
        <v>bing</v>
      </c>
      <c r="F1091" s="10" t="str">
        <f aca="false">INDEX(Canale!$D$2:$D$30,MATCH(C1091,Canale!$A$2:$A$30,0))</f>
        <v>cpc</v>
      </c>
      <c r="G1091" s="10" t="str">
        <f aca="false">INDEX('Site-uri'!$C$2:$C$20,MATCH(A1091,'Site-uri'!$A$2:$A$20,0))</f>
        <v>/</v>
      </c>
      <c r="H1091" s="10" t="str">
        <f aca="false">Config!$B$3</f>
        <v>2610_ff_lansare</v>
      </c>
      <c r="I1091" s="10" t="str">
        <f aca="false">D1091&amp;"_"&amp;Config!$B$4</f>
        <v>cald_general</v>
      </c>
      <c r="J1091" s="10" t="str">
        <f aca="false">"https://"&amp;B1091&amp;G1091&amp;"?utm_source="&amp;E1091&amp;"&amp;utm_medium="&amp;F1091&amp;"&amp;utm_campaign="&amp;H1091&amp;"&amp;utm_content="&amp;I1091</f>
        <v>https://eu-ai-act-ready.eu/?utm_source=bing&amp;utm_medium=cpc&amp;utm_campaign=2610_ff_lansare&amp;utm_content=cald_general</v>
      </c>
    </row>
    <row r="1092" customFormat="false" ht="15" hidden="false" customHeight="false" outlineLevel="0" collapsed="false">
      <c r="A1092" s="10" t="s">
        <v>73</v>
      </c>
      <c r="B1092" s="10" t="str">
        <f aca="false">INDEX('Site-uri'!$B$2:$B$20,MATCH(A1092,'Site-uri'!$A$2:$A$20,0))</f>
        <v>eu-ai-act-ready.eu</v>
      </c>
      <c r="C1092" s="10" t="s">
        <v>146</v>
      </c>
      <c r="D1092" s="10" t="s">
        <v>231</v>
      </c>
      <c r="E1092" s="10" t="str">
        <f aca="false">INDEX(Canale!$C$2:$C$30,MATCH(C1092,Canale!$A$2:$A$30,0))</f>
        <v>bing</v>
      </c>
      <c r="F1092" s="10" t="str">
        <f aca="false">INDEX(Canale!$D$2:$D$30,MATCH(C1092,Canale!$A$2:$A$30,0))</f>
        <v>cpc</v>
      </c>
      <c r="G1092" s="10" t="str">
        <f aca="false">INDEX('Site-uri'!$C$2:$C$20,MATCH(A1092,'Site-uri'!$A$2:$A$20,0))</f>
        <v>/</v>
      </c>
      <c r="H1092" s="10" t="str">
        <f aca="false">Config!$B$3</f>
        <v>2610_ff_lansare</v>
      </c>
      <c r="I1092" s="10" t="str">
        <f aca="false">D1092&amp;"_"&amp;Config!$B$4</f>
        <v>fierbinte_general</v>
      </c>
      <c r="J1092" s="10" t="str">
        <f aca="false">"https://"&amp;B1092&amp;G1092&amp;"?utm_source="&amp;E1092&amp;"&amp;utm_medium="&amp;F1092&amp;"&amp;utm_campaign="&amp;H1092&amp;"&amp;utm_content="&amp;I1092</f>
        <v>https://eu-ai-act-ready.eu/?utm_source=bing&amp;utm_medium=cpc&amp;utm_campaign=2610_ff_lansare&amp;utm_content=fierbinte_general</v>
      </c>
    </row>
    <row r="1093" customFormat="false" ht="15" hidden="false" customHeight="false" outlineLevel="0" collapsed="false">
      <c r="A1093" s="10" t="s">
        <v>73</v>
      </c>
      <c r="B1093" s="10" t="str">
        <f aca="false">INDEX('Site-uri'!$B$2:$B$20,MATCH(A1093,'Site-uri'!$A$2:$A$20,0))</f>
        <v>eu-ai-act-ready.eu</v>
      </c>
      <c r="C1093" s="10" t="s">
        <v>146</v>
      </c>
      <c r="D1093" s="10" t="s">
        <v>237</v>
      </c>
      <c r="E1093" s="10" t="str">
        <f aca="false">INDEX(Canale!$C$2:$C$30,MATCH(C1093,Canale!$A$2:$A$30,0))</f>
        <v>bing</v>
      </c>
      <c r="F1093" s="10" t="str">
        <f aca="false">INDEX(Canale!$D$2:$D$30,MATCH(C1093,Canale!$A$2:$A$30,0))</f>
        <v>cpc</v>
      </c>
      <c r="G1093" s="10" t="str">
        <f aca="false">INDEX('Site-uri'!$C$2:$C$20,MATCH(A1093,'Site-uri'!$A$2:$A$20,0))</f>
        <v>/</v>
      </c>
      <c r="H1093" s="10" t="str">
        <f aca="false">Config!$B$3</f>
        <v>2610_ff_lansare</v>
      </c>
      <c r="I1093" s="10" t="str">
        <f aca="false">D1093&amp;"_"&amp;Config!$B$4</f>
        <v>client_general</v>
      </c>
      <c r="J1093" s="10" t="str">
        <f aca="false">"https://"&amp;B1093&amp;G1093&amp;"?utm_source="&amp;E1093&amp;"&amp;utm_medium="&amp;F1093&amp;"&amp;utm_campaign="&amp;H1093&amp;"&amp;utm_content="&amp;I1093</f>
        <v>https://eu-ai-act-ready.eu/?utm_source=bing&amp;utm_medium=cpc&amp;utm_campaign=2610_ff_lansare&amp;utm_content=client_general</v>
      </c>
    </row>
    <row r="1094" customFormat="false" ht="15" hidden="false" customHeight="false" outlineLevel="0" collapsed="false">
      <c r="A1094" s="10" t="s">
        <v>73</v>
      </c>
      <c r="B1094" s="10" t="str">
        <f aca="false">INDEX('Site-uri'!$B$2:$B$20,MATCH(A1094,'Site-uri'!$A$2:$A$20,0))</f>
        <v>eu-ai-act-ready.eu</v>
      </c>
      <c r="C1094" s="10" t="s">
        <v>149</v>
      </c>
      <c r="D1094" s="10" t="s">
        <v>219</v>
      </c>
      <c r="E1094" s="10" t="str">
        <f aca="false">INDEX(Canale!$C$2:$C$30,MATCH(C1094,Canale!$A$2:$A$30,0))</f>
        <v>facebook</v>
      </c>
      <c r="F1094" s="10" t="str">
        <f aca="false">INDEX(Canale!$D$2:$D$30,MATCH(C1094,Canale!$A$2:$A$30,0))</f>
        <v>social</v>
      </c>
      <c r="G1094" s="10" t="str">
        <f aca="false">INDEX('Site-uri'!$C$2:$C$20,MATCH(A1094,'Site-uri'!$A$2:$A$20,0))</f>
        <v>/</v>
      </c>
      <c r="H1094" s="10" t="str">
        <f aca="false">Config!$B$3</f>
        <v>2610_ff_lansare</v>
      </c>
      <c r="I1094" s="10" t="str">
        <f aca="false">D1094&amp;"_"&amp;Config!$B$4</f>
        <v>rece_general</v>
      </c>
      <c r="J1094" s="10" t="str">
        <f aca="false">"https://"&amp;B1094&amp;G1094&amp;"?utm_source="&amp;E1094&amp;"&amp;utm_medium="&amp;F1094&amp;"&amp;utm_campaign="&amp;H1094&amp;"&amp;utm_content="&amp;I1094</f>
        <v>https://eu-ai-act-ready.eu/?utm_source=facebook&amp;utm_medium=social&amp;utm_campaign=2610_ff_lansare&amp;utm_content=rece_general</v>
      </c>
    </row>
    <row r="1095" customFormat="false" ht="15" hidden="false" customHeight="false" outlineLevel="0" collapsed="false">
      <c r="A1095" s="10" t="s">
        <v>73</v>
      </c>
      <c r="B1095" s="10" t="str">
        <f aca="false">INDEX('Site-uri'!$B$2:$B$20,MATCH(A1095,'Site-uri'!$A$2:$A$20,0))</f>
        <v>eu-ai-act-ready.eu</v>
      </c>
      <c r="C1095" s="10" t="s">
        <v>149</v>
      </c>
      <c r="D1095" s="10" t="s">
        <v>225</v>
      </c>
      <c r="E1095" s="10" t="str">
        <f aca="false">INDEX(Canale!$C$2:$C$30,MATCH(C1095,Canale!$A$2:$A$30,0))</f>
        <v>facebook</v>
      </c>
      <c r="F1095" s="10" t="str">
        <f aca="false">INDEX(Canale!$D$2:$D$30,MATCH(C1095,Canale!$A$2:$A$30,0))</f>
        <v>social</v>
      </c>
      <c r="G1095" s="10" t="str">
        <f aca="false">INDEX('Site-uri'!$C$2:$C$20,MATCH(A1095,'Site-uri'!$A$2:$A$20,0))</f>
        <v>/</v>
      </c>
      <c r="H1095" s="10" t="str">
        <f aca="false">Config!$B$3</f>
        <v>2610_ff_lansare</v>
      </c>
      <c r="I1095" s="10" t="str">
        <f aca="false">D1095&amp;"_"&amp;Config!$B$4</f>
        <v>cald_general</v>
      </c>
      <c r="J1095" s="10" t="str">
        <f aca="false">"https://"&amp;B1095&amp;G1095&amp;"?utm_source="&amp;E1095&amp;"&amp;utm_medium="&amp;F1095&amp;"&amp;utm_campaign="&amp;H1095&amp;"&amp;utm_content="&amp;I1095</f>
        <v>https://eu-ai-act-ready.eu/?utm_source=facebook&amp;utm_medium=social&amp;utm_campaign=2610_ff_lansare&amp;utm_content=cald_general</v>
      </c>
    </row>
    <row r="1096" customFormat="false" ht="15" hidden="false" customHeight="false" outlineLevel="0" collapsed="false">
      <c r="A1096" s="10" t="s">
        <v>73</v>
      </c>
      <c r="B1096" s="10" t="str">
        <f aca="false">INDEX('Site-uri'!$B$2:$B$20,MATCH(A1096,'Site-uri'!$A$2:$A$20,0))</f>
        <v>eu-ai-act-ready.eu</v>
      </c>
      <c r="C1096" s="10" t="s">
        <v>149</v>
      </c>
      <c r="D1096" s="10" t="s">
        <v>231</v>
      </c>
      <c r="E1096" s="10" t="str">
        <f aca="false">INDEX(Canale!$C$2:$C$30,MATCH(C1096,Canale!$A$2:$A$30,0))</f>
        <v>facebook</v>
      </c>
      <c r="F1096" s="10" t="str">
        <f aca="false">INDEX(Canale!$D$2:$D$30,MATCH(C1096,Canale!$A$2:$A$30,0))</f>
        <v>social</v>
      </c>
      <c r="G1096" s="10" t="str">
        <f aca="false">INDEX('Site-uri'!$C$2:$C$20,MATCH(A1096,'Site-uri'!$A$2:$A$20,0))</f>
        <v>/</v>
      </c>
      <c r="H1096" s="10" t="str">
        <f aca="false">Config!$B$3</f>
        <v>2610_ff_lansare</v>
      </c>
      <c r="I1096" s="10" t="str">
        <f aca="false">D1096&amp;"_"&amp;Config!$B$4</f>
        <v>fierbinte_general</v>
      </c>
      <c r="J1096" s="10" t="str">
        <f aca="false">"https://"&amp;B1096&amp;G1096&amp;"?utm_source="&amp;E1096&amp;"&amp;utm_medium="&amp;F1096&amp;"&amp;utm_campaign="&amp;H1096&amp;"&amp;utm_content="&amp;I1096</f>
        <v>https://eu-ai-act-ready.eu/?utm_source=facebook&amp;utm_medium=social&amp;utm_campaign=2610_ff_lansare&amp;utm_content=fierbinte_general</v>
      </c>
    </row>
    <row r="1097" customFormat="false" ht="15" hidden="false" customHeight="false" outlineLevel="0" collapsed="false">
      <c r="A1097" s="10" t="s">
        <v>73</v>
      </c>
      <c r="B1097" s="10" t="str">
        <f aca="false">INDEX('Site-uri'!$B$2:$B$20,MATCH(A1097,'Site-uri'!$A$2:$A$20,0))</f>
        <v>eu-ai-act-ready.eu</v>
      </c>
      <c r="C1097" s="10" t="s">
        <v>149</v>
      </c>
      <c r="D1097" s="10" t="s">
        <v>237</v>
      </c>
      <c r="E1097" s="10" t="str">
        <f aca="false">INDEX(Canale!$C$2:$C$30,MATCH(C1097,Canale!$A$2:$A$30,0))</f>
        <v>facebook</v>
      </c>
      <c r="F1097" s="10" t="str">
        <f aca="false">INDEX(Canale!$D$2:$D$30,MATCH(C1097,Canale!$A$2:$A$30,0))</f>
        <v>social</v>
      </c>
      <c r="G1097" s="10" t="str">
        <f aca="false">INDEX('Site-uri'!$C$2:$C$20,MATCH(A1097,'Site-uri'!$A$2:$A$20,0))</f>
        <v>/</v>
      </c>
      <c r="H1097" s="10" t="str">
        <f aca="false">Config!$B$3</f>
        <v>2610_ff_lansare</v>
      </c>
      <c r="I1097" s="10" t="str">
        <f aca="false">D1097&amp;"_"&amp;Config!$B$4</f>
        <v>client_general</v>
      </c>
      <c r="J1097" s="10" t="str">
        <f aca="false">"https://"&amp;B1097&amp;G1097&amp;"?utm_source="&amp;E1097&amp;"&amp;utm_medium="&amp;F1097&amp;"&amp;utm_campaign="&amp;H1097&amp;"&amp;utm_content="&amp;I1097</f>
        <v>https://eu-ai-act-ready.eu/?utm_source=facebook&amp;utm_medium=social&amp;utm_campaign=2610_ff_lansare&amp;utm_content=client_general</v>
      </c>
    </row>
    <row r="1098" customFormat="false" ht="15" hidden="false" customHeight="false" outlineLevel="0" collapsed="false">
      <c r="A1098" s="10" t="s">
        <v>73</v>
      </c>
      <c r="B1098" s="10" t="str">
        <f aca="false">INDEX('Site-uri'!$B$2:$B$20,MATCH(A1098,'Site-uri'!$A$2:$A$20,0))</f>
        <v>eu-ai-act-ready.eu</v>
      </c>
      <c r="C1098" s="10" t="s">
        <v>153</v>
      </c>
      <c r="D1098" s="10" t="s">
        <v>219</v>
      </c>
      <c r="E1098" s="10" t="str">
        <f aca="false">INDEX(Canale!$C$2:$C$30,MATCH(C1098,Canale!$A$2:$A$30,0))</f>
        <v>x</v>
      </c>
      <c r="F1098" s="10" t="str">
        <f aca="false">INDEX(Canale!$D$2:$D$30,MATCH(C1098,Canale!$A$2:$A$30,0))</f>
        <v>social</v>
      </c>
      <c r="G1098" s="10" t="str">
        <f aca="false">INDEX('Site-uri'!$C$2:$C$20,MATCH(A1098,'Site-uri'!$A$2:$A$20,0))</f>
        <v>/</v>
      </c>
      <c r="H1098" s="10" t="str">
        <f aca="false">Config!$B$3</f>
        <v>2610_ff_lansare</v>
      </c>
      <c r="I1098" s="10" t="str">
        <f aca="false">D1098&amp;"_"&amp;Config!$B$4</f>
        <v>rece_general</v>
      </c>
      <c r="J1098" s="10" t="str">
        <f aca="false">"https://"&amp;B1098&amp;G1098&amp;"?utm_source="&amp;E1098&amp;"&amp;utm_medium="&amp;F1098&amp;"&amp;utm_campaign="&amp;H1098&amp;"&amp;utm_content="&amp;I1098</f>
        <v>https://eu-ai-act-ready.eu/?utm_source=x&amp;utm_medium=social&amp;utm_campaign=2610_ff_lansare&amp;utm_content=rece_general</v>
      </c>
    </row>
    <row r="1099" customFormat="false" ht="15" hidden="false" customHeight="false" outlineLevel="0" collapsed="false">
      <c r="A1099" s="10" t="s">
        <v>73</v>
      </c>
      <c r="B1099" s="10" t="str">
        <f aca="false">INDEX('Site-uri'!$B$2:$B$20,MATCH(A1099,'Site-uri'!$A$2:$A$20,0))</f>
        <v>eu-ai-act-ready.eu</v>
      </c>
      <c r="C1099" s="10" t="s">
        <v>153</v>
      </c>
      <c r="D1099" s="10" t="s">
        <v>225</v>
      </c>
      <c r="E1099" s="10" t="str">
        <f aca="false">INDEX(Canale!$C$2:$C$30,MATCH(C1099,Canale!$A$2:$A$30,0))</f>
        <v>x</v>
      </c>
      <c r="F1099" s="10" t="str">
        <f aca="false">INDEX(Canale!$D$2:$D$30,MATCH(C1099,Canale!$A$2:$A$30,0))</f>
        <v>social</v>
      </c>
      <c r="G1099" s="10" t="str">
        <f aca="false">INDEX('Site-uri'!$C$2:$C$20,MATCH(A1099,'Site-uri'!$A$2:$A$20,0))</f>
        <v>/</v>
      </c>
      <c r="H1099" s="10" t="str">
        <f aca="false">Config!$B$3</f>
        <v>2610_ff_lansare</v>
      </c>
      <c r="I1099" s="10" t="str">
        <f aca="false">D1099&amp;"_"&amp;Config!$B$4</f>
        <v>cald_general</v>
      </c>
      <c r="J1099" s="10" t="str">
        <f aca="false">"https://"&amp;B1099&amp;G1099&amp;"?utm_source="&amp;E1099&amp;"&amp;utm_medium="&amp;F1099&amp;"&amp;utm_campaign="&amp;H1099&amp;"&amp;utm_content="&amp;I1099</f>
        <v>https://eu-ai-act-ready.eu/?utm_source=x&amp;utm_medium=social&amp;utm_campaign=2610_ff_lansare&amp;utm_content=cald_general</v>
      </c>
    </row>
    <row r="1100" customFormat="false" ht="15" hidden="false" customHeight="false" outlineLevel="0" collapsed="false">
      <c r="A1100" s="10" t="s">
        <v>73</v>
      </c>
      <c r="B1100" s="10" t="str">
        <f aca="false">INDEX('Site-uri'!$B$2:$B$20,MATCH(A1100,'Site-uri'!$A$2:$A$20,0))</f>
        <v>eu-ai-act-ready.eu</v>
      </c>
      <c r="C1100" s="10" t="s">
        <v>153</v>
      </c>
      <c r="D1100" s="10" t="s">
        <v>231</v>
      </c>
      <c r="E1100" s="10" t="str">
        <f aca="false">INDEX(Canale!$C$2:$C$30,MATCH(C1100,Canale!$A$2:$A$30,0))</f>
        <v>x</v>
      </c>
      <c r="F1100" s="10" t="str">
        <f aca="false">INDEX(Canale!$D$2:$D$30,MATCH(C1100,Canale!$A$2:$A$30,0))</f>
        <v>social</v>
      </c>
      <c r="G1100" s="10" t="str">
        <f aca="false">INDEX('Site-uri'!$C$2:$C$20,MATCH(A1100,'Site-uri'!$A$2:$A$20,0))</f>
        <v>/</v>
      </c>
      <c r="H1100" s="10" t="str">
        <f aca="false">Config!$B$3</f>
        <v>2610_ff_lansare</v>
      </c>
      <c r="I1100" s="10" t="str">
        <f aca="false">D1100&amp;"_"&amp;Config!$B$4</f>
        <v>fierbinte_general</v>
      </c>
      <c r="J1100" s="10" t="str">
        <f aca="false">"https://"&amp;B1100&amp;G1100&amp;"?utm_source="&amp;E1100&amp;"&amp;utm_medium="&amp;F1100&amp;"&amp;utm_campaign="&amp;H1100&amp;"&amp;utm_content="&amp;I1100</f>
        <v>https://eu-ai-act-ready.eu/?utm_source=x&amp;utm_medium=social&amp;utm_campaign=2610_ff_lansare&amp;utm_content=fierbinte_general</v>
      </c>
    </row>
    <row r="1101" customFormat="false" ht="15" hidden="false" customHeight="false" outlineLevel="0" collapsed="false">
      <c r="A1101" s="10" t="s">
        <v>73</v>
      </c>
      <c r="B1101" s="10" t="str">
        <f aca="false">INDEX('Site-uri'!$B$2:$B$20,MATCH(A1101,'Site-uri'!$A$2:$A$20,0))</f>
        <v>eu-ai-act-ready.eu</v>
      </c>
      <c r="C1101" s="10" t="s">
        <v>153</v>
      </c>
      <c r="D1101" s="10" t="s">
        <v>237</v>
      </c>
      <c r="E1101" s="10" t="str">
        <f aca="false">INDEX(Canale!$C$2:$C$30,MATCH(C1101,Canale!$A$2:$A$30,0))</f>
        <v>x</v>
      </c>
      <c r="F1101" s="10" t="str">
        <f aca="false">INDEX(Canale!$D$2:$D$30,MATCH(C1101,Canale!$A$2:$A$30,0))</f>
        <v>social</v>
      </c>
      <c r="G1101" s="10" t="str">
        <f aca="false">INDEX('Site-uri'!$C$2:$C$20,MATCH(A1101,'Site-uri'!$A$2:$A$20,0))</f>
        <v>/</v>
      </c>
      <c r="H1101" s="10" t="str">
        <f aca="false">Config!$B$3</f>
        <v>2610_ff_lansare</v>
      </c>
      <c r="I1101" s="10" t="str">
        <f aca="false">D1101&amp;"_"&amp;Config!$B$4</f>
        <v>client_general</v>
      </c>
      <c r="J1101" s="10" t="str">
        <f aca="false">"https://"&amp;B1101&amp;G1101&amp;"?utm_source="&amp;E1101&amp;"&amp;utm_medium="&amp;F1101&amp;"&amp;utm_campaign="&amp;H1101&amp;"&amp;utm_content="&amp;I1101</f>
        <v>https://eu-ai-act-ready.eu/?utm_source=x&amp;utm_medium=social&amp;utm_campaign=2610_ff_lansare&amp;utm_content=client_general</v>
      </c>
    </row>
    <row r="1102" customFormat="false" ht="15" hidden="false" customHeight="false" outlineLevel="0" collapsed="false">
      <c r="A1102" s="10" t="s">
        <v>73</v>
      </c>
      <c r="B1102" s="10" t="str">
        <f aca="false">INDEX('Site-uri'!$B$2:$B$20,MATCH(A1102,'Site-uri'!$A$2:$A$20,0))</f>
        <v>eu-ai-act-ready.eu</v>
      </c>
      <c r="C1102" s="10" t="s">
        <v>155</v>
      </c>
      <c r="D1102" s="10" t="s">
        <v>219</v>
      </c>
      <c r="E1102" s="10" t="str">
        <f aca="false">INDEX(Canale!$C$2:$C$30,MATCH(C1102,Canale!$A$2:$A$30,0))</f>
        <v>youtube</v>
      </c>
      <c r="F1102" s="10" t="str">
        <f aca="false">INDEX(Canale!$D$2:$D$30,MATCH(C1102,Canale!$A$2:$A$30,0))</f>
        <v>video</v>
      </c>
      <c r="G1102" s="10" t="str">
        <f aca="false">INDEX('Site-uri'!$C$2:$C$20,MATCH(A1102,'Site-uri'!$A$2:$A$20,0))</f>
        <v>/</v>
      </c>
      <c r="H1102" s="10" t="str">
        <f aca="false">Config!$B$3</f>
        <v>2610_ff_lansare</v>
      </c>
      <c r="I1102" s="10" t="str">
        <f aca="false">D1102&amp;"_"&amp;Config!$B$4</f>
        <v>rece_general</v>
      </c>
      <c r="J1102" s="10" t="str">
        <f aca="false">"https://"&amp;B1102&amp;G1102&amp;"?utm_source="&amp;E1102&amp;"&amp;utm_medium="&amp;F1102&amp;"&amp;utm_campaign="&amp;H1102&amp;"&amp;utm_content="&amp;I1102</f>
        <v>https://eu-ai-act-ready.eu/?utm_source=youtube&amp;utm_medium=video&amp;utm_campaign=2610_ff_lansare&amp;utm_content=rece_general</v>
      </c>
    </row>
    <row r="1103" customFormat="false" ht="15" hidden="false" customHeight="false" outlineLevel="0" collapsed="false">
      <c r="A1103" s="10" t="s">
        <v>73</v>
      </c>
      <c r="B1103" s="10" t="str">
        <f aca="false">INDEX('Site-uri'!$B$2:$B$20,MATCH(A1103,'Site-uri'!$A$2:$A$20,0))</f>
        <v>eu-ai-act-ready.eu</v>
      </c>
      <c r="C1103" s="10" t="s">
        <v>155</v>
      </c>
      <c r="D1103" s="10" t="s">
        <v>225</v>
      </c>
      <c r="E1103" s="10" t="str">
        <f aca="false">INDEX(Canale!$C$2:$C$30,MATCH(C1103,Canale!$A$2:$A$30,0))</f>
        <v>youtube</v>
      </c>
      <c r="F1103" s="10" t="str">
        <f aca="false">INDEX(Canale!$D$2:$D$30,MATCH(C1103,Canale!$A$2:$A$30,0))</f>
        <v>video</v>
      </c>
      <c r="G1103" s="10" t="str">
        <f aca="false">INDEX('Site-uri'!$C$2:$C$20,MATCH(A1103,'Site-uri'!$A$2:$A$20,0))</f>
        <v>/</v>
      </c>
      <c r="H1103" s="10" t="str">
        <f aca="false">Config!$B$3</f>
        <v>2610_ff_lansare</v>
      </c>
      <c r="I1103" s="10" t="str">
        <f aca="false">D1103&amp;"_"&amp;Config!$B$4</f>
        <v>cald_general</v>
      </c>
      <c r="J1103" s="10" t="str">
        <f aca="false">"https://"&amp;B1103&amp;G1103&amp;"?utm_source="&amp;E1103&amp;"&amp;utm_medium="&amp;F1103&amp;"&amp;utm_campaign="&amp;H1103&amp;"&amp;utm_content="&amp;I1103</f>
        <v>https://eu-ai-act-ready.eu/?utm_source=youtube&amp;utm_medium=video&amp;utm_campaign=2610_ff_lansare&amp;utm_content=cald_general</v>
      </c>
    </row>
    <row r="1104" customFormat="false" ht="15" hidden="false" customHeight="false" outlineLevel="0" collapsed="false">
      <c r="A1104" s="10" t="s">
        <v>73</v>
      </c>
      <c r="B1104" s="10" t="str">
        <f aca="false">INDEX('Site-uri'!$B$2:$B$20,MATCH(A1104,'Site-uri'!$A$2:$A$20,0))</f>
        <v>eu-ai-act-ready.eu</v>
      </c>
      <c r="C1104" s="10" t="s">
        <v>155</v>
      </c>
      <c r="D1104" s="10" t="s">
        <v>231</v>
      </c>
      <c r="E1104" s="10" t="str">
        <f aca="false">INDEX(Canale!$C$2:$C$30,MATCH(C1104,Canale!$A$2:$A$30,0))</f>
        <v>youtube</v>
      </c>
      <c r="F1104" s="10" t="str">
        <f aca="false">INDEX(Canale!$D$2:$D$30,MATCH(C1104,Canale!$A$2:$A$30,0))</f>
        <v>video</v>
      </c>
      <c r="G1104" s="10" t="str">
        <f aca="false">INDEX('Site-uri'!$C$2:$C$20,MATCH(A1104,'Site-uri'!$A$2:$A$20,0))</f>
        <v>/</v>
      </c>
      <c r="H1104" s="10" t="str">
        <f aca="false">Config!$B$3</f>
        <v>2610_ff_lansare</v>
      </c>
      <c r="I1104" s="10" t="str">
        <f aca="false">D1104&amp;"_"&amp;Config!$B$4</f>
        <v>fierbinte_general</v>
      </c>
      <c r="J1104" s="10" t="str">
        <f aca="false">"https://"&amp;B1104&amp;G1104&amp;"?utm_source="&amp;E1104&amp;"&amp;utm_medium="&amp;F1104&amp;"&amp;utm_campaign="&amp;H1104&amp;"&amp;utm_content="&amp;I1104</f>
        <v>https://eu-ai-act-ready.eu/?utm_source=youtube&amp;utm_medium=video&amp;utm_campaign=2610_ff_lansare&amp;utm_content=fierbinte_general</v>
      </c>
    </row>
    <row r="1105" customFormat="false" ht="15" hidden="false" customHeight="false" outlineLevel="0" collapsed="false">
      <c r="A1105" s="10" t="s">
        <v>73</v>
      </c>
      <c r="B1105" s="10" t="str">
        <f aca="false">INDEX('Site-uri'!$B$2:$B$20,MATCH(A1105,'Site-uri'!$A$2:$A$20,0))</f>
        <v>eu-ai-act-ready.eu</v>
      </c>
      <c r="C1105" s="10" t="s">
        <v>155</v>
      </c>
      <c r="D1105" s="10" t="s">
        <v>237</v>
      </c>
      <c r="E1105" s="10" t="str">
        <f aca="false">INDEX(Canale!$C$2:$C$30,MATCH(C1105,Canale!$A$2:$A$30,0))</f>
        <v>youtube</v>
      </c>
      <c r="F1105" s="10" t="str">
        <f aca="false">INDEX(Canale!$D$2:$D$30,MATCH(C1105,Canale!$A$2:$A$30,0))</f>
        <v>video</v>
      </c>
      <c r="G1105" s="10" t="str">
        <f aca="false">INDEX('Site-uri'!$C$2:$C$20,MATCH(A1105,'Site-uri'!$A$2:$A$20,0))</f>
        <v>/</v>
      </c>
      <c r="H1105" s="10" t="str">
        <f aca="false">Config!$B$3</f>
        <v>2610_ff_lansare</v>
      </c>
      <c r="I1105" s="10" t="str">
        <f aca="false">D1105&amp;"_"&amp;Config!$B$4</f>
        <v>client_general</v>
      </c>
      <c r="J1105" s="10" t="str">
        <f aca="false">"https://"&amp;B1105&amp;G1105&amp;"?utm_source="&amp;E1105&amp;"&amp;utm_medium="&amp;F1105&amp;"&amp;utm_campaign="&amp;H1105&amp;"&amp;utm_content="&amp;I1105</f>
        <v>https://eu-ai-act-ready.eu/?utm_source=youtube&amp;utm_medium=video&amp;utm_campaign=2610_ff_lansare&amp;utm_content=client_general</v>
      </c>
    </row>
    <row r="1106" customFormat="false" ht="15" hidden="false" customHeight="false" outlineLevel="0" collapsed="false">
      <c r="A1106" s="10" t="s">
        <v>73</v>
      </c>
      <c r="B1106" s="10" t="str">
        <f aca="false">INDEX('Site-uri'!$B$2:$B$20,MATCH(A1106,'Site-uri'!$A$2:$A$20,0))</f>
        <v>eu-ai-act-ready.eu</v>
      </c>
      <c r="C1106" s="10" t="s">
        <v>160</v>
      </c>
      <c r="D1106" s="10" t="s">
        <v>219</v>
      </c>
      <c r="E1106" s="10" t="str">
        <f aca="false">INDEX(Canale!$C$2:$C$30,MATCH(C1106,Canale!$A$2:$A$30,0))</f>
        <v>medium</v>
      </c>
      <c r="F1106" s="10" t="str">
        <f aca="false">INDEX(Canale!$D$2:$D$30,MATCH(C1106,Canale!$A$2:$A$30,0))</f>
        <v>content</v>
      </c>
      <c r="G1106" s="10" t="str">
        <f aca="false">INDEX('Site-uri'!$C$2:$C$20,MATCH(A1106,'Site-uri'!$A$2:$A$20,0))</f>
        <v>/</v>
      </c>
      <c r="H1106" s="10" t="str">
        <f aca="false">Config!$B$3</f>
        <v>2610_ff_lansare</v>
      </c>
      <c r="I1106" s="10" t="str">
        <f aca="false">D1106&amp;"_"&amp;Config!$B$4</f>
        <v>rece_general</v>
      </c>
      <c r="J1106" s="10" t="str">
        <f aca="false">"https://"&amp;B1106&amp;G1106&amp;"?utm_source="&amp;E1106&amp;"&amp;utm_medium="&amp;F1106&amp;"&amp;utm_campaign="&amp;H1106&amp;"&amp;utm_content="&amp;I1106</f>
        <v>https://eu-ai-act-ready.eu/?utm_source=medium&amp;utm_medium=content&amp;utm_campaign=2610_ff_lansare&amp;utm_content=rece_general</v>
      </c>
    </row>
    <row r="1107" customFormat="false" ht="15" hidden="false" customHeight="false" outlineLevel="0" collapsed="false">
      <c r="A1107" s="10" t="s">
        <v>73</v>
      </c>
      <c r="B1107" s="10" t="str">
        <f aca="false">INDEX('Site-uri'!$B$2:$B$20,MATCH(A1107,'Site-uri'!$A$2:$A$20,0))</f>
        <v>eu-ai-act-ready.eu</v>
      </c>
      <c r="C1107" s="10" t="s">
        <v>160</v>
      </c>
      <c r="D1107" s="10" t="s">
        <v>225</v>
      </c>
      <c r="E1107" s="10" t="str">
        <f aca="false">INDEX(Canale!$C$2:$C$30,MATCH(C1107,Canale!$A$2:$A$30,0))</f>
        <v>medium</v>
      </c>
      <c r="F1107" s="10" t="str">
        <f aca="false">INDEX(Canale!$D$2:$D$30,MATCH(C1107,Canale!$A$2:$A$30,0))</f>
        <v>content</v>
      </c>
      <c r="G1107" s="10" t="str">
        <f aca="false">INDEX('Site-uri'!$C$2:$C$20,MATCH(A1107,'Site-uri'!$A$2:$A$20,0))</f>
        <v>/</v>
      </c>
      <c r="H1107" s="10" t="str">
        <f aca="false">Config!$B$3</f>
        <v>2610_ff_lansare</v>
      </c>
      <c r="I1107" s="10" t="str">
        <f aca="false">D1107&amp;"_"&amp;Config!$B$4</f>
        <v>cald_general</v>
      </c>
      <c r="J1107" s="10" t="str">
        <f aca="false">"https://"&amp;B1107&amp;G1107&amp;"?utm_source="&amp;E1107&amp;"&amp;utm_medium="&amp;F1107&amp;"&amp;utm_campaign="&amp;H1107&amp;"&amp;utm_content="&amp;I1107</f>
        <v>https://eu-ai-act-ready.eu/?utm_source=medium&amp;utm_medium=content&amp;utm_campaign=2610_ff_lansare&amp;utm_content=cald_general</v>
      </c>
    </row>
    <row r="1108" customFormat="false" ht="15" hidden="false" customHeight="false" outlineLevel="0" collapsed="false">
      <c r="A1108" s="10" t="s">
        <v>73</v>
      </c>
      <c r="B1108" s="10" t="str">
        <f aca="false">INDEX('Site-uri'!$B$2:$B$20,MATCH(A1108,'Site-uri'!$A$2:$A$20,0))</f>
        <v>eu-ai-act-ready.eu</v>
      </c>
      <c r="C1108" s="10" t="s">
        <v>160</v>
      </c>
      <c r="D1108" s="10" t="s">
        <v>231</v>
      </c>
      <c r="E1108" s="10" t="str">
        <f aca="false">INDEX(Canale!$C$2:$C$30,MATCH(C1108,Canale!$A$2:$A$30,0))</f>
        <v>medium</v>
      </c>
      <c r="F1108" s="10" t="str">
        <f aca="false">INDEX(Canale!$D$2:$D$30,MATCH(C1108,Canale!$A$2:$A$30,0))</f>
        <v>content</v>
      </c>
      <c r="G1108" s="10" t="str">
        <f aca="false">INDEX('Site-uri'!$C$2:$C$20,MATCH(A1108,'Site-uri'!$A$2:$A$20,0))</f>
        <v>/</v>
      </c>
      <c r="H1108" s="10" t="str">
        <f aca="false">Config!$B$3</f>
        <v>2610_ff_lansare</v>
      </c>
      <c r="I1108" s="10" t="str">
        <f aca="false">D1108&amp;"_"&amp;Config!$B$4</f>
        <v>fierbinte_general</v>
      </c>
      <c r="J1108" s="10" t="str">
        <f aca="false">"https://"&amp;B1108&amp;G1108&amp;"?utm_source="&amp;E1108&amp;"&amp;utm_medium="&amp;F1108&amp;"&amp;utm_campaign="&amp;H1108&amp;"&amp;utm_content="&amp;I1108</f>
        <v>https://eu-ai-act-ready.eu/?utm_source=medium&amp;utm_medium=content&amp;utm_campaign=2610_ff_lansare&amp;utm_content=fierbinte_general</v>
      </c>
    </row>
    <row r="1109" customFormat="false" ht="15" hidden="false" customHeight="false" outlineLevel="0" collapsed="false">
      <c r="A1109" s="10" t="s">
        <v>73</v>
      </c>
      <c r="B1109" s="10" t="str">
        <f aca="false">INDEX('Site-uri'!$B$2:$B$20,MATCH(A1109,'Site-uri'!$A$2:$A$20,0))</f>
        <v>eu-ai-act-ready.eu</v>
      </c>
      <c r="C1109" s="10" t="s">
        <v>160</v>
      </c>
      <c r="D1109" s="10" t="s">
        <v>237</v>
      </c>
      <c r="E1109" s="10" t="str">
        <f aca="false">INDEX(Canale!$C$2:$C$30,MATCH(C1109,Canale!$A$2:$A$30,0))</f>
        <v>medium</v>
      </c>
      <c r="F1109" s="10" t="str">
        <f aca="false">INDEX(Canale!$D$2:$D$30,MATCH(C1109,Canale!$A$2:$A$30,0))</f>
        <v>content</v>
      </c>
      <c r="G1109" s="10" t="str">
        <f aca="false">INDEX('Site-uri'!$C$2:$C$20,MATCH(A1109,'Site-uri'!$A$2:$A$20,0))</f>
        <v>/</v>
      </c>
      <c r="H1109" s="10" t="str">
        <f aca="false">Config!$B$3</f>
        <v>2610_ff_lansare</v>
      </c>
      <c r="I1109" s="10" t="str">
        <f aca="false">D1109&amp;"_"&amp;Config!$B$4</f>
        <v>client_general</v>
      </c>
      <c r="J1109" s="10" t="str">
        <f aca="false">"https://"&amp;B1109&amp;G1109&amp;"?utm_source="&amp;E1109&amp;"&amp;utm_medium="&amp;F1109&amp;"&amp;utm_campaign="&amp;H1109&amp;"&amp;utm_content="&amp;I1109</f>
        <v>https://eu-ai-act-ready.eu/?utm_source=medium&amp;utm_medium=content&amp;utm_campaign=2610_ff_lansare&amp;utm_content=client_general</v>
      </c>
    </row>
    <row r="1110" customFormat="false" ht="15" hidden="false" customHeight="false" outlineLevel="0" collapsed="false">
      <c r="A1110" s="10" t="s">
        <v>73</v>
      </c>
      <c r="B1110" s="10" t="str">
        <f aca="false">INDEX('Site-uri'!$B$2:$B$20,MATCH(A1110,'Site-uri'!$A$2:$A$20,0))</f>
        <v>eu-ai-act-ready.eu</v>
      </c>
      <c r="C1110" s="10" t="s">
        <v>165</v>
      </c>
      <c r="D1110" s="10" t="s">
        <v>219</v>
      </c>
      <c r="E1110" s="10" t="str">
        <f aca="false">INDEX(Canale!$C$2:$C$30,MATCH(C1110,Canale!$A$2:$A$30,0))</f>
        <v>crunchbase</v>
      </c>
      <c r="F1110" s="10" t="str">
        <f aca="false">INDEX(Canale!$D$2:$D$30,MATCH(C1110,Canale!$A$2:$A$30,0))</f>
        <v>referral</v>
      </c>
      <c r="G1110" s="10" t="str">
        <f aca="false">INDEX('Site-uri'!$C$2:$C$20,MATCH(A1110,'Site-uri'!$A$2:$A$20,0))</f>
        <v>/</v>
      </c>
      <c r="H1110" s="10" t="str">
        <f aca="false">Config!$B$3</f>
        <v>2610_ff_lansare</v>
      </c>
      <c r="I1110" s="10" t="str">
        <f aca="false">D1110&amp;"_"&amp;Config!$B$4</f>
        <v>rece_general</v>
      </c>
      <c r="J1110" s="10" t="str">
        <f aca="false">"https://"&amp;B1110&amp;G1110&amp;"?utm_source="&amp;E1110&amp;"&amp;utm_medium="&amp;F1110&amp;"&amp;utm_campaign="&amp;H1110&amp;"&amp;utm_content="&amp;I1110</f>
        <v>https://eu-ai-act-ready.eu/?utm_source=crunchbase&amp;utm_medium=referral&amp;utm_campaign=2610_ff_lansare&amp;utm_content=rece_general</v>
      </c>
    </row>
    <row r="1111" customFormat="false" ht="15" hidden="false" customHeight="false" outlineLevel="0" collapsed="false">
      <c r="A1111" s="10" t="s">
        <v>73</v>
      </c>
      <c r="B1111" s="10" t="str">
        <f aca="false">INDEX('Site-uri'!$B$2:$B$20,MATCH(A1111,'Site-uri'!$A$2:$A$20,0))</f>
        <v>eu-ai-act-ready.eu</v>
      </c>
      <c r="C1111" s="10" t="s">
        <v>165</v>
      </c>
      <c r="D1111" s="10" t="s">
        <v>225</v>
      </c>
      <c r="E1111" s="10" t="str">
        <f aca="false">INDEX(Canale!$C$2:$C$30,MATCH(C1111,Canale!$A$2:$A$30,0))</f>
        <v>crunchbase</v>
      </c>
      <c r="F1111" s="10" t="str">
        <f aca="false">INDEX(Canale!$D$2:$D$30,MATCH(C1111,Canale!$A$2:$A$30,0))</f>
        <v>referral</v>
      </c>
      <c r="G1111" s="10" t="str">
        <f aca="false">INDEX('Site-uri'!$C$2:$C$20,MATCH(A1111,'Site-uri'!$A$2:$A$20,0))</f>
        <v>/</v>
      </c>
      <c r="H1111" s="10" t="str">
        <f aca="false">Config!$B$3</f>
        <v>2610_ff_lansare</v>
      </c>
      <c r="I1111" s="10" t="str">
        <f aca="false">D1111&amp;"_"&amp;Config!$B$4</f>
        <v>cald_general</v>
      </c>
      <c r="J1111" s="10" t="str">
        <f aca="false">"https://"&amp;B1111&amp;G1111&amp;"?utm_source="&amp;E1111&amp;"&amp;utm_medium="&amp;F1111&amp;"&amp;utm_campaign="&amp;H1111&amp;"&amp;utm_content="&amp;I1111</f>
        <v>https://eu-ai-act-ready.eu/?utm_source=crunchbase&amp;utm_medium=referral&amp;utm_campaign=2610_ff_lansare&amp;utm_content=cald_general</v>
      </c>
    </row>
    <row r="1112" customFormat="false" ht="15" hidden="false" customHeight="false" outlineLevel="0" collapsed="false">
      <c r="A1112" s="10" t="s">
        <v>73</v>
      </c>
      <c r="B1112" s="10" t="str">
        <f aca="false">INDEX('Site-uri'!$B$2:$B$20,MATCH(A1112,'Site-uri'!$A$2:$A$20,0))</f>
        <v>eu-ai-act-ready.eu</v>
      </c>
      <c r="C1112" s="10" t="s">
        <v>165</v>
      </c>
      <c r="D1112" s="10" t="s">
        <v>231</v>
      </c>
      <c r="E1112" s="10" t="str">
        <f aca="false">INDEX(Canale!$C$2:$C$30,MATCH(C1112,Canale!$A$2:$A$30,0))</f>
        <v>crunchbase</v>
      </c>
      <c r="F1112" s="10" t="str">
        <f aca="false">INDEX(Canale!$D$2:$D$30,MATCH(C1112,Canale!$A$2:$A$30,0))</f>
        <v>referral</v>
      </c>
      <c r="G1112" s="10" t="str">
        <f aca="false">INDEX('Site-uri'!$C$2:$C$20,MATCH(A1112,'Site-uri'!$A$2:$A$20,0))</f>
        <v>/</v>
      </c>
      <c r="H1112" s="10" t="str">
        <f aca="false">Config!$B$3</f>
        <v>2610_ff_lansare</v>
      </c>
      <c r="I1112" s="10" t="str">
        <f aca="false">D1112&amp;"_"&amp;Config!$B$4</f>
        <v>fierbinte_general</v>
      </c>
      <c r="J1112" s="10" t="str">
        <f aca="false">"https://"&amp;B1112&amp;G1112&amp;"?utm_source="&amp;E1112&amp;"&amp;utm_medium="&amp;F1112&amp;"&amp;utm_campaign="&amp;H1112&amp;"&amp;utm_content="&amp;I1112</f>
        <v>https://eu-ai-act-ready.eu/?utm_source=crunchbase&amp;utm_medium=referral&amp;utm_campaign=2610_ff_lansare&amp;utm_content=fierbinte_general</v>
      </c>
    </row>
    <row r="1113" customFormat="false" ht="15" hidden="false" customHeight="false" outlineLevel="0" collapsed="false">
      <c r="A1113" s="10" t="s">
        <v>73</v>
      </c>
      <c r="B1113" s="10" t="str">
        <f aca="false">INDEX('Site-uri'!$B$2:$B$20,MATCH(A1113,'Site-uri'!$A$2:$A$20,0))</f>
        <v>eu-ai-act-ready.eu</v>
      </c>
      <c r="C1113" s="10" t="s">
        <v>165</v>
      </c>
      <c r="D1113" s="10" t="s">
        <v>237</v>
      </c>
      <c r="E1113" s="10" t="str">
        <f aca="false">INDEX(Canale!$C$2:$C$30,MATCH(C1113,Canale!$A$2:$A$30,0))</f>
        <v>crunchbase</v>
      </c>
      <c r="F1113" s="10" t="str">
        <f aca="false">INDEX(Canale!$D$2:$D$30,MATCH(C1113,Canale!$A$2:$A$30,0))</f>
        <v>referral</v>
      </c>
      <c r="G1113" s="10" t="str">
        <f aca="false">INDEX('Site-uri'!$C$2:$C$20,MATCH(A1113,'Site-uri'!$A$2:$A$20,0))</f>
        <v>/</v>
      </c>
      <c r="H1113" s="10" t="str">
        <f aca="false">Config!$B$3</f>
        <v>2610_ff_lansare</v>
      </c>
      <c r="I1113" s="10" t="str">
        <f aca="false">D1113&amp;"_"&amp;Config!$B$4</f>
        <v>client_general</v>
      </c>
      <c r="J1113" s="10" t="str">
        <f aca="false">"https://"&amp;B1113&amp;G1113&amp;"?utm_source="&amp;E1113&amp;"&amp;utm_medium="&amp;F1113&amp;"&amp;utm_campaign="&amp;H1113&amp;"&amp;utm_content="&amp;I1113</f>
        <v>https://eu-ai-act-ready.eu/?utm_source=crunchbase&amp;utm_medium=referral&amp;utm_campaign=2610_ff_lansare&amp;utm_content=client_general</v>
      </c>
    </row>
    <row r="1114" customFormat="false" ht="15" hidden="false" customHeight="false" outlineLevel="0" collapsed="false">
      <c r="A1114" s="10" t="s">
        <v>73</v>
      </c>
      <c r="B1114" s="10" t="str">
        <f aca="false">INDEX('Site-uri'!$B$2:$B$20,MATCH(A1114,'Site-uri'!$A$2:$A$20,0))</f>
        <v>eu-ai-act-ready.eu</v>
      </c>
      <c r="C1114" s="10" t="s">
        <v>170</v>
      </c>
      <c r="D1114" s="10" t="s">
        <v>219</v>
      </c>
      <c r="E1114" s="10" t="str">
        <f aca="false">INDEX(Canale!$C$2:$C$30,MATCH(C1114,Canale!$A$2:$A$30,0))</f>
        <v>zenodo</v>
      </c>
      <c r="F1114" s="10" t="str">
        <f aca="false">INDEX(Canale!$D$2:$D$30,MATCH(C1114,Canale!$A$2:$A$30,0))</f>
        <v>referral</v>
      </c>
      <c r="G1114" s="10" t="str">
        <f aca="false">INDEX('Site-uri'!$C$2:$C$20,MATCH(A1114,'Site-uri'!$A$2:$A$20,0))</f>
        <v>/</v>
      </c>
      <c r="H1114" s="10" t="str">
        <f aca="false">Config!$B$3</f>
        <v>2610_ff_lansare</v>
      </c>
      <c r="I1114" s="10" t="str">
        <f aca="false">D1114&amp;"_"&amp;Config!$B$4</f>
        <v>rece_general</v>
      </c>
      <c r="J1114" s="10" t="str">
        <f aca="false">"https://"&amp;B1114&amp;G1114&amp;"?utm_source="&amp;E1114&amp;"&amp;utm_medium="&amp;F1114&amp;"&amp;utm_campaign="&amp;H1114&amp;"&amp;utm_content="&amp;I1114</f>
        <v>https://eu-ai-act-ready.eu/?utm_source=zenodo&amp;utm_medium=referral&amp;utm_campaign=2610_ff_lansare&amp;utm_content=rece_general</v>
      </c>
    </row>
    <row r="1115" customFormat="false" ht="15" hidden="false" customHeight="false" outlineLevel="0" collapsed="false">
      <c r="A1115" s="10" t="s">
        <v>73</v>
      </c>
      <c r="B1115" s="10" t="str">
        <f aca="false">INDEX('Site-uri'!$B$2:$B$20,MATCH(A1115,'Site-uri'!$A$2:$A$20,0))</f>
        <v>eu-ai-act-ready.eu</v>
      </c>
      <c r="C1115" s="10" t="s">
        <v>170</v>
      </c>
      <c r="D1115" s="10" t="s">
        <v>225</v>
      </c>
      <c r="E1115" s="10" t="str">
        <f aca="false">INDEX(Canale!$C$2:$C$30,MATCH(C1115,Canale!$A$2:$A$30,0))</f>
        <v>zenodo</v>
      </c>
      <c r="F1115" s="10" t="str">
        <f aca="false">INDEX(Canale!$D$2:$D$30,MATCH(C1115,Canale!$A$2:$A$30,0))</f>
        <v>referral</v>
      </c>
      <c r="G1115" s="10" t="str">
        <f aca="false">INDEX('Site-uri'!$C$2:$C$20,MATCH(A1115,'Site-uri'!$A$2:$A$20,0))</f>
        <v>/</v>
      </c>
      <c r="H1115" s="10" t="str">
        <f aca="false">Config!$B$3</f>
        <v>2610_ff_lansare</v>
      </c>
      <c r="I1115" s="10" t="str">
        <f aca="false">D1115&amp;"_"&amp;Config!$B$4</f>
        <v>cald_general</v>
      </c>
      <c r="J1115" s="10" t="str">
        <f aca="false">"https://"&amp;B1115&amp;G1115&amp;"?utm_source="&amp;E1115&amp;"&amp;utm_medium="&amp;F1115&amp;"&amp;utm_campaign="&amp;H1115&amp;"&amp;utm_content="&amp;I1115</f>
        <v>https://eu-ai-act-ready.eu/?utm_source=zenodo&amp;utm_medium=referral&amp;utm_campaign=2610_ff_lansare&amp;utm_content=cald_general</v>
      </c>
    </row>
    <row r="1116" customFormat="false" ht="15" hidden="false" customHeight="false" outlineLevel="0" collapsed="false">
      <c r="A1116" s="10" t="s">
        <v>73</v>
      </c>
      <c r="B1116" s="10" t="str">
        <f aca="false">INDEX('Site-uri'!$B$2:$B$20,MATCH(A1116,'Site-uri'!$A$2:$A$20,0))</f>
        <v>eu-ai-act-ready.eu</v>
      </c>
      <c r="C1116" s="10" t="s">
        <v>170</v>
      </c>
      <c r="D1116" s="10" t="s">
        <v>231</v>
      </c>
      <c r="E1116" s="10" t="str">
        <f aca="false">INDEX(Canale!$C$2:$C$30,MATCH(C1116,Canale!$A$2:$A$30,0))</f>
        <v>zenodo</v>
      </c>
      <c r="F1116" s="10" t="str">
        <f aca="false">INDEX(Canale!$D$2:$D$30,MATCH(C1116,Canale!$A$2:$A$30,0))</f>
        <v>referral</v>
      </c>
      <c r="G1116" s="10" t="str">
        <f aca="false">INDEX('Site-uri'!$C$2:$C$20,MATCH(A1116,'Site-uri'!$A$2:$A$20,0))</f>
        <v>/</v>
      </c>
      <c r="H1116" s="10" t="str">
        <f aca="false">Config!$B$3</f>
        <v>2610_ff_lansare</v>
      </c>
      <c r="I1116" s="10" t="str">
        <f aca="false">D1116&amp;"_"&amp;Config!$B$4</f>
        <v>fierbinte_general</v>
      </c>
      <c r="J1116" s="10" t="str">
        <f aca="false">"https://"&amp;B1116&amp;G1116&amp;"?utm_source="&amp;E1116&amp;"&amp;utm_medium="&amp;F1116&amp;"&amp;utm_campaign="&amp;H1116&amp;"&amp;utm_content="&amp;I1116</f>
        <v>https://eu-ai-act-ready.eu/?utm_source=zenodo&amp;utm_medium=referral&amp;utm_campaign=2610_ff_lansare&amp;utm_content=fierbinte_general</v>
      </c>
    </row>
    <row r="1117" customFormat="false" ht="15" hidden="false" customHeight="false" outlineLevel="0" collapsed="false">
      <c r="A1117" s="10" t="s">
        <v>73</v>
      </c>
      <c r="B1117" s="10" t="str">
        <f aca="false">INDEX('Site-uri'!$B$2:$B$20,MATCH(A1117,'Site-uri'!$A$2:$A$20,0))</f>
        <v>eu-ai-act-ready.eu</v>
      </c>
      <c r="C1117" s="10" t="s">
        <v>170</v>
      </c>
      <c r="D1117" s="10" t="s">
        <v>237</v>
      </c>
      <c r="E1117" s="10" t="str">
        <f aca="false">INDEX(Canale!$C$2:$C$30,MATCH(C1117,Canale!$A$2:$A$30,0))</f>
        <v>zenodo</v>
      </c>
      <c r="F1117" s="10" t="str">
        <f aca="false">INDEX(Canale!$D$2:$D$30,MATCH(C1117,Canale!$A$2:$A$30,0))</f>
        <v>referral</v>
      </c>
      <c r="G1117" s="10" t="str">
        <f aca="false">INDEX('Site-uri'!$C$2:$C$20,MATCH(A1117,'Site-uri'!$A$2:$A$20,0))</f>
        <v>/</v>
      </c>
      <c r="H1117" s="10" t="str">
        <f aca="false">Config!$B$3</f>
        <v>2610_ff_lansare</v>
      </c>
      <c r="I1117" s="10" t="str">
        <f aca="false">D1117&amp;"_"&amp;Config!$B$4</f>
        <v>client_general</v>
      </c>
      <c r="J1117" s="10" t="str">
        <f aca="false">"https://"&amp;B1117&amp;G1117&amp;"?utm_source="&amp;E1117&amp;"&amp;utm_medium="&amp;F1117&amp;"&amp;utm_campaign="&amp;H1117&amp;"&amp;utm_content="&amp;I1117</f>
        <v>https://eu-ai-act-ready.eu/?utm_source=zenodo&amp;utm_medium=referral&amp;utm_campaign=2610_ff_lansare&amp;utm_content=client_general</v>
      </c>
    </row>
    <row r="1118" customFormat="false" ht="15" hidden="false" customHeight="false" outlineLevel="0" collapsed="false">
      <c r="A1118" s="10" t="s">
        <v>73</v>
      </c>
      <c r="B1118" s="10" t="str">
        <f aca="false">INDEX('Site-uri'!$B$2:$B$20,MATCH(A1118,'Site-uri'!$A$2:$A$20,0))</f>
        <v>eu-ai-act-ready.eu</v>
      </c>
      <c r="C1118" s="10" t="s">
        <v>173</v>
      </c>
      <c r="D1118" s="10" t="s">
        <v>219</v>
      </c>
      <c r="E1118" s="10" t="str">
        <f aca="false">INDEX(Canale!$C$2:$C$30,MATCH(C1118,Canale!$A$2:$A$30,0))</f>
        <v>orcid</v>
      </c>
      <c r="F1118" s="10" t="str">
        <f aca="false">INDEX(Canale!$D$2:$D$30,MATCH(C1118,Canale!$A$2:$A$30,0))</f>
        <v>referral</v>
      </c>
      <c r="G1118" s="10" t="str">
        <f aca="false">INDEX('Site-uri'!$C$2:$C$20,MATCH(A1118,'Site-uri'!$A$2:$A$20,0))</f>
        <v>/</v>
      </c>
      <c r="H1118" s="10" t="str">
        <f aca="false">Config!$B$3</f>
        <v>2610_ff_lansare</v>
      </c>
      <c r="I1118" s="10" t="str">
        <f aca="false">D1118&amp;"_"&amp;Config!$B$4</f>
        <v>rece_general</v>
      </c>
      <c r="J1118" s="10" t="str">
        <f aca="false">"https://"&amp;B1118&amp;G1118&amp;"?utm_source="&amp;E1118&amp;"&amp;utm_medium="&amp;F1118&amp;"&amp;utm_campaign="&amp;H1118&amp;"&amp;utm_content="&amp;I1118</f>
        <v>https://eu-ai-act-ready.eu/?utm_source=orcid&amp;utm_medium=referral&amp;utm_campaign=2610_ff_lansare&amp;utm_content=rece_general</v>
      </c>
    </row>
    <row r="1119" customFormat="false" ht="15" hidden="false" customHeight="false" outlineLevel="0" collapsed="false">
      <c r="A1119" s="10" t="s">
        <v>73</v>
      </c>
      <c r="B1119" s="10" t="str">
        <f aca="false">INDEX('Site-uri'!$B$2:$B$20,MATCH(A1119,'Site-uri'!$A$2:$A$20,0))</f>
        <v>eu-ai-act-ready.eu</v>
      </c>
      <c r="C1119" s="10" t="s">
        <v>173</v>
      </c>
      <c r="D1119" s="10" t="s">
        <v>225</v>
      </c>
      <c r="E1119" s="10" t="str">
        <f aca="false">INDEX(Canale!$C$2:$C$30,MATCH(C1119,Canale!$A$2:$A$30,0))</f>
        <v>orcid</v>
      </c>
      <c r="F1119" s="10" t="str">
        <f aca="false">INDEX(Canale!$D$2:$D$30,MATCH(C1119,Canale!$A$2:$A$30,0))</f>
        <v>referral</v>
      </c>
      <c r="G1119" s="10" t="str">
        <f aca="false">INDEX('Site-uri'!$C$2:$C$20,MATCH(A1119,'Site-uri'!$A$2:$A$20,0))</f>
        <v>/</v>
      </c>
      <c r="H1119" s="10" t="str">
        <f aca="false">Config!$B$3</f>
        <v>2610_ff_lansare</v>
      </c>
      <c r="I1119" s="10" t="str">
        <f aca="false">D1119&amp;"_"&amp;Config!$B$4</f>
        <v>cald_general</v>
      </c>
      <c r="J1119" s="10" t="str">
        <f aca="false">"https://"&amp;B1119&amp;G1119&amp;"?utm_source="&amp;E1119&amp;"&amp;utm_medium="&amp;F1119&amp;"&amp;utm_campaign="&amp;H1119&amp;"&amp;utm_content="&amp;I1119</f>
        <v>https://eu-ai-act-ready.eu/?utm_source=orcid&amp;utm_medium=referral&amp;utm_campaign=2610_ff_lansare&amp;utm_content=cald_general</v>
      </c>
    </row>
    <row r="1120" customFormat="false" ht="15" hidden="false" customHeight="false" outlineLevel="0" collapsed="false">
      <c r="A1120" s="10" t="s">
        <v>73</v>
      </c>
      <c r="B1120" s="10" t="str">
        <f aca="false">INDEX('Site-uri'!$B$2:$B$20,MATCH(A1120,'Site-uri'!$A$2:$A$20,0))</f>
        <v>eu-ai-act-ready.eu</v>
      </c>
      <c r="C1120" s="10" t="s">
        <v>173</v>
      </c>
      <c r="D1120" s="10" t="s">
        <v>231</v>
      </c>
      <c r="E1120" s="10" t="str">
        <f aca="false">INDEX(Canale!$C$2:$C$30,MATCH(C1120,Canale!$A$2:$A$30,0))</f>
        <v>orcid</v>
      </c>
      <c r="F1120" s="10" t="str">
        <f aca="false">INDEX(Canale!$D$2:$D$30,MATCH(C1120,Canale!$A$2:$A$30,0))</f>
        <v>referral</v>
      </c>
      <c r="G1120" s="10" t="str">
        <f aca="false">INDEX('Site-uri'!$C$2:$C$20,MATCH(A1120,'Site-uri'!$A$2:$A$20,0))</f>
        <v>/</v>
      </c>
      <c r="H1120" s="10" t="str">
        <f aca="false">Config!$B$3</f>
        <v>2610_ff_lansare</v>
      </c>
      <c r="I1120" s="10" t="str">
        <f aca="false">D1120&amp;"_"&amp;Config!$B$4</f>
        <v>fierbinte_general</v>
      </c>
      <c r="J1120" s="10" t="str">
        <f aca="false">"https://"&amp;B1120&amp;G1120&amp;"?utm_source="&amp;E1120&amp;"&amp;utm_medium="&amp;F1120&amp;"&amp;utm_campaign="&amp;H1120&amp;"&amp;utm_content="&amp;I1120</f>
        <v>https://eu-ai-act-ready.eu/?utm_source=orcid&amp;utm_medium=referral&amp;utm_campaign=2610_ff_lansare&amp;utm_content=fierbinte_general</v>
      </c>
    </row>
    <row r="1121" customFormat="false" ht="15" hidden="false" customHeight="false" outlineLevel="0" collapsed="false">
      <c r="A1121" s="10" t="s">
        <v>73</v>
      </c>
      <c r="B1121" s="10" t="str">
        <f aca="false">INDEX('Site-uri'!$B$2:$B$20,MATCH(A1121,'Site-uri'!$A$2:$A$20,0))</f>
        <v>eu-ai-act-ready.eu</v>
      </c>
      <c r="C1121" s="10" t="s">
        <v>173</v>
      </c>
      <c r="D1121" s="10" t="s">
        <v>237</v>
      </c>
      <c r="E1121" s="10" t="str">
        <f aca="false">INDEX(Canale!$C$2:$C$30,MATCH(C1121,Canale!$A$2:$A$30,0))</f>
        <v>orcid</v>
      </c>
      <c r="F1121" s="10" t="str">
        <f aca="false">INDEX(Canale!$D$2:$D$30,MATCH(C1121,Canale!$A$2:$A$30,0))</f>
        <v>referral</v>
      </c>
      <c r="G1121" s="10" t="str">
        <f aca="false">INDEX('Site-uri'!$C$2:$C$20,MATCH(A1121,'Site-uri'!$A$2:$A$20,0))</f>
        <v>/</v>
      </c>
      <c r="H1121" s="10" t="str">
        <f aca="false">Config!$B$3</f>
        <v>2610_ff_lansare</v>
      </c>
      <c r="I1121" s="10" t="str">
        <f aca="false">D1121&amp;"_"&amp;Config!$B$4</f>
        <v>client_general</v>
      </c>
      <c r="J1121" s="10" t="str">
        <f aca="false">"https://"&amp;B1121&amp;G1121&amp;"?utm_source="&amp;E1121&amp;"&amp;utm_medium="&amp;F1121&amp;"&amp;utm_campaign="&amp;H1121&amp;"&amp;utm_content="&amp;I1121</f>
        <v>https://eu-ai-act-ready.eu/?utm_source=orcid&amp;utm_medium=referral&amp;utm_campaign=2610_ff_lansare&amp;utm_content=client_general</v>
      </c>
    </row>
    <row r="1122" customFormat="false" ht="15" hidden="false" customHeight="false" outlineLevel="0" collapsed="false">
      <c r="A1122" s="10" t="s">
        <v>73</v>
      </c>
      <c r="B1122" s="10" t="str">
        <f aca="false">INDEX('Site-uri'!$B$2:$B$20,MATCH(A1122,'Site-uri'!$A$2:$A$20,0))</f>
        <v>eu-ai-act-ready.eu</v>
      </c>
      <c r="C1122" s="10" t="s">
        <v>176</v>
      </c>
      <c r="D1122" s="10" t="s">
        <v>219</v>
      </c>
      <c r="E1122" s="10" t="str">
        <f aca="false">INDEX(Canale!$C$2:$C$30,MATCH(C1122,Canale!$A$2:$A$30,0))</f>
        <v>github</v>
      </c>
      <c r="F1122" s="10" t="str">
        <f aca="false">INDEX(Canale!$D$2:$D$30,MATCH(C1122,Canale!$A$2:$A$30,0))</f>
        <v>referral</v>
      </c>
      <c r="G1122" s="10" t="str">
        <f aca="false">INDEX('Site-uri'!$C$2:$C$20,MATCH(A1122,'Site-uri'!$A$2:$A$20,0))</f>
        <v>/</v>
      </c>
      <c r="H1122" s="10" t="str">
        <f aca="false">Config!$B$3</f>
        <v>2610_ff_lansare</v>
      </c>
      <c r="I1122" s="10" t="str">
        <f aca="false">D1122&amp;"_"&amp;Config!$B$4</f>
        <v>rece_general</v>
      </c>
      <c r="J1122" s="10" t="str">
        <f aca="false">"https://"&amp;B1122&amp;G1122&amp;"?utm_source="&amp;E1122&amp;"&amp;utm_medium="&amp;F1122&amp;"&amp;utm_campaign="&amp;H1122&amp;"&amp;utm_content="&amp;I1122</f>
        <v>https://eu-ai-act-ready.eu/?utm_source=github&amp;utm_medium=referral&amp;utm_campaign=2610_ff_lansare&amp;utm_content=rece_general</v>
      </c>
    </row>
    <row r="1123" customFormat="false" ht="15" hidden="false" customHeight="false" outlineLevel="0" collapsed="false">
      <c r="A1123" s="10" t="s">
        <v>73</v>
      </c>
      <c r="B1123" s="10" t="str">
        <f aca="false">INDEX('Site-uri'!$B$2:$B$20,MATCH(A1123,'Site-uri'!$A$2:$A$20,0))</f>
        <v>eu-ai-act-ready.eu</v>
      </c>
      <c r="C1123" s="10" t="s">
        <v>176</v>
      </c>
      <c r="D1123" s="10" t="s">
        <v>225</v>
      </c>
      <c r="E1123" s="10" t="str">
        <f aca="false">INDEX(Canale!$C$2:$C$30,MATCH(C1123,Canale!$A$2:$A$30,0))</f>
        <v>github</v>
      </c>
      <c r="F1123" s="10" t="str">
        <f aca="false">INDEX(Canale!$D$2:$D$30,MATCH(C1123,Canale!$A$2:$A$30,0))</f>
        <v>referral</v>
      </c>
      <c r="G1123" s="10" t="str">
        <f aca="false">INDEX('Site-uri'!$C$2:$C$20,MATCH(A1123,'Site-uri'!$A$2:$A$20,0))</f>
        <v>/</v>
      </c>
      <c r="H1123" s="10" t="str">
        <f aca="false">Config!$B$3</f>
        <v>2610_ff_lansare</v>
      </c>
      <c r="I1123" s="10" t="str">
        <f aca="false">D1123&amp;"_"&amp;Config!$B$4</f>
        <v>cald_general</v>
      </c>
      <c r="J1123" s="10" t="str">
        <f aca="false">"https://"&amp;B1123&amp;G1123&amp;"?utm_source="&amp;E1123&amp;"&amp;utm_medium="&amp;F1123&amp;"&amp;utm_campaign="&amp;H1123&amp;"&amp;utm_content="&amp;I1123</f>
        <v>https://eu-ai-act-ready.eu/?utm_source=github&amp;utm_medium=referral&amp;utm_campaign=2610_ff_lansare&amp;utm_content=cald_general</v>
      </c>
    </row>
    <row r="1124" customFormat="false" ht="15" hidden="false" customHeight="false" outlineLevel="0" collapsed="false">
      <c r="A1124" s="10" t="s">
        <v>73</v>
      </c>
      <c r="B1124" s="10" t="str">
        <f aca="false">INDEX('Site-uri'!$B$2:$B$20,MATCH(A1124,'Site-uri'!$A$2:$A$20,0))</f>
        <v>eu-ai-act-ready.eu</v>
      </c>
      <c r="C1124" s="10" t="s">
        <v>176</v>
      </c>
      <c r="D1124" s="10" t="s">
        <v>231</v>
      </c>
      <c r="E1124" s="10" t="str">
        <f aca="false">INDEX(Canale!$C$2:$C$30,MATCH(C1124,Canale!$A$2:$A$30,0))</f>
        <v>github</v>
      </c>
      <c r="F1124" s="10" t="str">
        <f aca="false">INDEX(Canale!$D$2:$D$30,MATCH(C1124,Canale!$A$2:$A$30,0))</f>
        <v>referral</v>
      </c>
      <c r="G1124" s="10" t="str">
        <f aca="false">INDEX('Site-uri'!$C$2:$C$20,MATCH(A1124,'Site-uri'!$A$2:$A$20,0))</f>
        <v>/</v>
      </c>
      <c r="H1124" s="10" t="str">
        <f aca="false">Config!$B$3</f>
        <v>2610_ff_lansare</v>
      </c>
      <c r="I1124" s="10" t="str">
        <f aca="false">D1124&amp;"_"&amp;Config!$B$4</f>
        <v>fierbinte_general</v>
      </c>
      <c r="J1124" s="10" t="str">
        <f aca="false">"https://"&amp;B1124&amp;G1124&amp;"?utm_source="&amp;E1124&amp;"&amp;utm_medium="&amp;F1124&amp;"&amp;utm_campaign="&amp;H1124&amp;"&amp;utm_content="&amp;I1124</f>
        <v>https://eu-ai-act-ready.eu/?utm_source=github&amp;utm_medium=referral&amp;utm_campaign=2610_ff_lansare&amp;utm_content=fierbinte_general</v>
      </c>
    </row>
    <row r="1125" customFormat="false" ht="15" hidden="false" customHeight="false" outlineLevel="0" collapsed="false">
      <c r="A1125" s="10" t="s">
        <v>73</v>
      </c>
      <c r="B1125" s="10" t="str">
        <f aca="false">INDEX('Site-uri'!$B$2:$B$20,MATCH(A1125,'Site-uri'!$A$2:$A$20,0))</f>
        <v>eu-ai-act-ready.eu</v>
      </c>
      <c r="C1125" s="10" t="s">
        <v>176</v>
      </c>
      <c r="D1125" s="10" t="s">
        <v>237</v>
      </c>
      <c r="E1125" s="10" t="str">
        <f aca="false">INDEX(Canale!$C$2:$C$30,MATCH(C1125,Canale!$A$2:$A$30,0))</f>
        <v>github</v>
      </c>
      <c r="F1125" s="10" t="str">
        <f aca="false">INDEX(Canale!$D$2:$D$30,MATCH(C1125,Canale!$A$2:$A$30,0))</f>
        <v>referral</v>
      </c>
      <c r="G1125" s="10" t="str">
        <f aca="false">INDEX('Site-uri'!$C$2:$C$20,MATCH(A1125,'Site-uri'!$A$2:$A$20,0))</f>
        <v>/</v>
      </c>
      <c r="H1125" s="10" t="str">
        <f aca="false">Config!$B$3</f>
        <v>2610_ff_lansare</v>
      </c>
      <c r="I1125" s="10" t="str">
        <f aca="false">D1125&amp;"_"&amp;Config!$B$4</f>
        <v>client_general</v>
      </c>
      <c r="J1125" s="10" t="str">
        <f aca="false">"https://"&amp;B1125&amp;G1125&amp;"?utm_source="&amp;E1125&amp;"&amp;utm_medium="&amp;F1125&amp;"&amp;utm_campaign="&amp;H1125&amp;"&amp;utm_content="&amp;I1125</f>
        <v>https://eu-ai-act-ready.eu/?utm_source=github&amp;utm_medium=referral&amp;utm_campaign=2610_ff_lansare&amp;utm_content=client_general</v>
      </c>
    </row>
    <row r="1126" customFormat="false" ht="15" hidden="false" customHeight="false" outlineLevel="0" collapsed="false">
      <c r="A1126" s="10" t="s">
        <v>73</v>
      </c>
      <c r="B1126" s="10" t="str">
        <f aca="false">INDEX('Site-uri'!$B$2:$B$20,MATCH(A1126,'Site-uri'!$A$2:$A$20,0))</f>
        <v>eu-ai-act-ready.eu</v>
      </c>
      <c r="C1126" s="10" t="s">
        <v>179</v>
      </c>
      <c r="D1126" s="10" t="s">
        <v>219</v>
      </c>
      <c r="E1126" s="10" t="str">
        <f aca="false">INDEX(Canale!$C$2:$C$30,MATCH(C1126,Canale!$A$2:$A$30,0))</f>
        <v>kdp_book</v>
      </c>
      <c r="F1126" s="10" t="str">
        <f aca="false">INDEX(Canale!$D$2:$D$30,MATCH(C1126,Canale!$A$2:$A$30,0))</f>
        <v>book</v>
      </c>
      <c r="G1126" s="10" t="str">
        <f aca="false">INDEX('Site-uri'!$C$2:$C$20,MATCH(A1126,'Site-uri'!$A$2:$A$20,0))</f>
        <v>/</v>
      </c>
      <c r="H1126" s="10" t="str">
        <f aca="false">Config!$B$3</f>
        <v>2610_ff_lansare</v>
      </c>
      <c r="I1126" s="10" t="str">
        <f aca="false">D1126&amp;"_"&amp;Config!$B$4</f>
        <v>rece_general</v>
      </c>
      <c r="J1126" s="10" t="str">
        <f aca="false">"https://"&amp;B1126&amp;G1126&amp;"?utm_source="&amp;E1126&amp;"&amp;utm_medium="&amp;F1126&amp;"&amp;utm_campaign="&amp;H1126&amp;"&amp;utm_content="&amp;I1126</f>
        <v>https://eu-ai-act-ready.eu/?utm_source=kdp_book&amp;utm_medium=book&amp;utm_campaign=2610_ff_lansare&amp;utm_content=rece_general</v>
      </c>
    </row>
    <row r="1127" customFormat="false" ht="15" hidden="false" customHeight="false" outlineLevel="0" collapsed="false">
      <c r="A1127" s="10" t="s">
        <v>73</v>
      </c>
      <c r="B1127" s="10" t="str">
        <f aca="false">INDEX('Site-uri'!$B$2:$B$20,MATCH(A1127,'Site-uri'!$A$2:$A$20,0))</f>
        <v>eu-ai-act-ready.eu</v>
      </c>
      <c r="C1127" s="10" t="s">
        <v>179</v>
      </c>
      <c r="D1127" s="10" t="s">
        <v>225</v>
      </c>
      <c r="E1127" s="10" t="str">
        <f aca="false">INDEX(Canale!$C$2:$C$30,MATCH(C1127,Canale!$A$2:$A$30,0))</f>
        <v>kdp_book</v>
      </c>
      <c r="F1127" s="10" t="str">
        <f aca="false">INDEX(Canale!$D$2:$D$30,MATCH(C1127,Canale!$A$2:$A$30,0))</f>
        <v>book</v>
      </c>
      <c r="G1127" s="10" t="str">
        <f aca="false">INDEX('Site-uri'!$C$2:$C$20,MATCH(A1127,'Site-uri'!$A$2:$A$20,0))</f>
        <v>/</v>
      </c>
      <c r="H1127" s="10" t="str">
        <f aca="false">Config!$B$3</f>
        <v>2610_ff_lansare</v>
      </c>
      <c r="I1127" s="10" t="str">
        <f aca="false">D1127&amp;"_"&amp;Config!$B$4</f>
        <v>cald_general</v>
      </c>
      <c r="J1127" s="10" t="str">
        <f aca="false">"https://"&amp;B1127&amp;G1127&amp;"?utm_source="&amp;E1127&amp;"&amp;utm_medium="&amp;F1127&amp;"&amp;utm_campaign="&amp;H1127&amp;"&amp;utm_content="&amp;I1127</f>
        <v>https://eu-ai-act-ready.eu/?utm_source=kdp_book&amp;utm_medium=book&amp;utm_campaign=2610_ff_lansare&amp;utm_content=cald_general</v>
      </c>
    </row>
    <row r="1128" customFormat="false" ht="15" hidden="false" customHeight="false" outlineLevel="0" collapsed="false">
      <c r="A1128" s="10" t="s">
        <v>73</v>
      </c>
      <c r="B1128" s="10" t="str">
        <f aca="false">INDEX('Site-uri'!$B$2:$B$20,MATCH(A1128,'Site-uri'!$A$2:$A$20,0))</f>
        <v>eu-ai-act-ready.eu</v>
      </c>
      <c r="C1128" s="10" t="s">
        <v>179</v>
      </c>
      <c r="D1128" s="10" t="s">
        <v>231</v>
      </c>
      <c r="E1128" s="10" t="str">
        <f aca="false">INDEX(Canale!$C$2:$C$30,MATCH(C1128,Canale!$A$2:$A$30,0))</f>
        <v>kdp_book</v>
      </c>
      <c r="F1128" s="10" t="str">
        <f aca="false">INDEX(Canale!$D$2:$D$30,MATCH(C1128,Canale!$A$2:$A$30,0))</f>
        <v>book</v>
      </c>
      <c r="G1128" s="10" t="str">
        <f aca="false">INDEX('Site-uri'!$C$2:$C$20,MATCH(A1128,'Site-uri'!$A$2:$A$20,0))</f>
        <v>/</v>
      </c>
      <c r="H1128" s="10" t="str">
        <f aca="false">Config!$B$3</f>
        <v>2610_ff_lansare</v>
      </c>
      <c r="I1128" s="10" t="str">
        <f aca="false">D1128&amp;"_"&amp;Config!$B$4</f>
        <v>fierbinte_general</v>
      </c>
      <c r="J1128" s="10" t="str">
        <f aca="false">"https://"&amp;B1128&amp;G1128&amp;"?utm_source="&amp;E1128&amp;"&amp;utm_medium="&amp;F1128&amp;"&amp;utm_campaign="&amp;H1128&amp;"&amp;utm_content="&amp;I1128</f>
        <v>https://eu-ai-act-ready.eu/?utm_source=kdp_book&amp;utm_medium=book&amp;utm_campaign=2610_ff_lansare&amp;utm_content=fierbinte_general</v>
      </c>
    </row>
    <row r="1129" customFormat="false" ht="15" hidden="false" customHeight="false" outlineLevel="0" collapsed="false">
      <c r="A1129" s="10" t="s">
        <v>73</v>
      </c>
      <c r="B1129" s="10" t="str">
        <f aca="false">INDEX('Site-uri'!$B$2:$B$20,MATCH(A1129,'Site-uri'!$A$2:$A$20,0))</f>
        <v>eu-ai-act-ready.eu</v>
      </c>
      <c r="C1129" s="10" t="s">
        <v>179</v>
      </c>
      <c r="D1129" s="10" t="s">
        <v>237</v>
      </c>
      <c r="E1129" s="10" t="str">
        <f aca="false">INDEX(Canale!$C$2:$C$30,MATCH(C1129,Canale!$A$2:$A$30,0))</f>
        <v>kdp_book</v>
      </c>
      <c r="F1129" s="10" t="str">
        <f aca="false">INDEX(Canale!$D$2:$D$30,MATCH(C1129,Canale!$A$2:$A$30,0))</f>
        <v>book</v>
      </c>
      <c r="G1129" s="10" t="str">
        <f aca="false">INDEX('Site-uri'!$C$2:$C$20,MATCH(A1129,'Site-uri'!$A$2:$A$20,0))</f>
        <v>/</v>
      </c>
      <c r="H1129" s="10" t="str">
        <f aca="false">Config!$B$3</f>
        <v>2610_ff_lansare</v>
      </c>
      <c r="I1129" s="10" t="str">
        <f aca="false">D1129&amp;"_"&amp;Config!$B$4</f>
        <v>client_general</v>
      </c>
      <c r="J1129" s="10" t="str">
        <f aca="false">"https://"&amp;B1129&amp;G1129&amp;"?utm_source="&amp;E1129&amp;"&amp;utm_medium="&amp;F1129&amp;"&amp;utm_campaign="&amp;H1129&amp;"&amp;utm_content="&amp;I1129</f>
        <v>https://eu-ai-act-ready.eu/?utm_source=kdp_book&amp;utm_medium=book&amp;utm_campaign=2610_ff_lansare&amp;utm_content=client_general</v>
      </c>
    </row>
    <row r="1130" customFormat="false" ht="15" hidden="false" customHeight="false" outlineLevel="0" collapsed="false">
      <c r="A1130" s="10" t="s">
        <v>73</v>
      </c>
      <c r="B1130" s="10" t="str">
        <f aca="false">INDEX('Site-uri'!$B$2:$B$20,MATCH(A1130,'Site-uri'!$A$2:$A$20,0))</f>
        <v>eu-ai-act-ready.eu</v>
      </c>
      <c r="C1130" s="10" t="s">
        <v>184</v>
      </c>
      <c r="D1130" s="10" t="s">
        <v>219</v>
      </c>
      <c r="E1130" s="10" t="str">
        <f aca="false">INDEX(Canale!$C$2:$C$30,MATCH(C1130,Canale!$A$2:$A$30,0))</f>
        <v>udemy</v>
      </c>
      <c r="F1130" s="10" t="str">
        <f aca="false">INDEX(Canale!$D$2:$D$30,MATCH(C1130,Canale!$A$2:$A$30,0))</f>
        <v>course</v>
      </c>
      <c r="G1130" s="10" t="str">
        <f aca="false">INDEX('Site-uri'!$C$2:$C$20,MATCH(A1130,'Site-uri'!$A$2:$A$20,0))</f>
        <v>/</v>
      </c>
      <c r="H1130" s="10" t="str">
        <f aca="false">Config!$B$3</f>
        <v>2610_ff_lansare</v>
      </c>
      <c r="I1130" s="10" t="str">
        <f aca="false">D1130&amp;"_"&amp;Config!$B$4</f>
        <v>rece_general</v>
      </c>
      <c r="J1130" s="10" t="str">
        <f aca="false">"https://"&amp;B1130&amp;G1130&amp;"?utm_source="&amp;E1130&amp;"&amp;utm_medium="&amp;F1130&amp;"&amp;utm_campaign="&amp;H1130&amp;"&amp;utm_content="&amp;I1130</f>
        <v>https://eu-ai-act-ready.eu/?utm_source=udemy&amp;utm_medium=course&amp;utm_campaign=2610_ff_lansare&amp;utm_content=rece_general</v>
      </c>
    </row>
    <row r="1131" customFormat="false" ht="15" hidden="false" customHeight="false" outlineLevel="0" collapsed="false">
      <c r="A1131" s="10" t="s">
        <v>73</v>
      </c>
      <c r="B1131" s="10" t="str">
        <f aca="false">INDEX('Site-uri'!$B$2:$B$20,MATCH(A1131,'Site-uri'!$A$2:$A$20,0))</f>
        <v>eu-ai-act-ready.eu</v>
      </c>
      <c r="C1131" s="10" t="s">
        <v>184</v>
      </c>
      <c r="D1131" s="10" t="s">
        <v>225</v>
      </c>
      <c r="E1131" s="10" t="str">
        <f aca="false">INDEX(Canale!$C$2:$C$30,MATCH(C1131,Canale!$A$2:$A$30,0))</f>
        <v>udemy</v>
      </c>
      <c r="F1131" s="10" t="str">
        <f aca="false">INDEX(Canale!$D$2:$D$30,MATCH(C1131,Canale!$A$2:$A$30,0))</f>
        <v>course</v>
      </c>
      <c r="G1131" s="10" t="str">
        <f aca="false">INDEX('Site-uri'!$C$2:$C$20,MATCH(A1131,'Site-uri'!$A$2:$A$20,0))</f>
        <v>/</v>
      </c>
      <c r="H1131" s="10" t="str">
        <f aca="false">Config!$B$3</f>
        <v>2610_ff_lansare</v>
      </c>
      <c r="I1131" s="10" t="str">
        <f aca="false">D1131&amp;"_"&amp;Config!$B$4</f>
        <v>cald_general</v>
      </c>
      <c r="J1131" s="10" t="str">
        <f aca="false">"https://"&amp;B1131&amp;G1131&amp;"?utm_source="&amp;E1131&amp;"&amp;utm_medium="&amp;F1131&amp;"&amp;utm_campaign="&amp;H1131&amp;"&amp;utm_content="&amp;I1131</f>
        <v>https://eu-ai-act-ready.eu/?utm_source=udemy&amp;utm_medium=course&amp;utm_campaign=2610_ff_lansare&amp;utm_content=cald_general</v>
      </c>
    </row>
    <row r="1132" customFormat="false" ht="15" hidden="false" customHeight="false" outlineLevel="0" collapsed="false">
      <c r="A1132" s="10" t="s">
        <v>73</v>
      </c>
      <c r="B1132" s="10" t="str">
        <f aca="false">INDEX('Site-uri'!$B$2:$B$20,MATCH(A1132,'Site-uri'!$A$2:$A$20,0))</f>
        <v>eu-ai-act-ready.eu</v>
      </c>
      <c r="C1132" s="10" t="s">
        <v>184</v>
      </c>
      <c r="D1132" s="10" t="s">
        <v>231</v>
      </c>
      <c r="E1132" s="10" t="str">
        <f aca="false">INDEX(Canale!$C$2:$C$30,MATCH(C1132,Canale!$A$2:$A$30,0))</f>
        <v>udemy</v>
      </c>
      <c r="F1132" s="10" t="str">
        <f aca="false">INDEX(Canale!$D$2:$D$30,MATCH(C1132,Canale!$A$2:$A$30,0))</f>
        <v>course</v>
      </c>
      <c r="G1132" s="10" t="str">
        <f aca="false">INDEX('Site-uri'!$C$2:$C$20,MATCH(A1132,'Site-uri'!$A$2:$A$20,0))</f>
        <v>/</v>
      </c>
      <c r="H1132" s="10" t="str">
        <f aca="false">Config!$B$3</f>
        <v>2610_ff_lansare</v>
      </c>
      <c r="I1132" s="10" t="str">
        <f aca="false">D1132&amp;"_"&amp;Config!$B$4</f>
        <v>fierbinte_general</v>
      </c>
      <c r="J1132" s="10" t="str">
        <f aca="false">"https://"&amp;B1132&amp;G1132&amp;"?utm_source="&amp;E1132&amp;"&amp;utm_medium="&amp;F1132&amp;"&amp;utm_campaign="&amp;H1132&amp;"&amp;utm_content="&amp;I1132</f>
        <v>https://eu-ai-act-ready.eu/?utm_source=udemy&amp;utm_medium=course&amp;utm_campaign=2610_ff_lansare&amp;utm_content=fierbinte_general</v>
      </c>
    </row>
    <row r="1133" customFormat="false" ht="15" hidden="false" customHeight="false" outlineLevel="0" collapsed="false">
      <c r="A1133" s="10" t="s">
        <v>73</v>
      </c>
      <c r="B1133" s="10" t="str">
        <f aca="false">INDEX('Site-uri'!$B$2:$B$20,MATCH(A1133,'Site-uri'!$A$2:$A$20,0))</f>
        <v>eu-ai-act-ready.eu</v>
      </c>
      <c r="C1133" s="10" t="s">
        <v>184</v>
      </c>
      <c r="D1133" s="10" t="s">
        <v>237</v>
      </c>
      <c r="E1133" s="10" t="str">
        <f aca="false">INDEX(Canale!$C$2:$C$30,MATCH(C1133,Canale!$A$2:$A$30,0))</f>
        <v>udemy</v>
      </c>
      <c r="F1133" s="10" t="str">
        <f aca="false">INDEX(Canale!$D$2:$D$30,MATCH(C1133,Canale!$A$2:$A$30,0))</f>
        <v>course</v>
      </c>
      <c r="G1133" s="10" t="str">
        <f aca="false">INDEX('Site-uri'!$C$2:$C$20,MATCH(A1133,'Site-uri'!$A$2:$A$20,0))</f>
        <v>/</v>
      </c>
      <c r="H1133" s="10" t="str">
        <f aca="false">Config!$B$3</f>
        <v>2610_ff_lansare</v>
      </c>
      <c r="I1133" s="10" t="str">
        <f aca="false">D1133&amp;"_"&amp;Config!$B$4</f>
        <v>client_general</v>
      </c>
      <c r="J1133" s="10" t="str">
        <f aca="false">"https://"&amp;B1133&amp;G1133&amp;"?utm_source="&amp;E1133&amp;"&amp;utm_medium="&amp;F1133&amp;"&amp;utm_campaign="&amp;H1133&amp;"&amp;utm_content="&amp;I1133</f>
        <v>https://eu-ai-act-ready.eu/?utm_source=udemy&amp;utm_medium=course&amp;utm_campaign=2610_ff_lansare&amp;utm_content=client_general</v>
      </c>
    </row>
    <row r="1134" customFormat="false" ht="15" hidden="false" customHeight="false" outlineLevel="0" collapsed="false">
      <c r="A1134" s="10" t="s">
        <v>73</v>
      </c>
      <c r="B1134" s="10" t="str">
        <f aca="false">INDEX('Site-uri'!$B$2:$B$20,MATCH(A1134,'Site-uri'!$A$2:$A$20,0))</f>
        <v>eu-ai-act-ready.eu</v>
      </c>
      <c r="C1134" s="10" t="s">
        <v>187</v>
      </c>
      <c r="D1134" s="10" t="s">
        <v>219</v>
      </c>
      <c r="E1134" s="10" t="str">
        <f aca="false">INDEX(Canale!$C$2:$C$30,MATCH(C1134,Canale!$A$2:$A$30,0))</f>
        <v>directory</v>
      </c>
      <c r="F1134" s="10" t="str">
        <f aca="false">INDEX(Canale!$D$2:$D$30,MATCH(C1134,Canale!$A$2:$A$30,0))</f>
        <v>referral</v>
      </c>
      <c r="G1134" s="10" t="str">
        <f aca="false">INDEX('Site-uri'!$C$2:$C$20,MATCH(A1134,'Site-uri'!$A$2:$A$20,0))</f>
        <v>/</v>
      </c>
      <c r="H1134" s="10" t="str">
        <f aca="false">Config!$B$3</f>
        <v>2610_ff_lansare</v>
      </c>
      <c r="I1134" s="10" t="str">
        <f aca="false">D1134&amp;"_"&amp;Config!$B$4</f>
        <v>rece_general</v>
      </c>
      <c r="J1134" s="10" t="str">
        <f aca="false">"https://"&amp;B1134&amp;G1134&amp;"?utm_source="&amp;E1134&amp;"&amp;utm_medium="&amp;F1134&amp;"&amp;utm_campaign="&amp;H1134&amp;"&amp;utm_content="&amp;I1134</f>
        <v>https://eu-ai-act-ready.eu/?utm_source=directory&amp;utm_medium=referral&amp;utm_campaign=2610_ff_lansare&amp;utm_content=rece_general</v>
      </c>
    </row>
    <row r="1135" customFormat="false" ht="15" hidden="false" customHeight="false" outlineLevel="0" collapsed="false">
      <c r="A1135" s="10" t="s">
        <v>73</v>
      </c>
      <c r="B1135" s="10" t="str">
        <f aca="false">INDEX('Site-uri'!$B$2:$B$20,MATCH(A1135,'Site-uri'!$A$2:$A$20,0))</f>
        <v>eu-ai-act-ready.eu</v>
      </c>
      <c r="C1135" s="10" t="s">
        <v>187</v>
      </c>
      <c r="D1135" s="10" t="s">
        <v>225</v>
      </c>
      <c r="E1135" s="10" t="str">
        <f aca="false">INDEX(Canale!$C$2:$C$30,MATCH(C1135,Canale!$A$2:$A$30,0))</f>
        <v>directory</v>
      </c>
      <c r="F1135" s="10" t="str">
        <f aca="false">INDEX(Canale!$D$2:$D$30,MATCH(C1135,Canale!$A$2:$A$30,0))</f>
        <v>referral</v>
      </c>
      <c r="G1135" s="10" t="str">
        <f aca="false">INDEX('Site-uri'!$C$2:$C$20,MATCH(A1135,'Site-uri'!$A$2:$A$20,0))</f>
        <v>/</v>
      </c>
      <c r="H1135" s="10" t="str">
        <f aca="false">Config!$B$3</f>
        <v>2610_ff_lansare</v>
      </c>
      <c r="I1135" s="10" t="str">
        <f aca="false">D1135&amp;"_"&amp;Config!$B$4</f>
        <v>cald_general</v>
      </c>
      <c r="J1135" s="10" t="str">
        <f aca="false">"https://"&amp;B1135&amp;G1135&amp;"?utm_source="&amp;E1135&amp;"&amp;utm_medium="&amp;F1135&amp;"&amp;utm_campaign="&amp;H1135&amp;"&amp;utm_content="&amp;I1135</f>
        <v>https://eu-ai-act-ready.eu/?utm_source=directory&amp;utm_medium=referral&amp;utm_campaign=2610_ff_lansare&amp;utm_content=cald_general</v>
      </c>
    </row>
    <row r="1136" customFormat="false" ht="15" hidden="false" customHeight="false" outlineLevel="0" collapsed="false">
      <c r="A1136" s="10" t="s">
        <v>73</v>
      </c>
      <c r="B1136" s="10" t="str">
        <f aca="false">INDEX('Site-uri'!$B$2:$B$20,MATCH(A1136,'Site-uri'!$A$2:$A$20,0))</f>
        <v>eu-ai-act-ready.eu</v>
      </c>
      <c r="C1136" s="10" t="s">
        <v>187</v>
      </c>
      <c r="D1136" s="10" t="s">
        <v>231</v>
      </c>
      <c r="E1136" s="10" t="str">
        <f aca="false">INDEX(Canale!$C$2:$C$30,MATCH(C1136,Canale!$A$2:$A$30,0))</f>
        <v>directory</v>
      </c>
      <c r="F1136" s="10" t="str">
        <f aca="false">INDEX(Canale!$D$2:$D$30,MATCH(C1136,Canale!$A$2:$A$30,0))</f>
        <v>referral</v>
      </c>
      <c r="G1136" s="10" t="str">
        <f aca="false">INDEX('Site-uri'!$C$2:$C$20,MATCH(A1136,'Site-uri'!$A$2:$A$20,0))</f>
        <v>/</v>
      </c>
      <c r="H1136" s="10" t="str">
        <f aca="false">Config!$B$3</f>
        <v>2610_ff_lansare</v>
      </c>
      <c r="I1136" s="10" t="str">
        <f aca="false">D1136&amp;"_"&amp;Config!$B$4</f>
        <v>fierbinte_general</v>
      </c>
      <c r="J1136" s="10" t="str">
        <f aca="false">"https://"&amp;B1136&amp;G1136&amp;"?utm_source="&amp;E1136&amp;"&amp;utm_medium="&amp;F1136&amp;"&amp;utm_campaign="&amp;H1136&amp;"&amp;utm_content="&amp;I1136</f>
        <v>https://eu-ai-act-ready.eu/?utm_source=directory&amp;utm_medium=referral&amp;utm_campaign=2610_ff_lansare&amp;utm_content=fierbinte_general</v>
      </c>
    </row>
    <row r="1137" customFormat="false" ht="15" hidden="false" customHeight="false" outlineLevel="0" collapsed="false">
      <c r="A1137" s="10" t="s">
        <v>73</v>
      </c>
      <c r="B1137" s="10" t="str">
        <f aca="false">INDEX('Site-uri'!$B$2:$B$20,MATCH(A1137,'Site-uri'!$A$2:$A$20,0))</f>
        <v>eu-ai-act-ready.eu</v>
      </c>
      <c r="C1137" s="10" t="s">
        <v>187</v>
      </c>
      <c r="D1137" s="10" t="s">
        <v>237</v>
      </c>
      <c r="E1137" s="10" t="str">
        <f aca="false">INDEX(Canale!$C$2:$C$30,MATCH(C1137,Canale!$A$2:$A$30,0))</f>
        <v>directory</v>
      </c>
      <c r="F1137" s="10" t="str">
        <f aca="false">INDEX(Canale!$D$2:$D$30,MATCH(C1137,Canale!$A$2:$A$30,0))</f>
        <v>referral</v>
      </c>
      <c r="G1137" s="10" t="str">
        <f aca="false">INDEX('Site-uri'!$C$2:$C$20,MATCH(A1137,'Site-uri'!$A$2:$A$20,0))</f>
        <v>/</v>
      </c>
      <c r="H1137" s="10" t="str">
        <f aca="false">Config!$B$3</f>
        <v>2610_ff_lansare</v>
      </c>
      <c r="I1137" s="10" t="str">
        <f aca="false">D1137&amp;"_"&amp;Config!$B$4</f>
        <v>client_general</v>
      </c>
      <c r="J1137" s="10" t="str">
        <f aca="false">"https://"&amp;B1137&amp;G1137&amp;"?utm_source="&amp;E1137&amp;"&amp;utm_medium="&amp;F1137&amp;"&amp;utm_campaign="&amp;H1137&amp;"&amp;utm_content="&amp;I1137</f>
        <v>https://eu-ai-act-ready.eu/?utm_source=directory&amp;utm_medium=referral&amp;utm_campaign=2610_ff_lansare&amp;utm_content=client_general</v>
      </c>
    </row>
    <row r="1138" customFormat="false" ht="15" hidden="false" customHeight="false" outlineLevel="0" collapsed="false">
      <c r="A1138" s="10" t="s">
        <v>73</v>
      </c>
      <c r="B1138" s="10" t="str">
        <f aca="false">INDEX('Site-uri'!$B$2:$B$20,MATCH(A1138,'Site-uri'!$A$2:$A$20,0))</f>
        <v>eu-ai-act-ready.eu</v>
      </c>
      <c r="C1138" s="10" t="s">
        <v>191</v>
      </c>
      <c r="D1138" s="10" t="s">
        <v>219</v>
      </c>
      <c r="E1138" s="10" t="str">
        <f aca="false">INDEX(Canale!$C$2:$C$30,MATCH(C1138,Canale!$A$2:$A$30,0))</f>
        <v>partner</v>
      </c>
      <c r="F1138" s="10" t="str">
        <f aca="false">INDEX(Canale!$D$2:$D$30,MATCH(C1138,Canale!$A$2:$A$30,0))</f>
        <v>partner</v>
      </c>
      <c r="G1138" s="10" t="str">
        <f aca="false">INDEX('Site-uri'!$C$2:$C$20,MATCH(A1138,'Site-uri'!$A$2:$A$20,0))</f>
        <v>/</v>
      </c>
      <c r="H1138" s="10" t="str">
        <f aca="false">Config!$B$3</f>
        <v>2610_ff_lansare</v>
      </c>
      <c r="I1138" s="10" t="str">
        <f aca="false">D1138&amp;"_"&amp;Config!$B$4</f>
        <v>rece_general</v>
      </c>
      <c r="J1138" s="10" t="str">
        <f aca="false">"https://"&amp;B1138&amp;G1138&amp;"?utm_source="&amp;E1138&amp;"&amp;utm_medium="&amp;F1138&amp;"&amp;utm_campaign="&amp;H1138&amp;"&amp;utm_content="&amp;I1138</f>
        <v>https://eu-ai-act-ready.eu/?utm_source=partner&amp;utm_medium=partner&amp;utm_campaign=2610_ff_lansare&amp;utm_content=rece_general</v>
      </c>
    </row>
    <row r="1139" customFormat="false" ht="15" hidden="false" customHeight="false" outlineLevel="0" collapsed="false">
      <c r="A1139" s="10" t="s">
        <v>73</v>
      </c>
      <c r="B1139" s="10" t="str">
        <f aca="false">INDEX('Site-uri'!$B$2:$B$20,MATCH(A1139,'Site-uri'!$A$2:$A$20,0))</f>
        <v>eu-ai-act-ready.eu</v>
      </c>
      <c r="C1139" s="10" t="s">
        <v>191</v>
      </c>
      <c r="D1139" s="10" t="s">
        <v>225</v>
      </c>
      <c r="E1139" s="10" t="str">
        <f aca="false">INDEX(Canale!$C$2:$C$30,MATCH(C1139,Canale!$A$2:$A$30,0))</f>
        <v>partner</v>
      </c>
      <c r="F1139" s="10" t="str">
        <f aca="false">INDEX(Canale!$D$2:$D$30,MATCH(C1139,Canale!$A$2:$A$30,0))</f>
        <v>partner</v>
      </c>
      <c r="G1139" s="10" t="str">
        <f aca="false">INDEX('Site-uri'!$C$2:$C$20,MATCH(A1139,'Site-uri'!$A$2:$A$20,0))</f>
        <v>/</v>
      </c>
      <c r="H1139" s="10" t="str">
        <f aca="false">Config!$B$3</f>
        <v>2610_ff_lansare</v>
      </c>
      <c r="I1139" s="10" t="str">
        <f aca="false">D1139&amp;"_"&amp;Config!$B$4</f>
        <v>cald_general</v>
      </c>
      <c r="J1139" s="10" t="str">
        <f aca="false">"https://"&amp;B1139&amp;G1139&amp;"?utm_source="&amp;E1139&amp;"&amp;utm_medium="&amp;F1139&amp;"&amp;utm_campaign="&amp;H1139&amp;"&amp;utm_content="&amp;I1139</f>
        <v>https://eu-ai-act-ready.eu/?utm_source=partner&amp;utm_medium=partner&amp;utm_campaign=2610_ff_lansare&amp;utm_content=cald_general</v>
      </c>
    </row>
    <row r="1140" customFormat="false" ht="15" hidden="false" customHeight="false" outlineLevel="0" collapsed="false">
      <c r="A1140" s="10" t="s">
        <v>73</v>
      </c>
      <c r="B1140" s="10" t="str">
        <f aca="false">INDEX('Site-uri'!$B$2:$B$20,MATCH(A1140,'Site-uri'!$A$2:$A$20,0))</f>
        <v>eu-ai-act-ready.eu</v>
      </c>
      <c r="C1140" s="10" t="s">
        <v>191</v>
      </c>
      <c r="D1140" s="10" t="s">
        <v>231</v>
      </c>
      <c r="E1140" s="10" t="str">
        <f aca="false">INDEX(Canale!$C$2:$C$30,MATCH(C1140,Canale!$A$2:$A$30,0))</f>
        <v>partner</v>
      </c>
      <c r="F1140" s="10" t="str">
        <f aca="false">INDEX(Canale!$D$2:$D$30,MATCH(C1140,Canale!$A$2:$A$30,0))</f>
        <v>partner</v>
      </c>
      <c r="G1140" s="10" t="str">
        <f aca="false">INDEX('Site-uri'!$C$2:$C$20,MATCH(A1140,'Site-uri'!$A$2:$A$20,0))</f>
        <v>/</v>
      </c>
      <c r="H1140" s="10" t="str">
        <f aca="false">Config!$B$3</f>
        <v>2610_ff_lansare</v>
      </c>
      <c r="I1140" s="10" t="str">
        <f aca="false">D1140&amp;"_"&amp;Config!$B$4</f>
        <v>fierbinte_general</v>
      </c>
      <c r="J1140" s="10" t="str">
        <f aca="false">"https://"&amp;B1140&amp;G1140&amp;"?utm_source="&amp;E1140&amp;"&amp;utm_medium="&amp;F1140&amp;"&amp;utm_campaign="&amp;H1140&amp;"&amp;utm_content="&amp;I1140</f>
        <v>https://eu-ai-act-ready.eu/?utm_source=partner&amp;utm_medium=partner&amp;utm_campaign=2610_ff_lansare&amp;utm_content=fierbinte_general</v>
      </c>
    </row>
    <row r="1141" customFormat="false" ht="15" hidden="false" customHeight="false" outlineLevel="0" collapsed="false">
      <c r="A1141" s="10" t="s">
        <v>73</v>
      </c>
      <c r="B1141" s="10" t="str">
        <f aca="false">INDEX('Site-uri'!$B$2:$B$20,MATCH(A1141,'Site-uri'!$A$2:$A$20,0))</f>
        <v>eu-ai-act-ready.eu</v>
      </c>
      <c r="C1141" s="10" t="s">
        <v>191</v>
      </c>
      <c r="D1141" s="10" t="s">
        <v>237</v>
      </c>
      <c r="E1141" s="10" t="str">
        <f aca="false">INDEX(Canale!$C$2:$C$30,MATCH(C1141,Canale!$A$2:$A$30,0))</f>
        <v>partner</v>
      </c>
      <c r="F1141" s="10" t="str">
        <f aca="false">INDEX(Canale!$D$2:$D$30,MATCH(C1141,Canale!$A$2:$A$30,0))</f>
        <v>partner</v>
      </c>
      <c r="G1141" s="10" t="str">
        <f aca="false">INDEX('Site-uri'!$C$2:$C$20,MATCH(A1141,'Site-uri'!$A$2:$A$20,0))</f>
        <v>/</v>
      </c>
      <c r="H1141" s="10" t="str">
        <f aca="false">Config!$B$3</f>
        <v>2610_ff_lansare</v>
      </c>
      <c r="I1141" s="10" t="str">
        <f aca="false">D1141&amp;"_"&amp;Config!$B$4</f>
        <v>client_general</v>
      </c>
      <c r="J1141" s="10" t="str">
        <f aca="false">"https://"&amp;B1141&amp;G1141&amp;"?utm_source="&amp;E1141&amp;"&amp;utm_medium="&amp;F1141&amp;"&amp;utm_campaign="&amp;H1141&amp;"&amp;utm_content="&amp;I1141</f>
        <v>https://eu-ai-act-ready.eu/?utm_source=partner&amp;utm_medium=partner&amp;utm_campaign=2610_ff_lansare&amp;utm_content=client_general</v>
      </c>
    </row>
    <row r="1142" customFormat="false" ht="15" hidden="false" customHeight="false" outlineLevel="0" collapsed="false">
      <c r="A1142" s="10" t="s">
        <v>73</v>
      </c>
      <c r="B1142" s="10" t="str">
        <f aca="false">INDEX('Site-uri'!$B$2:$B$20,MATCH(A1142,'Site-uri'!$A$2:$A$20,0))</f>
        <v>eu-ai-act-ready.eu</v>
      </c>
      <c r="C1142" s="10" t="s">
        <v>193</v>
      </c>
      <c r="D1142" s="10" t="s">
        <v>219</v>
      </c>
      <c r="E1142" s="10" t="str">
        <f aca="false">INDEX(Canale!$C$2:$C$30,MATCH(C1142,Canale!$A$2:$A$30,0))</f>
        <v>pdf_proposal</v>
      </c>
      <c r="F1142" s="10" t="str">
        <f aca="false">INDEX(Canale!$D$2:$D$30,MATCH(C1142,Canale!$A$2:$A$30,0))</f>
        <v>document</v>
      </c>
      <c r="G1142" s="10" t="str">
        <f aca="false">INDEX('Site-uri'!$C$2:$C$20,MATCH(A1142,'Site-uri'!$A$2:$A$20,0))</f>
        <v>/</v>
      </c>
      <c r="H1142" s="10" t="str">
        <f aca="false">Config!$B$3</f>
        <v>2610_ff_lansare</v>
      </c>
      <c r="I1142" s="10" t="str">
        <f aca="false">D1142&amp;"_"&amp;Config!$B$4</f>
        <v>rece_general</v>
      </c>
      <c r="J1142" s="10" t="str">
        <f aca="false">"https://"&amp;B1142&amp;G1142&amp;"?utm_source="&amp;E1142&amp;"&amp;utm_medium="&amp;F1142&amp;"&amp;utm_campaign="&amp;H1142&amp;"&amp;utm_content="&amp;I1142</f>
        <v>https://eu-ai-act-ready.eu/?utm_source=pdf_proposal&amp;utm_medium=document&amp;utm_campaign=2610_ff_lansare&amp;utm_content=rece_general</v>
      </c>
    </row>
    <row r="1143" customFormat="false" ht="15" hidden="false" customHeight="false" outlineLevel="0" collapsed="false">
      <c r="A1143" s="10" t="s">
        <v>73</v>
      </c>
      <c r="B1143" s="10" t="str">
        <f aca="false">INDEX('Site-uri'!$B$2:$B$20,MATCH(A1143,'Site-uri'!$A$2:$A$20,0))</f>
        <v>eu-ai-act-ready.eu</v>
      </c>
      <c r="C1143" s="10" t="s">
        <v>193</v>
      </c>
      <c r="D1143" s="10" t="s">
        <v>225</v>
      </c>
      <c r="E1143" s="10" t="str">
        <f aca="false">INDEX(Canale!$C$2:$C$30,MATCH(C1143,Canale!$A$2:$A$30,0))</f>
        <v>pdf_proposal</v>
      </c>
      <c r="F1143" s="10" t="str">
        <f aca="false">INDEX(Canale!$D$2:$D$30,MATCH(C1143,Canale!$A$2:$A$30,0))</f>
        <v>document</v>
      </c>
      <c r="G1143" s="10" t="str">
        <f aca="false">INDEX('Site-uri'!$C$2:$C$20,MATCH(A1143,'Site-uri'!$A$2:$A$20,0))</f>
        <v>/</v>
      </c>
      <c r="H1143" s="10" t="str">
        <f aca="false">Config!$B$3</f>
        <v>2610_ff_lansare</v>
      </c>
      <c r="I1143" s="10" t="str">
        <f aca="false">D1143&amp;"_"&amp;Config!$B$4</f>
        <v>cald_general</v>
      </c>
      <c r="J1143" s="10" t="str">
        <f aca="false">"https://"&amp;B1143&amp;G1143&amp;"?utm_source="&amp;E1143&amp;"&amp;utm_medium="&amp;F1143&amp;"&amp;utm_campaign="&amp;H1143&amp;"&amp;utm_content="&amp;I1143</f>
        <v>https://eu-ai-act-ready.eu/?utm_source=pdf_proposal&amp;utm_medium=document&amp;utm_campaign=2610_ff_lansare&amp;utm_content=cald_general</v>
      </c>
    </row>
    <row r="1144" customFormat="false" ht="15" hidden="false" customHeight="false" outlineLevel="0" collapsed="false">
      <c r="A1144" s="10" t="s">
        <v>73</v>
      </c>
      <c r="B1144" s="10" t="str">
        <f aca="false">INDEX('Site-uri'!$B$2:$B$20,MATCH(A1144,'Site-uri'!$A$2:$A$20,0))</f>
        <v>eu-ai-act-ready.eu</v>
      </c>
      <c r="C1144" s="10" t="s">
        <v>193</v>
      </c>
      <c r="D1144" s="10" t="s">
        <v>231</v>
      </c>
      <c r="E1144" s="10" t="str">
        <f aca="false">INDEX(Canale!$C$2:$C$30,MATCH(C1144,Canale!$A$2:$A$30,0))</f>
        <v>pdf_proposal</v>
      </c>
      <c r="F1144" s="10" t="str">
        <f aca="false">INDEX(Canale!$D$2:$D$30,MATCH(C1144,Canale!$A$2:$A$30,0))</f>
        <v>document</v>
      </c>
      <c r="G1144" s="10" t="str">
        <f aca="false">INDEX('Site-uri'!$C$2:$C$20,MATCH(A1144,'Site-uri'!$A$2:$A$20,0))</f>
        <v>/</v>
      </c>
      <c r="H1144" s="10" t="str">
        <f aca="false">Config!$B$3</f>
        <v>2610_ff_lansare</v>
      </c>
      <c r="I1144" s="10" t="str">
        <f aca="false">D1144&amp;"_"&amp;Config!$B$4</f>
        <v>fierbinte_general</v>
      </c>
      <c r="J1144" s="10" t="str">
        <f aca="false">"https://"&amp;B1144&amp;G1144&amp;"?utm_source="&amp;E1144&amp;"&amp;utm_medium="&amp;F1144&amp;"&amp;utm_campaign="&amp;H1144&amp;"&amp;utm_content="&amp;I1144</f>
        <v>https://eu-ai-act-ready.eu/?utm_source=pdf_proposal&amp;utm_medium=document&amp;utm_campaign=2610_ff_lansare&amp;utm_content=fierbinte_general</v>
      </c>
    </row>
    <row r="1145" customFormat="false" ht="15" hidden="false" customHeight="false" outlineLevel="0" collapsed="false">
      <c r="A1145" s="10" t="s">
        <v>73</v>
      </c>
      <c r="B1145" s="10" t="str">
        <f aca="false">INDEX('Site-uri'!$B$2:$B$20,MATCH(A1145,'Site-uri'!$A$2:$A$20,0))</f>
        <v>eu-ai-act-ready.eu</v>
      </c>
      <c r="C1145" s="10" t="s">
        <v>193</v>
      </c>
      <c r="D1145" s="10" t="s">
        <v>237</v>
      </c>
      <c r="E1145" s="10" t="str">
        <f aca="false">INDEX(Canale!$C$2:$C$30,MATCH(C1145,Canale!$A$2:$A$30,0))</f>
        <v>pdf_proposal</v>
      </c>
      <c r="F1145" s="10" t="str">
        <f aca="false">INDEX(Canale!$D$2:$D$30,MATCH(C1145,Canale!$A$2:$A$30,0))</f>
        <v>document</v>
      </c>
      <c r="G1145" s="10" t="str">
        <f aca="false">INDEX('Site-uri'!$C$2:$C$20,MATCH(A1145,'Site-uri'!$A$2:$A$20,0))</f>
        <v>/</v>
      </c>
      <c r="H1145" s="10" t="str">
        <f aca="false">Config!$B$3</f>
        <v>2610_ff_lansare</v>
      </c>
      <c r="I1145" s="10" t="str">
        <f aca="false">D1145&amp;"_"&amp;Config!$B$4</f>
        <v>client_general</v>
      </c>
      <c r="J1145" s="10" t="str">
        <f aca="false">"https://"&amp;B1145&amp;G1145&amp;"?utm_source="&amp;E1145&amp;"&amp;utm_medium="&amp;F1145&amp;"&amp;utm_campaign="&amp;H1145&amp;"&amp;utm_content="&amp;I1145</f>
        <v>https://eu-ai-act-ready.eu/?utm_source=pdf_proposal&amp;utm_medium=document&amp;utm_campaign=2610_ff_lansare&amp;utm_content=client_general</v>
      </c>
    </row>
    <row r="1146" customFormat="false" ht="15" hidden="false" customHeight="false" outlineLevel="0" collapsed="false">
      <c r="A1146" s="10" t="s">
        <v>73</v>
      </c>
      <c r="B1146" s="10" t="str">
        <f aca="false">INDEX('Site-uri'!$B$2:$B$20,MATCH(A1146,'Site-uri'!$A$2:$A$20,0))</f>
        <v>eu-ai-act-ready.eu</v>
      </c>
      <c r="C1146" s="10" t="s">
        <v>198</v>
      </c>
      <c r="D1146" s="10" t="s">
        <v>219</v>
      </c>
      <c r="E1146" s="10" t="str">
        <f aca="false">INDEX(Canale!$C$2:$C$30,MATCH(C1146,Canale!$A$2:$A$30,0))</f>
        <v>qr_print</v>
      </c>
      <c r="F1146" s="10" t="str">
        <f aca="false">INDEX(Canale!$D$2:$D$30,MATCH(C1146,Canale!$A$2:$A$30,0))</f>
        <v>qr</v>
      </c>
      <c r="G1146" s="10" t="str">
        <f aca="false">INDEX('Site-uri'!$C$2:$C$20,MATCH(A1146,'Site-uri'!$A$2:$A$20,0))</f>
        <v>/</v>
      </c>
      <c r="H1146" s="10" t="str">
        <f aca="false">Config!$B$3</f>
        <v>2610_ff_lansare</v>
      </c>
      <c r="I1146" s="10" t="str">
        <f aca="false">D1146&amp;"_"&amp;Config!$B$4</f>
        <v>rece_general</v>
      </c>
      <c r="J1146" s="10" t="str">
        <f aca="false">"https://"&amp;B1146&amp;G1146&amp;"?utm_source="&amp;E1146&amp;"&amp;utm_medium="&amp;F1146&amp;"&amp;utm_campaign="&amp;H1146&amp;"&amp;utm_content="&amp;I1146</f>
        <v>https://eu-ai-act-ready.eu/?utm_source=qr_print&amp;utm_medium=qr&amp;utm_campaign=2610_ff_lansare&amp;utm_content=rece_general</v>
      </c>
    </row>
    <row r="1147" customFormat="false" ht="15" hidden="false" customHeight="false" outlineLevel="0" collapsed="false">
      <c r="A1147" s="10" t="s">
        <v>73</v>
      </c>
      <c r="B1147" s="10" t="str">
        <f aca="false">INDEX('Site-uri'!$B$2:$B$20,MATCH(A1147,'Site-uri'!$A$2:$A$20,0))</f>
        <v>eu-ai-act-ready.eu</v>
      </c>
      <c r="C1147" s="10" t="s">
        <v>198</v>
      </c>
      <c r="D1147" s="10" t="s">
        <v>225</v>
      </c>
      <c r="E1147" s="10" t="str">
        <f aca="false">INDEX(Canale!$C$2:$C$30,MATCH(C1147,Canale!$A$2:$A$30,0))</f>
        <v>qr_print</v>
      </c>
      <c r="F1147" s="10" t="str">
        <f aca="false">INDEX(Canale!$D$2:$D$30,MATCH(C1147,Canale!$A$2:$A$30,0))</f>
        <v>qr</v>
      </c>
      <c r="G1147" s="10" t="str">
        <f aca="false">INDEX('Site-uri'!$C$2:$C$20,MATCH(A1147,'Site-uri'!$A$2:$A$20,0))</f>
        <v>/</v>
      </c>
      <c r="H1147" s="10" t="str">
        <f aca="false">Config!$B$3</f>
        <v>2610_ff_lansare</v>
      </c>
      <c r="I1147" s="10" t="str">
        <f aca="false">D1147&amp;"_"&amp;Config!$B$4</f>
        <v>cald_general</v>
      </c>
      <c r="J1147" s="10" t="str">
        <f aca="false">"https://"&amp;B1147&amp;G1147&amp;"?utm_source="&amp;E1147&amp;"&amp;utm_medium="&amp;F1147&amp;"&amp;utm_campaign="&amp;H1147&amp;"&amp;utm_content="&amp;I1147</f>
        <v>https://eu-ai-act-ready.eu/?utm_source=qr_print&amp;utm_medium=qr&amp;utm_campaign=2610_ff_lansare&amp;utm_content=cald_general</v>
      </c>
    </row>
    <row r="1148" customFormat="false" ht="15" hidden="false" customHeight="false" outlineLevel="0" collapsed="false">
      <c r="A1148" s="10" t="s">
        <v>73</v>
      </c>
      <c r="B1148" s="10" t="str">
        <f aca="false">INDEX('Site-uri'!$B$2:$B$20,MATCH(A1148,'Site-uri'!$A$2:$A$20,0))</f>
        <v>eu-ai-act-ready.eu</v>
      </c>
      <c r="C1148" s="10" t="s">
        <v>198</v>
      </c>
      <c r="D1148" s="10" t="s">
        <v>231</v>
      </c>
      <c r="E1148" s="10" t="str">
        <f aca="false">INDEX(Canale!$C$2:$C$30,MATCH(C1148,Canale!$A$2:$A$30,0))</f>
        <v>qr_print</v>
      </c>
      <c r="F1148" s="10" t="str">
        <f aca="false">INDEX(Canale!$D$2:$D$30,MATCH(C1148,Canale!$A$2:$A$30,0))</f>
        <v>qr</v>
      </c>
      <c r="G1148" s="10" t="str">
        <f aca="false">INDEX('Site-uri'!$C$2:$C$20,MATCH(A1148,'Site-uri'!$A$2:$A$20,0))</f>
        <v>/</v>
      </c>
      <c r="H1148" s="10" t="str">
        <f aca="false">Config!$B$3</f>
        <v>2610_ff_lansare</v>
      </c>
      <c r="I1148" s="10" t="str">
        <f aca="false">D1148&amp;"_"&amp;Config!$B$4</f>
        <v>fierbinte_general</v>
      </c>
      <c r="J1148" s="10" t="str">
        <f aca="false">"https://"&amp;B1148&amp;G1148&amp;"?utm_source="&amp;E1148&amp;"&amp;utm_medium="&amp;F1148&amp;"&amp;utm_campaign="&amp;H1148&amp;"&amp;utm_content="&amp;I1148</f>
        <v>https://eu-ai-act-ready.eu/?utm_source=qr_print&amp;utm_medium=qr&amp;utm_campaign=2610_ff_lansare&amp;utm_content=fierbinte_general</v>
      </c>
    </row>
    <row r="1149" customFormat="false" ht="15" hidden="false" customHeight="false" outlineLevel="0" collapsed="false">
      <c r="A1149" s="10" t="s">
        <v>73</v>
      </c>
      <c r="B1149" s="10" t="str">
        <f aca="false">INDEX('Site-uri'!$B$2:$B$20,MATCH(A1149,'Site-uri'!$A$2:$A$20,0))</f>
        <v>eu-ai-act-ready.eu</v>
      </c>
      <c r="C1149" s="10" t="s">
        <v>198</v>
      </c>
      <c r="D1149" s="10" t="s">
        <v>237</v>
      </c>
      <c r="E1149" s="10" t="str">
        <f aca="false">INDEX(Canale!$C$2:$C$30,MATCH(C1149,Canale!$A$2:$A$30,0))</f>
        <v>qr_print</v>
      </c>
      <c r="F1149" s="10" t="str">
        <f aca="false">INDEX(Canale!$D$2:$D$30,MATCH(C1149,Canale!$A$2:$A$30,0))</f>
        <v>qr</v>
      </c>
      <c r="G1149" s="10" t="str">
        <f aca="false">INDEX('Site-uri'!$C$2:$C$20,MATCH(A1149,'Site-uri'!$A$2:$A$20,0))</f>
        <v>/</v>
      </c>
      <c r="H1149" s="10" t="str">
        <f aca="false">Config!$B$3</f>
        <v>2610_ff_lansare</v>
      </c>
      <c r="I1149" s="10" t="str">
        <f aca="false">D1149&amp;"_"&amp;Config!$B$4</f>
        <v>client_general</v>
      </c>
      <c r="J1149" s="10" t="str">
        <f aca="false">"https://"&amp;B1149&amp;G1149&amp;"?utm_source="&amp;E1149&amp;"&amp;utm_medium="&amp;F1149&amp;"&amp;utm_campaign="&amp;H1149&amp;"&amp;utm_content="&amp;I1149</f>
        <v>https://eu-ai-act-ready.eu/?utm_source=qr_print&amp;utm_medium=qr&amp;utm_campaign=2610_ff_lansare&amp;utm_content=client_general</v>
      </c>
    </row>
    <row r="1150" customFormat="false" ht="15" hidden="false" customHeight="false" outlineLevel="0" collapsed="false">
      <c r="A1150" s="10" t="s">
        <v>73</v>
      </c>
      <c r="B1150" s="10" t="str">
        <f aca="false">INDEX('Site-uri'!$B$2:$B$20,MATCH(A1150,'Site-uri'!$A$2:$A$20,0))</f>
        <v>eu-ai-act-ready.eu</v>
      </c>
      <c r="C1150" s="10" t="s">
        <v>202</v>
      </c>
      <c r="D1150" s="10" t="s">
        <v>219</v>
      </c>
      <c r="E1150" s="10" t="str">
        <f aca="false">INDEX(Canale!$C$2:$C$30,MATCH(C1150,Canale!$A$2:$A$30,0))</f>
        <v>event</v>
      </c>
      <c r="F1150" s="10" t="str">
        <f aca="false">INDEX(Canale!$D$2:$D$30,MATCH(C1150,Canale!$A$2:$A$30,0))</f>
        <v>event</v>
      </c>
      <c r="G1150" s="10" t="str">
        <f aca="false">INDEX('Site-uri'!$C$2:$C$20,MATCH(A1150,'Site-uri'!$A$2:$A$20,0))</f>
        <v>/</v>
      </c>
      <c r="H1150" s="10" t="str">
        <f aca="false">Config!$B$3</f>
        <v>2610_ff_lansare</v>
      </c>
      <c r="I1150" s="10" t="str">
        <f aca="false">D1150&amp;"_"&amp;Config!$B$4</f>
        <v>rece_general</v>
      </c>
      <c r="J1150" s="10" t="str">
        <f aca="false">"https://"&amp;B1150&amp;G1150&amp;"?utm_source="&amp;E1150&amp;"&amp;utm_medium="&amp;F1150&amp;"&amp;utm_campaign="&amp;H1150&amp;"&amp;utm_content="&amp;I1150</f>
        <v>https://eu-ai-act-ready.eu/?utm_source=event&amp;utm_medium=event&amp;utm_campaign=2610_ff_lansare&amp;utm_content=rece_general</v>
      </c>
    </row>
    <row r="1151" customFormat="false" ht="15" hidden="false" customHeight="false" outlineLevel="0" collapsed="false">
      <c r="A1151" s="10" t="s">
        <v>73</v>
      </c>
      <c r="B1151" s="10" t="str">
        <f aca="false">INDEX('Site-uri'!$B$2:$B$20,MATCH(A1151,'Site-uri'!$A$2:$A$20,0))</f>
        <v>eu-ai-act-ready.eu</v>
      </c>
      <c r="C1151" s="10" t="s">
        <v>202</v>
      </c>
      <c r="D1151" s="10" t="s">
        <v>225</v>
      </c>
      <c r="E1151" s="10" t="str">
        <f aca="false">INDEX(Canale!$C$2:$C$30,MATCH(C1151,Canale!$A$2:$A$30,0))</f>
        <v>event</v>
      </c>
      <c r="F1151" s="10" t="str">
        <f aca="false">INDEX(Canale!$D$2:$D$30,MATCH(C1151,Canale!$A$2:$A$30,0))</f>
        <v>event</v>
      </c>
      <c r="G1151" s="10" t="str">
        <f aca="false">INDEX('Site-uri'!$C$2:$C$20,MATCH(A1151,'Site-uri'!$A$2:$A$20,0))</f>
        <v>/</v>
      </c>
      <c r="H1151" s="10" t="str">
        <f aca="false">Config!$B$3</f>
        <v>2610_ff_lansare</v>
      </c>
      <c r="I1151" s="10" t="str">
        <f aca="false">D1151&amp;"_"&amp;Config!$B$4</f>
        <v>cald_general</v>
      </c>
      <c r="J1151" s="10" t="str">
        <f aca="false">"https://"&amp;B1151&amp;G1151&amp;"?utm_source="&amp;E1151&amp;"&amp;utm_medium="&amp;F1151&amp;"&amp;utm_campaign="&amp;H1151&amp;"&amp;utm_content="&amp;I1151</f>
        <v>https://eu-ai-act-ready.eu/?utm_source=event&amp;utm_medium=event&amp;utm_campaign=2610_ff_lansare&amp;utm_content=cald_general</v>
      </c>
    </row>
    <row r="1152" customFormat="false" ht="15" hidden="false" customHeight="false" outlineLevel="0" collapsed="false">
      <c r="A1152" s="10" t="s">
        <v>73</v>
      </c>
      <c r="B1152" s="10" t="str">
        <f aca="false">INDEX('Site-uri'!$B$2:$B$20,MATCH(A1152,'Site-uri'!$A$2:$A$20,0))</f>
        <v>eu-ai-act-ready.eu</v>
      </c>
      <c r="C1152" s="10" t="s">
        <v>202</v>
      </c>
      <c r="D1152" s="10" t="s">
        <v>231</v>
      </c>
      <c r="E1152" s="10" t="str">
        <f aca="false">INDEX(Canale!$C$2:$C$30,MATCH(C1152,Canale!$A$2:$A$30,0))</f>
        <v>event</v>
      </c>
      <c r="F1152" s="10" t="str">
        <f aca="false">INDEX(Canale!$D$2:$D$30,MATCH(C1152,Canale!$A$2:$A$30,0))</f>
        <v>event</v>
      </c>
      <c r="G1152" s="10" t="str">
        <f aca="false">INDEX('Site-uri'!$C$2:$C$20,MATCH(A1152,'Site-uri'!$A$2:$A$20,0))</f>
        <v>/</v>
      </c>
      <c r="H1152" s="10" t="str">
        <f aca="false">Config!$B$3</f>
        <v>2610_ff_lansare</v>
      </c>
      <c r="I1152" s="10" t="str">
        <f aca="false">D1152&amp;"_"&amp;Config!$B$4</f>
        <v>fierbinte_general</v>
      </c>
      <c r="J1152" s="10" t="str">
        <f aca="false">"https://"&amp;B1152&amp;G1152&amp;"?utm_source="&amp;E1152&amp;"&amp;utm_medium="&amp;F1152&amp;"&amp;utm_campaign="&amp;H1152&amp;"&amp;utm_content="&amp;I1152</f>
        <v>https://eu-ai-act-ready.eu/?utm_source=event&amp;utm_medium=event&amp;utm_campaign=2610_ff_lansare&amp;utm_content=fierbinte_general</v>
      </c>
    </row>
    <row r="1153" customFormat="false" ht="15" hidden="false" customHeight="false" outlineLevel="0" collapsed="false">
      <c r="A1153" s="10" t="s">
        <v>73</v>
      </c>
      <c r="B1153" s="10" t="str">
        <f aca="false">INDEX('Site-uri'!$B$2:$B$20,MATCH(A1153,'Site-uri'!$A$2:$A$20,0))</f>
        <v>eu-ai-act-ready.eu</v>
      </c>
      <c r="C1153" s="10" t="s">
        <v>202</v>
      </c>
      <c r="D1153" s="10" t="s">
        <v>237</v>
      </c>
      <c r="E1153" s="10" t="str">
        <f aca="false">INDEX(Canale!$C$2:$C$30,MATCH(C1153,Canale!$A$2:$A$30,0))</f>
        <v>event</v>
      </c>
      <c r="F1153" s="10" t="str">
        <f aca="false">INDEX(Canale!$D$2:$D$30,MATCH(C1153,Canale!$A$2:$A$30,0))</f>
        <v>event</v>
      </c>
      <c r="G1153" s="10" t="str">
        <f aca="false">INDEX('Site-uri'!$C$2:$C$20,MATCH(A1153,'Site-uri'!$A$2:$A$20,0))</f>
        <v>/</v>
      </c>
      <c r="H1153" s="10" t="str">
        <f aca="false">Config!$B$3</f>
        <v>2610_ff_lansare</v>
      </c>
      <c r="I1153" s="10" t="str">
        <f aca="false">D1153&amp;"_"&amp;Config!$B$4</f>
        <v>client_general</v>
      </c>
      <c r="J1153" s="10" t="str">
        <f aca="false">"https://"&amp;B1153&amp;G1153&amp;"?utm_source="&amp;E1153&amp;"&amp;utm_medium="&amp;F1153&amp;"&amp;utm_campaign="&amp;H1153&amp;"&amp;utm_content="&amp;I1153</f>
        <v>https://eu-ai-act-ready.eu/?utm_source=event&amp;utm_medium=event&amp;utm_campaign=2610_ff_lansare&amp;utm_content=client_general</v>
      </c>
    </row>
    <row r="1154" customFormat="false" ht="15" hidden="false" customHeight="false" outlineLevel="0" collapsed="false">
      <c r="A1154" s="10" t="s">
        <v>73</v>
      </c>
      <c r="B1154" s="10" t="str">
        <f aca="false">INDEX('Site-uri'!$B$2:$B$20,MATCH(A1154,'Site-uri'!$A$2:$A$20,0))</f>
        <v>eu-ai-act-ready.eu</v>
      </c>
      <c r="C1154" s="10" t="s">
        <v>204</v>
      </c>
      <c r="D1154" s="10" t="s">
        <v>219</v>
      </c>
      <c r="E1154" s="10" t="str">
        <f aca="false">INDEX(Canale!$C$2:$C$30,MATCH(C1154,Canale!$A$2:$A$30,0))</f>
        <v>a2a_agent_card</v>
      </c>
      <c r="F1154" s="10" t="str">
        <f aca="false">INDEX(Canale!$D$2:$D$30,MATCH(C1154,Canale!$A$2:$A$30,0))</f>
        <v>agent</v>
      </c>
      <c r="G1154" s="10" t="str">
        <f aca="false">INDEX('Site-uri'!$C$2:$C$20,MATCH(A1154,'Site-uri'!$A$2:$A$20,0))</f>
        <v>/</v>
      </c>
      <c r="H1154" s="10" t="str">
        <f aca="false">Config!$B$3</f>
        <v>2610_ff_lansare</v>
      </c>
      <c r="I1154" s="10" t="str">
        <f aca="false">D1154&amp;"_"&amp;Config!$B$4</f>
        <v>rece_general</v>
      </c>
      <c r="J1154" s="10" t="str">
        <f aca="false">"https://"&amp;B1154&amp;G1154&amp;"?utm_source="&amp;E1154&amp;"&amp;utm_medium="&amp;F1154&amp;"&amp;utm_campaign="&amp;H1154&amp;"&amp;utm_content="&amp;I1154</f>
        <v>https://eu-ai-act-ready.eu/?utm_source=a2a_agent_card&amp;utm_medium=agent&amp;utm_campaign=2610_ff_lansare&amp;utm_content=rece_general</v>
      </c>
    </row>
    <row r="1155" customFormat="false" ht="15" hidden="false" customHeight="false" outlineLevel="0" collapsed="false">
      <c r="A1155" s="10" t="s">
        <v>73</v>
      </c>
      <c r="B1155" s="10" t="str">
        <f aca="false">INDEX('Site-uri'!$B$2:$B$20,MATCH(A1155,'Site-uri'!$A$2:$A$20,0))</f>
        <v>eu-ai-act-ready.eu</v>
      </c>
      <c r="C1155" s="10" t="s">
        <v>204</v>
      </c>
      <c r="D1155" s="10" t="s">
        <v>225</v>
      </c>
      <c r="E1155" s="10" t="str">
        <f aca="false">INDEX(Canale!$C$2:$C$30,MATCH(C1155,Canale!$A$2:$A$30,0))</f>
        <v>a2a_agent_card</v>
      </c>
      <c r="F1155" s="10" t="str">
        <f aca="false">INDEX(Canale!$D$2:$D$30,MATCH(C1155,Canale!$A$2:$A$30,0))</f>
        <v>agent</v>
      </c>
      <c r="G1155" s="10" t="str">
        <f aca="false">INDEX('Site-uri'!$C$2:$C$20,MATCH(A1155,'Site-uri'!$A$2:$A$20,0))</f>
        <v>/</v>
      </c>
      <c r="H1155" s="10" t="str">
        <f aca="false">Config!$B$3</f>
        <v>2610_ff_lansare</v>
      </c>
      <c r="I1155" s="10" t="str">
        <f aca="false">D1155&amp;"_"&amp;Config!$B$4</f>
        <v>cald_general</v>
      </c>
      <c r="J1155" s="10" t="str">
        <f aca="false">"https://"&amp;B1155&amp;G1155&amp;"?utm_source="&amp;E1155&amp;"&amp;utm_medium="&amp;F1155&amp;"&amp;utm_campaign="&amp;H1155&amp;"&amp;utm_content="&amp;I1155</f>
        <v>https://eu-ai-act-ready.eu/?utm_source=a2a_agent_card&amp;utm_medium=agent&amp;utm_campaign=2610_ff_lansare&amp;utm_content=cald_general</v>
      </c>
    </row>
    <row r="1156" customFormat="false" ht="15" hidden="false" customHeight="false" outlineLevel="0" collapsed="false">
      <c r="A1156" s="10" t="s">
        <v>73</v>
      </c>
      <c r="B1156" s="10" t="str">
        <f aca="false">INDEX('Site-uri'!$B$2:$B$20,MATCH(A1156,'Site-uri'!$A$2:$A$20,0))</f>
        <v>eu-ai-act-ready.eu</v>
      </c>
      <c r="C1156" s="10" t="s">
        <v>204</v>
      </c>
      <c r="D1156" s="10" t="s">
        <v>231</v>
      </c>
      <c r="E1156" s="10" t="str">
        <f aca="false">INDEX(Canale!$C$2:$C$30,MATCH(C1156,Canale!$A$2:$A$30,0))</f>
        <v>a2a_agent_card</v>
      </c>
      <c r="F1156" s="10" t="str">
        <f aca="false">INDEX(Canale!$D$2:$D$30,MATCH(C1156,Canale!$A$2:$A$30,0))</f>
        <v>agent</v>
      </c>
      <c r="G1156" s="10" t="str">
        <f aca="false">INDEX('Site-uri'!$C$2:$C$20,MATCH(A1156,'Site-uri'!$A$2:$A$20,0))</f>
        <v>/</v>
      </c>
      <c r="H1156" s="10" t="str">
        <f aca="false">Config!$B$3</f>
        <v>2610_ff_lansare</v>
      </c>
      <c r="I1156" s="10" t="str">
        <f aca="false">D1156&amp;"_"&amp;Config!$B$4</f>
        <v>fierbinte_general</v>
      </c>
      <c r="J1156" s="10" t="str">
        <f aca="false">"https://"&amp;B1156&amp;G1156&amp;"?utm_source="&amp;E1156&amp;"&amp;utm_medium="&amp;F1156&amp;"&amp;utm_campaign="&amp;H1156&amp;"&amp;utm_content="&amp;I1156</f>
        <v>https://eu-ai-act-ready.eu/?utm_source=a2a_agent_card&amp;utm_medium=agent&amp;utm_campaign=2610_ff_lansare&amp;utm_content=fierbinte_general</v>
      </c>
    </row>
    <row r="1157" customFormat="false" ht="15" hidden="false" customHeight="false" outlineLevel="0" collapsed="false">
      <c r="A1157" s="10" t="s">
        <v>73</v>
      </c>
      <c r="B1157" s="10" t="str">
        <f aca="false">INDEX('Site-uri'!$B$2:$B$20,MATCH(A1157,'Site-uri'!$A$2:$A$20,0))</f>
        <v>eu-ai-act-ready.eu</v>
      </c>
      <c r="C1157" s="10" t="s">
        <v>204</v>
      </c>
      <c r="D1157" s="10" t="s">
        <v>237</v>
      </c>
      <c r="E1157" s="10" t="str">
        <f aca="false">INDEX(Canale!$C$2:$C$30,MATCH(C1157,Canale!$A$2:$A$30,0))</f>
        <v>a2a_agent_card</v>
      </c>
      <c r="F1157" s="10" t="str">
        <f aca="false">INDEX(Canale!$D$2:$D$30,MATCH(C1157,Canale!$A$2:$A$30,0))</f>
        <v>agent</v>
      </c>
      <c r="G1157" s="10" t="str">
        <f aca="false">INDEX('Site-uri'!$C$2:$C$20,MATCH(A1157,'Site-uri'!$A$2:$A$20,0))</f>
        <v>/</v>
      </c>
      <c r="H1157" s="10" t="str">
        <f aca="false">Config!$B$3</f>
        <v>2610_ff_lansare</v>
      </c>
      <c r="I1157" s="10" t="str">
        <f aca="false">D1157&amp;"_"&amp;Config!$B$4</f>
        <v>client_general</v>
      </c>
      <c r="J1157" s="10" t="str">
        <f aca="false">"https://"&amp;B1157&amp;G1157&amp;"?utm_source="&amp;E1157&amp;"&amp;utm_medium="&amp;F1157&amp;"&amp;utm_campaign="&amp;H1157&amp;"&amp;utm_content="&amp;I1157</f>
        <v>https://eu-ai-act-ready.eu/?utm_source=a2a_agent_card&amp;utm_medium=agent&amp;utm_campaign=2610_ff_lansare&amp;utm_content=client_general</v>
      </c>
    </row>
    <row r="1158" customFormat="false" ht="15" hidden="false" customHeight="false" outlineLevel="0" collapsed="false">
      <c r="A1158" s="10" t="s">
        <v>73</v>
      </c>
      <c r="B1158" s="10" t="str">
        <f aca="false">INDEX('Site-uri'!$B$2:$B$20,MATCH(A1158,'Site-uri'!$A$2:$A$20,0))</f>
        <v>eu-ai-act-ready.eu</v>
      </c>
      <c r="C1158" s="10" t="s">
        <v>209</v>
      </c>
      <c r="D1158" s="10" t="s">
        <v>219</v>
      </c>
      <c r="E1158" s="10" t="str">
        <f aca="false">INDEX(Canale!$C$2:$C$30,MATCH(C1158,Canale!$A$2:$A$30,0))</f>
        <v>llms_txt</v>
      </c>
      <c r="F1158" s="10" t="str">
        <f aca="false">INDEX(Canale!$D$2:$D$30,MATCH(C1158,Canale!$A$2:$A$30,0))</f>
        <v>ai_web</v>
      </c>
      <c r="G1158" s="10" t="str">
        <f aca="false">INDEX('Site-uri'!$C$2:$C$20,MATCH(A1158,'Site-uri'!$A$2:$A$20,0))</f>
        <v>/</v>
      </c>
      <c r="H1158" s="10" t="str">
        <f aca="false">Config!$B$3</f>
        <v>2610_ff_lansare</v>
      </c>
      <c r="I1158" s="10" t="str">
        <f aca="false">D1158&amp;"_"&amp;Config!$B$4</f>
        <v>rece_general</v>
      </c>
      <c r="J1158" s="10" t="str">
        <f aca="false">"https://"&amp;B1158&amp;G1158&amp;"?utm_source="&amp;E1158&amp;"&amp;utm_medium="&amp;F1158&amp;"&amp;utm_campaign="&amp;H1158&amp;"&amp;utm_content="&amp;I1158</f>
        <v>https://eu-ai-act-ready.eu/?utm_source=llms_txt&amp;utm_medium=ai_web&amp;utm_campaign=2610_ff_lansare&amp;utm_content=rece_general</v>
      </c>
    </row>
    <row r="1159" customFormat="false" ht="15" hidden="false" customHeight="false" outlineLevel="0" collapsed="false">
      <c r="A1159" s="10" t="s">
        <v>73</v>
      </c>
      <c r="B1159" s="10" t="str">
        <f aca="false">INDEX('Site-uri'!$B$2:$B$20,MATCH(A1159,'Site-uri'!$A$2:$A$20,0))</f>
        <v>eu-ai-act-ready.eu</v>
      </c>
      <c r="C1159" s="10" t="s">
        <v>209</v>
      </c>
      <c r="D1159" s="10" t="s">
        <v>225</v>
      </c>
      <c r="E1159" s="10" t="str">
        <f aca="false">INDEX(Canale!$C$2:$C$30,MATCH(C1159,Canale!$A$2:$A$30,0))</f>
        <v>llms_txt</v>
      </c>
      <c r="F1159" s="10" t="str">
        <f aca="false">INDEX(Canale!$D$2:$D$30,MATCH(C1159,Canale!$A$2:$A$30,0))</f>
        <v>ai_web</v>
      </c>
      <c r="G1159" s="10" t="str">
        <f aca="false">INDEX('Site-uri'!$C$2:$C$20,MATCH(A1159,'Site-uri'!$A$2:$A$20,0))</f>
        <v>/</v>
      </c>
      <c r="H1159" s="10" t="str">
        <f aca="false">Config!$B$3</f>
        <v>2610_ff_lansare</v>
      </c>
      <c r="I1159" s="10" t="str">
        <f aca="false">D1159&amp;"_"&amp;Config!$B$4</f>
        <v>cald_general</v>
      </c>
      <c r="J1159" s="10" t="str">
        <f aca="false">"https://"&amp;B1159&amp;G1159&amp;"?utm_source="&amp;E1159&amp;"&amp;utm_medium="&amp;F1159&amp;"&amp;utm_campaign="&amp;H1159&amp;"&amp;utm_content="&amp;I1159</f>
        <v>https://eu-ai-act-ready.eu/?utm_source=llms_txt&amp;utm_medium=ai_web&amp;utm_campaign=2610_ff_lansare&amp;utm_content=cald_general</v>
      </c>
    </row>
    <row r="1160" customFormat="false" ht="15" hidden="false" customHeight="false" outlineLevel="0" collapsed="false">
      <c r="A1160" s="10" t="s">
        <v>73</v>
      </c>
      <c r="B1160" s="10" t="str">
        <f aca="false">INDEX('Site-uri'!$B$2:$B$20,MATCH(A1160,'Site-uri'!$A$2:$A$20,0))</f>
        <v>eu-ai-act-ready.eu</v>
      </c>
      <c r="C1160" s="10" t="s">
        <v>209</v>
      </c>
      <c r="D1160" s="10" t="s">
        <v>231</v>
      </c>
      <c r="E1160" s="10" t="str">
        <f aca="false">INDEX(Canale!$C$2:$C$30,MATCH(C1160,Canale!$A$2:$A$30,0))</f>
        <v>llms_txt</v>
      </c>
      <c r="F1160" s="10" t="str">
        <f aca="false">INDEX(Canale!$D$2:$D$30,MATCH(C1160,Canale!$A$2:$A$30,0))</f>
        <v>ai_web</v>
      </c>
      <c r="G1160" s="10" t="str">
        <f aca="false">INDEX('Site-uri'!$C$2:$C$20,MATCH(A1160,'Site-uri'!$A$2:$A$20,0))</f>
        <v>/</v>
      </c>
      <c r="H1160" s="10" t="str">
        <f aca="false">Config!$B$3</f>
        <v>2610_ff_lansare</v>
      </c>
      <c r="I1160" s="10" t="str">
        <f aca="false">D1160&amp;"_"&amp;Config!$B$4</f>
        <v>fierbinte_general</v>
      </c>
      <c r="J1160" s="10" t="str">
        <f aca="false">"https://"&amp;B1160&amp;G1160&amp;"?utm_source="&amp;E1160&amp;"&amp;utm_medium="&amp;F1160&amp;"&amp;utm_campaign="&amp;H1160&amp;"&amp;utm_content="&amp;I1160</f>
        <v>https://eu-ai-act-ready.eu/?utm_source=llms_txt&amp;utm_medium=ai_web&amp;utm_campaign=2610_ff_lansare&amp;utm_content=fierbinte_general</v>
      </c>
    </row>
    <row r="1161" customFormat="false" ht="15" hidden="false" customHeight="false" outlineLevel="0" collapsed="false">
      <c r="A1161" s="10" t="s">
        <v>73</v>
      </c>
      <c r="B1161" s="10" t="str">
        <f aca="false">INDEX('Site-uri'!$B$2:$B$20,MATCH(A1161,'Site-uri'!$A$2:$A$20,0))</f>
        <v>eu-ai-act-ready.eu</v>
      </c>
      <c r="C1161" s="10" t="s">
        <v>209</v>
      </c>
      <c r="D1161" s="10" t="s">
        <v>237</v>
      </c>
      <c r="E1161" s="10" t="str">
        <f aca="false">INDEX(Canale!$C$2:$C$30,MATCH(C1161,Canale!$A$2:$A$30,0))</f>
        <v>llms_txt</v>
      </c>
      <c r="F1161" s="10" t="str">
        <f aca="false">INDEX(Canale!$D$2:$D$30,MATCH(C1161,Canale!$A$2:$A$30,0))</f>
        <v>ai_web</v>
      </c>
      <c r="G1161" s="10" t="str">
        <f aca="false">INDEX('Site-uri'!$C$2:$C$20,MATCH(A1161,'Site-uri'!$A$2:$A$20,0))</f>
        <v>/</v>
      </c>
      <c r="H1161" s="10" t="str">
        <f aca="false">Config!$B$3</f>
        <v>2610_ff_lansare</v>
      </c>
      <c r="I1161" s="10" t="str">
        <f aca="false">D1161&amp;"_"&amp;Config!$B$4</f>
        <v>client_general</v>
      </c>
      <c r="J1161" s="10" t="str">
        <f aca="false">"https://"&amp;B1161&amp;G1161&amp;"?utm_source="&amp;E1161&amp;"&amp;utm_medium="&amp;F1161&amp;"&amp;utm_campaign="&amp;H1161&amp;"&amp;utm_content="&amp;I1161</f>
        <v>https://eu-ai-act-ready.eu/?utm_source=llms_txt&amp;utm_medium=ai_web&amp;utm_campaign=2610_ff_lansare&amp;utm_content=client_general</v>
      </c>
    </row>
    <row r="1162" customFormat="false" ht="15" hidden="false" customHeight="false" outlineLevel="0" collapsed="false">
      <c r="A1162" s="10" t="s">
        <v>76</v>
      </c>
      <c r="B1162" s="10" t="str">
        <f aca="false">INDEX('Site-uri'!$B$2:$B$20,MATCH(A1162,'Site-uri'!$A$2:$A$20,0))</f>
        <v>eu-112.ro</v>
      </c>
      <c r="C1162" s="10" t="s">
        <v>104</v>
      </c>
      <c r="D1162" s="10" t="s">
        <v>219</v>
      </c>
      <c r="E1162" s="10" t="str">
        <f aca="false">INDEX(Canale!$C$2:$C$30,MATCH(C1162,Canale!$A$2:$A$30,0))</f>
        <v>linkedin_personal</v>
      </c>
      <c r="F1162" s="10" t="str">
        <f aca="false">INDEX(Canale!$D$2:$D$30,MATCH(C1162,Canale!$A$2:$A$30,0))</f>
        <v>social</v>
      </c>
      <c r="G1162" s="10" t="str">
        <f aca="false">INDEX('Site-uri'!$C$2:$C$20,MATCH(A1162,'Site-uri'!$A$2:$A$20,0))</f>
        <v>/</v>
      </c>
      <c r="H1162" s="10" t="str">
        <f aca="false">Config!$B$3</f>
        <v>2610_ff_lansare</v>
      </c>
      <c r="I1162" s="10" t="str">
        <f aca="false">D1162&amp;"_"&amp;Config!$B$4</f>
        <v>rece_general</v>
      </c>
      <c r="J1162" s="10" t="str">
        <f aca="false">"https://"&amp;B1162&amp;G1162&amp;"?utm_source="&amp;E1162&amp;"&amp;utm_medium="&amp;F1162&amp;"&amp;utm_campaign="&amp;H1162&amp;"&amp;utm_content="&amp;I1162</f>
        <v>https://eu-112.ro/?utm_source=linkedin_personal&amp;utm_medium=social&amp;utm_campaign=2610_ff_lansare&amp;utm_content=rece_general</v>
      </c>
    </row>
    <row r="1163" customFormat="false" ht="15" hidden="false" customHeight="false" outlineLevel="0" collapsed="false">
      <c r="A1163" s="10" t="s">
        <v>76</v>
      </c>
      <c r="B1163" s="10" t="str">
        <f aca="false">INDEX('Site-uri'!$B$2:$B$20,MATCH(A1163,'Site-uri'!$A$2:$A$20,0))</f>
        <v>eu-112.ro</v>
      </c>
      <c r="C1163" s="10" t="s">
        <v>104</v>
      </c>
      <c r="D1163" s="10" t="s">
        <v>225</v>
      </c>
      <c r="E1163" s="10" t="str">
        <f aca="false">INDEX(Canale!$C$2:$C$30,MATCH(C1163,Canale!$A$2:$A$30,0))</f>
        <v>linkedin_personal</v>
      </c>
      <c r="F1163" s="10" t="str">
        <f aca="false">INDEX(Canale!$D$2:$D$30,MATCH(C1163,Canale!$A$2:$A$30,0))</f>
        <v>social</v>
      </c>
      <c r="G1163" s="10" t="str">
        <f aca="false">INDEX('Site-uri'!$C$2:$C$20,MATCH(A1163,'Site-uri'!$A$2:$A$20,0))</f>
        <v>/</v>
      </c>
      <c r="H1163" s="10" t="str">
        <f aca="false">Config!$B$3</f>
        <v>2610_ff_lansare</v>
      </c>
      <c r="I1163" s="10" t="str">
        <f aca="false">D1163&amp;"_"&amp;Config!$B$4</f>
        <v>cald_general</v>
      </c>
      <c r="J1163" s="10" t="str">
        <f aca="false">"https://"&amp;B1163&amp;G1163&amp;"?utm_source="&amp;E1163&amp;"&amp;utm_medium="&amp;F1163&amp;"&amp;utm_campaign="&amp;H1163&amp;"&amp;utm_content="&amp;I1163</f>
        <v>https://eu-112.ro/?utm_source=linkedin_personal&amp;utm_medium=social&amp;utm_campaign=2610_ff_lansare&amp;utm_content=cald_general</v>
      </c>
    </row>
    <row r="1164" customFormat="false" ht="15" hidden="false" customHeight="false" outlineLevel="0" collapsed="false">
      <c r="A1164" s="10" t="s">
        <v>76</v>
      </c>
      <c r="B1164" s="10" t="str">
        <f aca="false">INDEX('Site-uri'!$B$2:$B$20,MATCH(A1164,'Site-uri'!$A$2:$A$20,0))</f>
        <v>eu-112.ro</v>
      </c>
      <c r="C1164" s="10" t="s">
        <v>104</v>
      </c>
      <c r="D1164" s="10" t="s">
        <v>231</v>
      </c>
      <c r="E1164" s="10" t="str">
        <f aca="false">INDEX(Canale!$C$2:$C$30,MATCH(C1164,Canale!$A$2:$A$30,0))</f>
        <v>linkedin_personal</v>
      </c>
      <c r="F1164" s="10" t="str">
        <f aca="false">INDEX(Canale!$D$2:$D$30,MATCH(C1164,Canale!$A$2:$A$30,0))</f>
        <v>social</v>
      </c>
      <c r="G1164" s="10" t="str">
        <f aca="false">INDEX('Site-uri'!$C$2:$C$20,MATCH(A1164,'Site-uri'!$A$2:$A$20,0))</f>
        <v>/</v>
      </c>
      <c r="H1164" s="10" t="str">
        <f aca="false">Config!$B$3</f>
        <v>2610_ff_lansare</v>
      </c>
      <c r="I1164" s="10" t="str">
        <f aca="false">D1164&amp;"_"&amp;Config!$B$4</f>
        <v>fierbinte_general</v>
      </c>
      <c r="J1164" s="10" t="str">
        <f aca="false">"https://"&amp;B1164&amp;G1164&amp;"?utm_source="&amp;E1164&amp;"&amp;utm_medium="&amp;F1164&amp;"&amp;utm_campaign="&amp;H1164&amp;"&amp;utm_content="&amp;I1164</f>
        <v>https://eu-112.ro/?utm_source=linkedin_personal&amp;utm_medium=social&amp;utm_campaign=2610_ff_lansare&amp;utm_content=fierbinte_general</v>
      </c>
    </row>
    <row r="1165" customFormat="false" ht="15" hidden="false" customHeight="false" outlineLevel="0" collapsed="false">
      <c r="A1165" s="10" t="s">
        <v>76</v>
      </c>
      <c r="B1165" s="10" t="str">
        <f aca="false">INDEX('Site-uri'!$B$2:$B$20,MATCH(A1165,'Site-uri'!$A$2:$A$20,0))</f>
        <v>eu-112.ro</v>
      </c>
      <c r="C1165" s="10" t="s">
        <v>104</v>
      </c>
      <c r="D1165" s="10" t="s">
        <v>237</v>
      </c>
      <c r="E1165" s="10" t="str">
        <f aca="false">INDEX(Canale!$C$2:$C$30,MATCH(C1165,Canale!$A$2:$A$30,0))</f>
        <v>linkedin_personal</v>
      </c>
      <c r="F1165" s="10" t="str">
        <f aca="false">INDEX(Canale!$D$2:$D$30,MATCH(C1165,Canale!$A$2:$A$30,0))</f>
        <v>social</v>
      </c>
      <c r="G1165" s="10" t="str">
        <f aca="false">INDEX('Site-uri'!$C$2:$C$20,MATCH(A1165,'Site-uri'!$A$2:$A$20,0))</f>
        <v>/</v>
      </c>
      <c r="H1165" s="10" t="str">
        <f aca="false">Config!$B$3</f>
        <v>2610_ff_lansare</v>
      </c>
      <c r="I1165" s="10" t="str">
        <f aca="false">D1165&amp;"_"&amp;Config!$B$4</f>
        <v>client_general</v>
      </c>
      <c r="J1165" s="10" t="str">
        <f aca="false">"https://"&amp;B1165&amp;G1165&amp;"?utm_source="&amp;E1165&amp;"&amp;utm_medium="&amp;F1165&amp;"&amp;utm_campaign="&amp;H1165&amp;"&amp;utm_content="&amp;I1165</f>
        <v>https://eu-112.ro/?utm_source=linkedin_personal&amp;utm_medium=social&amp;utm_campaign=2610_ff_lansare&amp;utm_content=client_general</v>
      </c>
    </row>
    <row r="1166" customFormat="false" ht="15" hidden="false" customHeight="false" outlineLevel="0" collapsed="false">
      <c r="A1166" s="10" t="s">
        <v>76</v>
      </c>
      <c r="B1166" s="10" t="str">
        <f aca="false">INDEX('Site-uri'!$B$2:$B$20,MATCH(A1166,'Site-uri'!$A$2:$A$20,0))</f>
        <v>eu-112.ro</v>
      </c>
      <c r="C1166" s="10" t="s">
        <v>109</v>
      </c>
      <c r="D1166" s="10" t="s">
        <v>219</v>
      </c>
      <c r="E1166" s="10" t="str">
        <f aca="false">INDEX(Canale!$C$2:$C$30,MATCH(C1166,Canale!$A$2:$A$30,0))</f>
        <v>linkedin_company</v>
      </c>
      <c r="F1166" s="10" t="str">
        <f aca="false">INDEX(Canale!$D$2:$D$30,MATCH(C1166,Canale!$A$2:$A$30,0))</f>
        <v>social</v>
      </c>
      <c r="G1166" s="10" t="str">
        <f aca="false">INDEX('Site-uri'!$C$2:$C$20,MATCH(A1166,'Site-uri'!$A$2:$A$20,0))</f>
        <v>/</v>
      </c>
      <c r="H1166" s="10" t="str">
        <f aca="false">Config!$B$3</f>
        <v>2610_ff_lansare</v>
      </c>
      <c r="I1166" s="10" t="str">
        <f aca="false">D1166&amp;"_"&amp;Config!$B$4</f>
        <v>rece_general</v>
      </c>
      <c r="J1166" s="10" t="str">
        <f aca="false">"https://"&amp;B1166&amp;G1166&amp;"?utm_source="&amp;E1166&amp;"&amp;utm_medium="&amp;F1166&amp;"&amp;utm_campaign="&amp;H1166&amp;"&amp;utm_content="&amp;I1166</f>
        <v>https://eu-112.ro/?utm_source=linkedin_company&amp;utm_medium=social&amp;utm_campaign=2610_ff_lansare&amp;utm_content=rece_general</v>
      </c>
    </row>
    <row r="1167" customFormat="false" ht="15" hidden="false" customHeight="false" outlineLevel="0" collapsed="false">
      <c r="A1167" s="10" t="s">
        <v>76</v>
      </c>
      <c r="B1167" s="10" t="str">
        <f aca="false">INDEX('Site-uri'!$B$2:$B$20,MATCH(A1167,'Site-uri'!$A$2:$A$20,0))</f>
        <v>eu-112.ro</v>
      </c>
      <c r="C1167" s="10" t="s">
        <v>109</v>
      </c>
      <c r="D1167" s="10" t="s">
        <v>225</v>
      </c>
      <c r="E1167" s="10" t="str">
        <f aca="false">INDEX(Canale!$C$2:$C$30,MATCH(C1167,Canale!$A$2:$A$30,0))</f>
        <v>linkedin_company</v>
      </c>
      <c r="F1167" s="10" t="str">
        <f aca="false">INDEX(Canale!$D$2:$D$30,MATCH(C1167,Canale!$A$2:$A$30,0))</f>
        <v>social</v>
      </c>
      <c r="G1167" s="10" t="str">
        <f aca="false">INDEX('Site-uri'!$C$2:$C$20,MATCH(A1167,'Site-uri'!$A$2:$A$20,0))</f>
        <v>/</v>
      </c>
      <c r="H1167" s="10" t="str">
        <f aca="false">Config!$B$3</f>
        <v>2610_ff_lansare</v>
      </c>
      <c r="I1167" s="10" t="str">
        <f aca="false">D1167&amp;"_"&amp;Config!$B$4</f>
        <v>cald_general</v>
      </c>
      <c r="J1167" s="10" t="str">
        <f aca="false">"https://"&amp;B1167&amp;G1167&amp;"?utm_source="&amp;E1167&amp;"&amp;utm_medium="&amp;F1167&amp;"&amp;utm_campaign="&amp;H1167&amp;"&amp;utm_content="&amp;I1167</f>
        <v>https://eu-112.ro/?utm_source=linkedin_company&amp;utm_medium=social&amp;utm_campaign=2610_ff_lansare&amp;utm_content=cald_general</v>
      </c>
    </row>
    <row r="1168" customFormat="false" ht="15" hidden="false" customHeight="false" outlineLevel="0" collapsed="false">
      <c r="A1168" s="10" t="s">
        <v>76</v>
      </c>
      <c r="B1168" s="10" t="str">
        <f aca="false">INDEX('Site-uri'!$B$2:$B$20,MATCH(A1168,'Site-uri'!$A$2:$A$20,0))</f>
        <v>eu-112.ro</v>
      </c>
      <c r="C1168" s="10" t="s">
        <v>109</v>
      </c>
      <c r="D1168" s="10" t="s">
        <v>231</v>
      </c>
      <c r="E1168" s="10" t="str">
        <f aca="false">INDEX(Canale!$C$2:$C$30,MATCH(C1168,Canale!$A$2:$A$30,0))</f>
        <v>linkedin_company</v>
      </c>
      <c r="F1168" s="10" t="str">
        <f aca="false">INDEX(Canale!$D$2:$D$30,MATCH(C1168,Canale!$A$2:$A$30,0))</f>
        <v>social</v>
      </c>
      <c r="G1168" s="10" t="str">
        <f aca="false">INDEX('Site-uri'!$C$2:$C$20,MATCH(A1168,'Site-uri'!$A$2:$A$20,0))</f>
        <v>/</v>
      </c>
      <c r="H1168" s="10" t="str">
        <f aca="false">Config!$B$3</f>
        <v>2610_ff_lansare</v>
      </c>
      <c r="I1168" s="10" t="str">
        <f aca="false">D1168&amp;"_"&amp;Config!$B$4</f>
        <v>fierbinte_general</v>
      </c>
      <c r="J1168" s="10" t="str">
        <f aca="false">"https://"&amp;B1168&amp;G1168&amp;"?utm_source="&amp;E1168&amp;"&amp;utm_medium="&amp;F1168&amp;"&amp;utm_campaign="&amp;H1168&amp;"&amp;utm_content="&amp;I1168</f>
        <v>https://eu-112.ro/?utm_source=linkedin_company&amp;utm_medium=social&amp;utm_campaign=2610_ff_lansare&amp;utm_content=fierbinte_general</v>
      </c>
    </row>
    <row r="1169" customFormat="false" ht="15" hidden="false" customHeight="false" outlineLevel="0" collapsed="false">
      <c r="A1169" s="10" t="s">
        <v>76</v>
      </c>
      <c r="B1169" s="10" t="str">
        <f aca="false">INDEX('Site-uri'!$B$2:$B$20,MATCH(A1169,'Site-uri'!$A$2:$A$20,0))</f>
        <v>eu-112.ro</v>
      </c>
      <c r="C1169" s="10" t="s">
        <v>109</v>
      </c>
      <c r="D1169" s="10" t="s">
        <v>237</v>
      </c>
      <c r="E1169" s="10" t="str">
        <f aca="false">INDEX(Canale!$C$2:$C$30,MATCH(C1169,Canale!$A$2:$A$30,0))</f>
        <v>linkedin_company</v>
      </c>
      <c r="F1169" s="10" t="str">
        <f aca="false">INDEX(Canale!$D$2:$D$30,MATCH(C1169,Canale!$A$2:$A$30,0))</f>
        <v>social</v>
      </c>
      <c r="G1169" s="10" t="str">
        <f aca="false">INDEX('Site-uri'!$C$2:$C$20,MATCH(A1169,'Site-uri'!$A$2:$A$20,0))</f>
        <v>/</v>
      </c>
      <c r="H1169" s="10" t="str">
        <f aca="false">Config!$B$3</f>
        <v>2610_ff_lansare</v>
      </c>
      <c r="I1169" s="10" t="str">
        <f aca="false">D1169&amp;"_"&amp;Config!$B$4</f>
        <v>client_general</v>
      </c>
      <c r="J1169" s="10" t="str">
        <f aca="false">"https://"&amp;B1169&amp;G1169&amp;"?utm_source="&amp;E1169&amp;"&amp;utm_medium="&amp;F1169&amp;"&amp;utm_campaign="&amp;H1169&amp;"&amp;utm_content="&amp;I1169</f>
        <v>https://eu-112.ro/?utm_source=linkedin_company&amp;utm_medium=social&amp;utm_campaign=2610_ff_lansare&amp;utm_content=client_general</v>
      </c>
    </row>
    <row r="1170" customFormat="false" ht="15" hidden="false" customHeight="false" outlineLevel="0" collapsed="false">
      <c r="A1170" s="10" t="s">
        <v>76</v>
      </c>
      <c r="B1170" s="10" t="str">
        <f aca="false">INDEX('Site-uri'!$B$2:$B$20,MATCH(A1170,'Site-uri'!$A$2:$A$20,0))</f>
        <v>eu-112.ro</v>
      </c>
      <c r="C1170" s="10" t="s">
        <v>112</v>
      </c>
      <c r="D1170" s="10" t="s">
        <v>219</v>
      </c>
      <c r="E1170" s="10" t="str">
        <f aca="false">INDEX(Canale!$C$2:$C$30,MATCH(C1170,Canale!$A$2:$A$30,0))</f>
        <v>linkedin_showcase</v>
      </c>
      <c r="F1170" s="10" t="str">
        <f aca="false">INDEX(Canale!$D$2:$D$30,MATCH(C1170,Canale!$A$2:$A$30,0))</f>
        <v>social</v>
      </c>
      <c r="G1170" s="10" t="str">
        <f aca="false">INDEX('Site-uri'!$C$2:$C$20,MATCH(A1170,'Site-uri'!$A$2:$A$20,0))</f>
        <v>/</v>
      </c>
      <c r="H1170" s="10" t="str">
        <f aca="false">Config!$B$3</f>
        <v>2610_ff_lansare</v>
      </c>
      <c r="I1170" s="10" t="str">
        <f aca="false">D1170&amp;"_"&amp;Config!$B$4</f>
        <v>rece_general</v>
      </c>
      <c r="J1170" s="10" t="str">
        <f aca="false">"https://"&amp;B1170&amp;G1170&amp;"?utm_source="&amp;E1170&amp;"&amp;utm_medium="&amp;F1170&amp;"&amp;utm_campaign="&amp;H1170&amp;"&amp;utm_content="&amp;I1170</f>
        <v>https://eu-112.ro/?utm_source=linkedin_showcase&amp;utm_medium=social&amp;utm_campaign=2610_ff_lansare&amp;utm_content=rece_general</v>
      </c>
    </row>
    <row r="1171" customFormat="false" ht="15" hidden="false" customHeight="false" outlineLevel="0" collapsed="false">
      <c r="A1171" s="10" t="s">
        <v>76</v>
      </c>
      <c r="B1171" s="10" t="str">
        <f aca="false">INDEX('Site-uri'!$B$2:$B$20,MATCH(A1171,'Site-uri'!$A$2:$A$20,0))</f>
        <v>eu-112.ro</v>
      </c>
      <c r="C1171" s="10" t="s">
        <v>112</v>
      </c>
      <c r="D1171" s="10" t="s">
        <v>225</v>
      </c>
      <c r="E1171" s="10" t="str">
        <f aca="false">INDEX(Canale!$C$2:$C$30,MATCH(C1171,Canale!$A$2:$A$30,0))</f>
        <v>linkedin_showcase</v>
      </c>
      <c r="F1171" s="10" t="str">
        <f aca="false">INDEX(Canale!$D$2:$D$30,MATCH(C1171,Canale!$A$2:$A$30,0))</f>
        <v>social</v>
      </c>
      <c r="G1171" s="10" t="str">
        <f aca="false">INDEX('Site-uri'!$C$2:$C$20,MATCH(A1171,'Site-uri'!$A$2:$A$20,0))</f>
        <v>/</v>
      </c>
      <c r="H1171" s="10" t="str">
        <f aca="false">Config!$B$3</f>
        <v>2610_ff_lansare</v>
      </c>
      <c r="I1171" s="10" t="str">
        <f aca="false">D1171&amp;"_"&amp;Config!$B$4</f>
        <v>cald_general</v>
      </c>
      <c r="J1171" s="10" t="str">
        <f aca="false">"https://"&amp;B1171&amp;G1171&amp;"?utm_source="&amp;E1171&amp;"&amp;utm_medium="&amp;F1171&amp;"&amp;utm_campaign="&amp;H1171&amp;"&amp;utm_content="&amp;I1171</f>
        <v>https://eu-112.ro/?utm_source=linkedin_showcase&amp;utm_medium=social&amp;utm_campaign=2610_ff_lansare&amp;utm_content=cald_general</v>
      </c>
    </row>
    <row r="1172" customFormat="false" ht="15" hidden="false" customHeight="false" outlineLevel="0" collapsed="false">
      <c r="A1172" s="10" t="s">
        <v>76</v>
      </c>
      <c r="B1172" s="10" t="str">
        <f aca="false">INDEX('Site-uri'!$B$2:$B$20,MATCH(A1172,'Site-uri'!$A$2:$A$20,0))</f>
        <v>eu-112.ro</v>
      </c>
      <c r="C1172" s="10" t="s">
        <v>112</v>
      </c>
      <c r="D1172" s="10" t="s">
        <v>231</v>
      </c>
      <c r="E1172" s="10" t="str">
        <f aca="false">INDEX(Canale!$C$2:$C$30,MATCH(C1172,Canale!$A$2:$A$30,0))</f>
        <v>linkedin_showcase</v>
      </c>
      <c r="F1172" s="10" t="str">
        <f aca="false">INDEX(Canale!$D$2:$D$30,MATCH(C1172,Canale!$A$2:$A$30,0))</f>
        <v>social</v>
      </c>
      <c r="G1172" s="10" t="str">
        <f aca="false">INDEX('Site-uri'!$C$2:$C$20,MATCH(A1172,'Site-uri'!$A$2:$A$20,0))</f>
        <v>/</v>
      </c>
      <c r="H1172" s="10" t="str">
        <f aca="false">Config!$B$3</f>
        <v>2610_ff_lansare</v>
      </c>
      <c r="I1172" s="10" t="str">
        <f aca="false">D1172&amp;"_"&amp;Config!$B$4</f>
        <v>fierbinte_general</v>
      </c>
      <c r="J1172" s="10" t="str">
        <f aca="false">"https://"&amp;B1172&amp;G1172&amp;"?utm_source="&amp;E1172&amp;"&amp;utm_medium="&amp;F1172&amp;"&amp;utm_campaign="&amp;H1172&amp;"&amp;utm_content="&amp;I1172</f>
        <v>https://eu-112.ro/?utm_source=linkedin_showcase&amp;utm_medium=social&amp;utm_campaign=2610_ff_lansare&amp;utm_content=fierbinte_general</v>
      </c>
    </row>
    <row r="1173" customFormat="false" ht="15" hidden="false" customHeight="false" outlineLevel="0" collapsed="false">
      <c r="A1173" s="10" t="s">
        <v>76</v>
      </c>
      <c r="B1173" s="10" t="str">
        <f aca="false">INDEX('Site-uri'!$B$2:$B$20,MATCH(A1173,'Site-uri'!$A$2:$A$20,0))</f>
        <v>eu-112.ro</v>
      </c>
      <c r="C1173" s="10" t="s">
        <v>112</v>
      </c>
      <c r="D1173" s="10" t="s">
        <v>237</v>
      </c>
      <c r="E1173" s="10" t="str">
        <f aca="false">INDEX(Canale!$C$2:$C$30,MATCH(C1173,Canale!$A$2:$A$30,0))</f>
        <v>linkedin_showcase</v>
      </c>
      <c r="F1173" s="10" t="str">
        <f aca="false">INDEX(Canale!$D$2:$D$30,MATCH(C1173,Canale!$A$2:$A$30,0))</f>
        <v>social</v>
      </c>
      <c r="G1173" s="10" t="str">
        <f aca="false">INDEX('Site-uri'!$C$2:$C$20,MATCH(A1173,'Site-uri'!$A$2:$A$20,0))</f>
        <v>/</v>
      </c>
      <c r="H1173" s="10" t="str">
        <f aca="false">Config!$B$3</f>
        <v>2610_ff_lansare</v>
      </c>
      <c r="I1173" s="10" t="str">
        <f aca="false">D1173&amp;"_"&amp;Config!$B$4</f>
        <v>client_general</v>
      </c>
      <c r="J1173" s="10" t="str">
        <f aca="false">"https://"&amp;B1173&amp;G1173&amp;"?utm_source="&amp;E1173&amp;"&amp;utm_medium="&amp;F1173&amp;"&amp;utm_campaign="&amp;H1173&amp;"&amp;utm_content="&amp;I1173</f>
        <v>https://eu-112.ro/?utm_source=linkedin_showcase&amp;utm_medium=social&amp;utm_campaign=2610_ff_lansare&amp;utm_content=client_general</v>
      </c>
    </row>
    <row r="1174" customFormat="false" ht="15" hidden="false" customHeight="false" outlineLevel="0" collapsed="false">
      <c r="A1174" s="10" t="s">
        <v>76</v>
      </c>
      <c r="B1174" s="10" t="str">
        <f aca="false">INDEX('Site-uri'!$B$2:$B$20,MATCH(A1174,'Site-uri'!$A$2:$A$20,0))</f>
        <v>eu-112.ro</v>
      </c>
      <c r="C1174" s="10" t="s">
        <v>115</v>
      </c>
      <c r="D1174" s="10" t="s">
        <v>219</v>
      </c>
      <c r="E1174" s="10" t="str">
        <f aca="false">INDEX(Canale!$C$2:$C$30,MATCH(C1174,Canale!$A$2:$A$30,0))</f>
        <v>linkedin_newsletter</v>
      </c>
      <c r="F1174" s="10" t="str">
        <f aca="false">INDEX(Canale!$D$2:$D$30,MATCH(C1174,Canale!$A$2:$A$30,0))</f>
        <v>social</v>
      </c>
      <c r="G1174" s="10" t="str">
        <f aca="false">INDEX('Site-uri'!$C$2:$C$20,MATCH(A1174,'Site-uri'!$A$2:$A$20,0))</f>
        <v>/</v>
      </c>
      <c r="H1174" s="10" t="str">
        <f aca="false">Config!$B$3</f>
        <v>2610_ff_lansare</v>
      </c>
      <c r="I1174" s="10" t="str">
        <f aca="false">D1174&amp;"_"&amp;Config!$B$4</f>
        <v>rece_general</v>
      </c>
      <c r="J1174" s="10" t="str">
        <f aca="false">"https://"&amp;B1174&amp;G1174&amp;"?utm_source="&amp;E1174&amp;"&amp;utm_medium="&amp;F1174&amp;"&amp;utm_campaign="&amp;H1174&amp;"&amp;utm_content="&amp;I1174</f>
        <v>https://eu-112.ro/?utm_source=linkedin_newsletter&amp;utm_medium=social&amp;utm_campaign=2610_ff_lansare&amp;utm_content=rece_general</v>
      </c>
    </row>
    <row r="1175" customFormat="false" ht="15" hidden="false" customHeight="false" outlineLevel="0" collapsed="false">
      <c r="A1175" s="10" t="s">
        <v>76</v>
      </c>
      <c r="B1175" s="10" t="str">
        <f aca="false">INDEX('Site-uri'!$B$2:$B$20,MATCH(A1175,'Site-uri'!$A$2:$A$20,0))</f>
        <v>eu-112.ro</v>
      </c>
      <c r="C1175" s="10" t="s">
        <v>115</v>
      </c>
      <c r="D1175" s="10" t="s">
        <v>225</v>
      </c>
      <c r="E1175" s="10" t="str">
        <f aca="false">INDEX(Canale!$C$2:$C$30,MATCH(C1175,Canale!$A$2:$A$30,0))</f>
        <v>linkedin_newsletter</v>
      </c>
      <c r="F1175" s="10" t="str">
        <f aca="false">INDEX(Canale!$D$2:$D$30,MATCH(C1175,Canale!$A$2:$A$30,0))</f>
        <v>social</v>
      </c>
      <c r="G1175" s="10" t="str">
        <f aca="false">INDEX('Site-uri'!$C$2:$C$20,MATCH(A1175,'Site-uri'!$A$2:$A$20,0))</f>
        <v>/</v>
      </c>
      <c r="H1175" s="10" t="str">
        <f aca="false">Config!$B$3</f>
        <v>2610_ff_lansare</v>
      </c>
      <c r="I1175" s="10" t="str">
        <f aca="false">D1175&amp;"_"&amp;Config!$B$4</f>
        <v>cald_general</v>
      </c>
      <c r="J1175" s="10" t="str">
        <f aca="false">"https://"&amp;B1175&amp;G1175&amp;"?utm_source="&amp;E1175&amp;"&amp;utm_medium="&amp;F1175&amp;"&amp;utm_campaign="&amp;H1175&amp;"&amp;utm_content="&amp;I1175</f>
        <v>https://eu-112.ro/?utm_source=linkedin_newsletter&amp;utm_medium=social&amp;utm_campaign=2610_ff_lansare&amp;utm_content=cald_general</v>
      </c>
    </row>
    <row r="1176" customFormat="false" ht="15" hidden="false" customHeight="false" outlineLevel="0" collapsed="false">
      <c r="A1176" s="10" t="s">
        <v>76</v>
      </c>
      <c r="B1176" s="10" t="str">
        <f aca="false">INDEX('Site-uri'!$B$2:$B$20,MATCH(A1176,'Site-uri'!$A$2:$A$20,0))</f>
        <v>eu-112.ro</v>
      </c>
      <c r="C1176" s="10" t="s">
        <v>115</v>
      </c>
      <c r="D1176" s="10" t="s">
        <v>231</v>
      </c>
      <c r="E1176" s="10" t="str">
        <f aca="false">INDEX(Canale!$C$2:$C$30,MATCH(C1176,Canale!$A$2:$A$30,0))</f>
        <v>linkedin_newsletter</v>
      </c>
      <c r="F1176" s="10" t="str">
        <f aca="false">INDEX(Canale!$D$2:$D$30,MATCH(C1176,Canale!$A$2:$A$30,0))</f>
        <v>social</v>
      </c>
      <c r="G1176" s="10" t="str">
        <f aca="false">INDEX('Site-uri'!$C$2:$C$20,MATCH(A1176,'Site-uri'!$A$2:$A$20,0))</f>
        <v>/</v>
      </c>
      <c r="H1176" s="10" t="str">
        <f aca="false">Config!$B$3</f>
        <v>2610_ff_lansare</v>
      </c>
      <c r="I1176" s="10" t="str">
        <f aca="false">D1176&amp;"_"&amp;Config!$B$4</f>
        <v>fierbinte_general</v>
      </c>
      <c r="J1176" s="10" t="str">
        <f aca="false">"https://"&amp;B1176&amp;G1176&amp;"?utm_source="&amp;E1176&amp;"&amp;utm_medium="&amp;F1176&amp;"&amp;utm_campaign="&amp;H1176&amp;"&amp;utm_content="&amp;I1176</f>
        <v>https://eu-112.ro/?utm_source=linkedin_newsletter&amp;utm_medium=social&amp;utm_campaign=2610_ff_lansare&amp;utm_content=fierbinte_general</v>
      </c>
    </row>
    <row r="1177" customFormat="false" ht="15" hidden="false" customHeight="false" outlineLevel="0" collapsed="false">
      <c r="A1177" s="10" t="s">
        <v>76</v>
      </c>
      <c r="B1177" s="10" t="str">
        <f aca="false">INDEX('Site-uri'!$B$2:$B$20,MATCH(A1177,'Site-uri'!$A$2:$A$20,0))</f>
        <v>eu-112.ro</v>
      </c>
      <c r="C1177" s="10" t="s">
        <v>115</v>
      </c>
      <c r="D1177" s="10" t="s">
        <v>237</v>
      </c>
      <c r="E1177" s="10" t="str">
        <f aca="false">INDEX(Canale!$C$2:$C$30,MATCH(C1177,Canale!$A$2:$A$30,0))</f>
        <v>linkedin_newsletter</v>
      </c>
      <c r="F1177" s="10" t="str">
        <f aca="false">INDEX(Canale!$D$2:$D$30,MATCH(C1177,Canale!$A$2:$A$30,0))</f>
        <v>social</v>
      </c>
      <c r="G1177" s="10" t="str">
        <f aca="false">INDEX('Site-uri'!$C$2:$C$20,MATCH(A1177,'Site-uri'!$A$2:$A$20,0))</f>
        <v>/</v>
      </c>
      <c r="H1177" s="10" t="str">
        <f aca="false">Config!$B$3</f>
        <v>2610_ff_lansare</v>
      </c>
      <c r="I1177" s="10" t="str">
        <f aca="false">D1177&amp;"_"&amp;Config!$B$4</f>
        <v>client_general</v>
      </c>
      <c r="J1177" s="10" t="str">
        <f aca="false">"https://"&amp;B1177&amp;G1177&amp;"?utm_source="&amp;E1177&amp;"&amp;utm_medium="&amp;F1177&amp;"&amp;utm_campaign="&amp;H1177&amp;"&amp;utm_content="&amp;I1177</f>
        <v>https://eu-112.ro/?utm_source=linkedin_newsletter&amp;utm_medium=social&amp;utm_campaign=2610_ff_lansare&amp;utm_content=client_general</v>
      </c>
    </row>
    <row r="1178" customFormat="false" ht="15" hidden="false" customHeight="false" outlineLevel="0" collapsed="false">
      <c r="A1178" s="10" t="s">
        <v>76</v>
      </c>
      <c r="B1178" s="10" t="str">
        <f aca="false">INDEX('Site-uri'!$B$2:$B$20,MATCH(A1178,'Site-uri'!$A$2:$A$20,0))</f>
        <v>eu-112.ro</v>
      </c>
      <c r="C1178" s="10" t="s">
        <v>118</v>
      </c>
      <c r="D1178" s="10" t="s">
        <v>219</v>
      </c>
      <c r="E1178" s="10" t="str">
        <f aca="false">INDEX(Canale!$C$2:$C$30,MATCH(C1178,Canale!$A$2:$A$30,0))</f>
        <v>linkedin_ads</v>
      </c>
      <c r="F1178" s="10" t="str">
        <f aca="false">INDEX(Canale!$D$2:$D$30,MATCH(C1178,Canale!$A$2:$A$30,0))</f>
        <v>paid_social</v>
      </c>
      <c r="G1178" s="10" t="str">
        <f aca="false">INDEX('Site-uri'!$C$2:$C$20,MATCH(A1178,'Site-uri'!$A$2:$A$20,0))</f>
        <v>/</v>
      </c>
      <c r="H1178" s="10" t="str">
        <f aca="false">Config!$B$3</f>
        <v>2610_ff_lansare</v>
      </c>
      <c r="I1178" s="10" t="str">
        <f aca="false">D1178&amp;"_"&amp;Config!$B$4</f>
        <v>rece_general</v>
      </c>
      <c r="J1178" s="10" t="str">
        <f aca="false">"https://"&amp;B1178&amp;G1178&amp;"?utm_source="&amp;E1178&amp;"&amp;utm_medium="&amp;F1178&amp;"&amp;utm_campaign="&amp;H1178&amp;"&amp;utm_content="&amp;I1178</f>
        <v>https://eu-112.ro/?utm_source=linkedin_ads&amp;utm_medium=paid_social&amp;utm_campaign=2610_ff_lansare&amp;utm_content=rece_general</v>
      </c>
    </row>
    <row r="1179" customFormat="false" ht="15" hidden="false" customHeight="false" outlineLevel="0" collapsed="false">
      <c r="A1179" s="10" t="s">
        <v>76</v>
      </c>
      <c r="B1179" s="10" t="str">
        <f aca="false">INDEX('Site-uri'!$B$2:$B$20,MATCH(A1179,'Site-uri'!$A$2:$A$20,0))</f>
        <v>eu-112.ro</v>
      </c>
      <c r="C1179" s="10" t="s">
        <v>118</v>
      </c>
      <c r="D1179" s="10" t="s">
        <v>225</v>
      </c>
      <c r="E1179" s="10" t="str">
        <f aca="false">INDEX(Canale!$C$2:$C$30,MATCH(C1179,Canale!$A$2:$A$30,0))</f>
        <v>linkedin_ads</v>
      </c>
      <c r="F1179" s="10" t="str">
        <f aca="false">INDEX(Canale!$D$2:$D$30,MATCH(C1179,Canale!$A$2:$A$30,0))</f>
        <v>paid_social</v>
      </c>
      <c r="G1179" s="10" t="str">
        <f aca="false">INDEX('Site-uri'!$C$2:$C$20,MATCH(A1179,'Site-uri'!$A$2:$A$20,0))</f>
        <v>/</v>
      </c>
      <c r="H1179" s="10" t="str">
        <f aca="false">Config!$B$3</f>
        <v>2610_ff_lansare</v>
      </c>
      <c r="I1179" s="10" t="str">
        <f aca="false">D1179&amp;"_"&amp;Config!$B$4</f>
        <v>cald_general</v>
      </c>
      <c r="J1179" s="10" t="str">
        <f aca="false">"https://"&amp;B1179&amp;G1179&amp;"?utm_source="&amp;E1179&amp;"&amp;utm_medium="&amp;F1179&amp;"&amp;utm_campaign="&amp;H1179&amp;"&amp;utm_content="&amp;I1179</f>
        <v>https://eu-112.ro/?utm_source=linkedin_ads&amp;utm_medium=paid_social&amp;utm_campaign=2610_ff_lansare&amp;utm_content=cald_general</v>
      </c>
    </row>
    <row r="1180" customFormat="false" ht="15" hidden="false" customHeight="false" outlineLevel="0" collapsed="false">
      <c r="A1180" s="10" t="s">
        <v>76</v>
      </c>
      <c r="B1180" s="10" t="str">
        <f aca="false">INDEX('Site-uri'!$B$2:$B$20,MATCH(A1180,'Site-uri'!$A$2:$A$20,0))</f>
        <v>eu-112.ro</v>
      </c>
      <c r="C1180" s="10" t="s">
        <v>118</v>
      </c>
      <c r="D1180" s="10" t="s">
        <v>231</v>
      </c>
      <c r="E1180" s="10" t="str">
        <f aca="false">INDEX(Canale!$C$2:$C$30,MATCH(C1180,Canale!$A$2:$A$30,0))</f>
        <v>linkedin_ads</v>
      </c>
      <c r="F1180" s="10" t="str">
        <f aca="false">INDEX(Canale!$D$2:$D$30,MATCH(C1180,Canale!$A$2:$A$30,0))</f>
        <v>paid_social</v>
      </c>
      <c r="G1180" s="10" t="str">
        <f aca="false">INDEX('Site-uri'!$C$2:$C$20,MATCH(A1180,'Site-uri'!$A$2:$A$20,0))</f>
        <v>/</v>
      </c>
      <c r="H1180" s="10" t="str">
        <f aca="false">Config!$B$3</f>
        <v>2610_ff_lansare</v>
      </c>
      <c r="I1180" s="10" t="str">
        <f aca="false">D1180&amp;"_"&amp;Config!$B$4</f>
        <v>fierbinte_general</v>
      </c>
      <c r="J1180" s="10" t="str">
        <f aca="false">"https://"&amp;B1180&amp;G1180&amp;"?utm_source="&amp;E1180&amp;"&amp;utm_medium="&amp;F1180&amp;"&amp;utm_campaign="&amp;H1180&amp;"&amp;utm_content="&amp;I1180</f>
        <v>https://eu-112.ro/?utm_source=linkedin_ads&amp;utm_medium=paid_social&amp;utm_campaign=2610_ff_lansare&amp;utm_content=fierbinte_general</v>
      </c>
    </row>
    <row r="1181" customFormat="false" ht="15" hidden="false" customHeight="false" outlineLevel="0" collapsed="false">
      <c r="A1181" s="10" t="s">
        <v>76</v>
      </c>
      <c r="B1181" s="10" t="str">
        <f aca="false">INDEX('Site-uri'!$B$2:$B$20,MATCH(A1181,'Site-uri'!$A$2:$A$20,0))</f>
        <v>eu-112.ro</v>
      </c>
      <c r="C1181" s="10" t="s">
        <v>118</v>
      </c>
      <c r="D1181" s="10" t="s">
        <v>237</v>
      </c>
      <c r="E1181" s="10" t="str">
        <f aca="false">INDEX(Canale!$C$2:$C$30,MATCH(C1181,Canale!$A$2:$A$30,0))</f>
        <v>linkedin_ads</v>
      </c>
      <c r="F1181" s="10" t="str">
        <f aca="false">INDEX(Canale!$D$2:$D$30,MATCH(C1181,Canale!$A$2:$A$30,0))</f>
        <v>paid_social</v>
      </c>
      <c r="G1181" s="10" t="str">
        <f aca="false">INDEX('Site-uri'!$C$2:$C$20,MATCH(A1181,'Site-uri'!$A$2:$A$20,0))</f>
        <v>/</v>
      </c>
      <c r="H1181" s="10" t="str">
        <f aca="false">Config!$B$3</f>
        <v>2610_ff_lansare</v>
      </c>
      <c r="I1181" s="10" t="str">
        <f aca="false">D1181&amp;"_"&amp;Config!$B$4</f>
        <v>client_general</v>
      </c>
      <c r="J1181" s="10" t="str">
        <f aca="false">"https://"&amp;B1181&amp;G1181&amp;"?utm_source="&amp;E1181&amp;"&amp;utm_medium="&amp;F1181&amp;"&amp;utm_campaign="&amp;H1181&amp;"&amp;utm_content="&amp;I1181</f>
        <v>https://eu-112.ro/?utm_source=linkedin_ads&amp;utm_medium=paid_social&amp;utm_campaign=2610_ff_lansare&amp;utm_content=client_general</v>
      </c>
    </row>
    <row r="1182" customFormat="false" ht="15" hidden="false" customHeight="false" outlineLevel="0" collapsed="false">
      <c r="A1182" s="10" t="s">
        <v>76</v>
      </c>
      <c r="B1182" s="10" t="str">
        <f aca="false">INDEX('Site-uri'!$B$2:$B$20,MATCH(A1182,'Site-uri'!$A$2:$A$20,0))</f>
        <v>eu-112.ro</v>
      </c>
      <c r="C1182" s="10" t="s">
        <v>122</v>
      </c>
      <c r="D1182" s="10" t="s">
        <v>219</v>
      </c>
      <c r="E1182" s="10" t="str">
        <f aca="false">INDEX(Canale!$C$2:$C$30,MATCH(C1182,Canale!$A$2:$A$30,0))</f>
        <v>linkedin_dm</v>
      </c>
      <c r="F1182" s="10" t="str">
        <f aca="false">INDEX(Canale!$D$2:$D$30,MATCH(C1182,Canale!$A$2:$A$30,0))</f>
        <v>dm</v>
      </c>
      <c r="G1182" s="10" t="str">
        <f aca="false">INDEX('Site-uri'!$C$2:$C$20,MATCH(A1182,'Site-uri'!$A$2:$A$20,0))</f>
        <v>/</v>
      </c>
      <c r="H1182" s="10" t="str">
        <f aca="false">Config!$B$3</f>
        <v>2610_ff_lansare</v>
      </c>
      <c r="I1182" s="10" t="str">
        <f aca="false">D1182&amp;"_"&amp;Config!$B$4</f>
        <v>rece_general</v>
      </c>
      <c r="J1182" s="10" t="str">
        <f aca="false">"https://"&amp;B1182&amp;G1182&amp;"?utm_source="&amp;E1182&amp;"&amp;utm_medium="&amp;F1182&amp;"&amp;utm_campaign="&amp;H1182&amp;"&amp;utm_content="&amp;I1182</f>
        <v>https://eu-112.ro/?utm_source=linkedin_dm&amp;utm_medium=dm&amp;utm_campaign=2610_ff_lansare&amp;utm_content=rece_general</v>
      </c>
    </row>
    <row r="1183" customFormat="false" ht="15" hidden="false" customHeight="false" outlineLevel="0" collapsed="false">
      <c r="A1183" s="10" t="s">
        <v>76</v>
      </c>
      <c r="B1183" s="10" t="str">
        <f aca="false">INDEX('Site-uri'!$B$2:$B$20,MATCH(A1183,'Site-uri'!$A$2:$A$20,0))</f>
        <v>eu-112.ro</v>
      </c>
      <c r="C1183" s="10" t="s">
        <v>122</v>
      </c>
      <c r="D1183" s="10" t="s">
        <v>225</v>
      </c>
      <c r="E1183" s="10" t="str">
        <f aca="false">INDEX(Canale!$C$2:$C$30,MATCH(C1183,Canale!$A$2:$A$30,0))</f>
        <v>linkedin_dm</v>
      </c>
      <c r="F1183" s="10" t="str">
        <f aca="false">INDEX(Canale!$D$2:$D$30,MATCH(C1183,Canale!$A$2:$A$30,0))</f>
        <v>dm</v>
      </c>
      <c r="G1183" s="10" t="str">
        <f aca="false">INDEX('Site-uri'!$C$2:$C$20,MATCH(A1183,'Site-uri'!$A$2:$A$20,0))</f>
        <v>/</v>
      </c>
      <c r="H1183" s="10" t="str">
        <f aca="false">Config!$B$3</f>
        <v>2610_ff_lansare</v>
      </c>
      <c r="I1183" s="10" t="str">
        <f aca="false">D1183&amp;"_"&amp;Config!$B$4</f>
        <v>cald_general</v>
      </c>
      <c r="J1183" s="10" t="str">
        <f aca="false">"https://"&amp;B1183&amp;G1183&amp;"?utm_source="&amp;E1183&amp;"&amp;utm_medium="&amp;F1183&amp;"&amp;utm_campaign="&amp;H1183&amp;"&amp;utm_content="&amp;I1183</f>
        <v>https://eu-112.ro/?utm_source=linkedin_dm&amp;utm_medium=dm&amp;utm_campaign=2610_ff_lansare&amp;utm_content=cald_general</v>
      </c>
    </row>
    <row r="1184" customFormat="false" ht="15" hidden="false" customHeight="false" outlineLevel="0" collapsed="false">
      <c r="A1184" s="10" t="s">
        <v>76</v>
      </c>
      <c r="B1184" s="10" t="str">
        <f aca="false">INDEX('Site-uri'!$B$2:$B$20,MATCH(A1184,'Site-uri'!$A$2:$A$20,0))</f>
        <v>eu-112.ro</v>
      </c>
      <c r="C1184" s="10" t="s">
        <v>122</v>
      </c>
      <c r="D1184" s="10" t="s">
        <v>231</v>
      </c>
      <c r="E1184" s="10" t="str">
        <f aca="false">INDEX(Canale!$C$2:$C$30,MATCH(C1184,Canale!$A$2:$A$30,0))</f>
        <v>linkedin_dm</v>
      </c>
      <c r="F1184" s="10" t="str">
        <f aca="false">INDEX(Canale!$D$2:$D$30,MATCH(C1184,Canale!$A$2:$A$30,0))</f>
        <v>dm</v>
      </c>
      <c r="G1184" s="10" t="str">
        <f aca="false">INDEX('Site-uri'!$C$2:$C$20,MATCH(A1184,'Site-uri'!$A$2:$A$20,0))</f>
        <v>/</v>
      </c>
      <c r="H1184" s="10" t="str">
        <f aca="false">Config!$B$3</f>
        <v>2610_ff_lansare</v>
      </c>
      <c r="I1184" s="10" t="str">
        <f aca="false">D1184&amp;"_"&amp;Config!$B$4</f>
        <v>fierbinte_general</v>
      </c>
      <c r="J1184" s="10" t="str">
        <f aca="false">"https://"&amp;B1184&amp;G1184&amp;"?utm_source="&amp;E1184&amp;"&amp;utm_medium="&amp;F1184&amp;"&amp;utm_campaign="&amp;H1184&amp;"&amp;utm_content="&amp;I1184</f>
        <v>https://eu-112.ro/?utm_source=linkedin_dm&amp;utm_medium=dm&amp;utm_campaign=2610_ff_lansare&amp;utm_content=fierbinte_general</v>
      </c>
    </row>
    <row r="1185" customFormat="false" ht="15" hidden="false" customHeight="false" outlineLevel="0" collapsed="false">
      <c r="A1185" s="10" t="s">
        <v>76</v>
      </c>
      <c r="B1185" s="10" t="str">
        <f aca="false">INDEX('Site-uri'!$B$2:$B$20,MATCH(A1185,'Site-uri'!$A$2:$A$20,0))</f>
        <v>eu-112.ro</v>
      </c>
      <c r="C1185" s="10" t="s">
        <v>122</v>
      </c>
      <c r="D1185" s="10" t="s">
        <v>237</v>
      </c>
      <c r="E1185" s="10" t="str">
        <f aca="false">INDEX(Canale!$C$2:$C$30,MATCH(C1185,Canale!$A$2:$A$30,0))</f>
        <v>linkedin_dm</v>
      </c>
      <c r="F1185" s="10" t="str">
        <f aca="false">INDEX(Canale!$D$2:$D$30,MATCH(C1185,Canale!$A$2:$A$30,0))</f>
        <v>dm</v>
      </c>
      <c r="G1185" s="10" t="str">
        <f aca="false">INDEX('Site-uri'!$C$2:$C$20,MATCH(A1185,'Site-uri'!$A$2:$A$20,0))</f>
        <v>/</v>
      </c>
      <c r="H1185" s="10" t="str">
        <f aca="false">Config!$B$3</f>
        <v>2610_ff_lansare</v>
      </c>
      <c r="I1185" s="10" t="str">
        <f aca="false">D1185&amp;"_"&amp;Config!$B$4</f>
        <v>client_general</v>
      </c>
      <c r="J1185" s="10" t="str">
        <f aca="false">"https://"&amp;B1185&amp;G1185&amp;"?utm_source="&amp;E1185&amp;"&amp;utm_medium="&amp;F1185&amp;"&amp;utm_campaign="&amp;H1185&amp;"&amp;utm_content="&amp;I1185</f>
        <v>https://eu-112.ro/?utm_source=linkedin_dm&amp;utm_medium=dm&amp;utm_campaign=2610_ff_lansare&amp;utm_content=client_general</v>
      </c>
    </row>
    <row r="1186" customFormat="false" ht="15" hidden="false" customHeight="false" outlineLevel="0" collapsed="false">
      <c r="A1186" s="10" t="s">
        <v>76</v>
      </c>
      <c r="B1186" s="10" t="str">
        <f aca="false">INDEX('Site-uri'!$B$2:$B$20,MATCH(A1186,'Site-uri'!$A$2:$A$20,0))</f>
        <v>eu-112.ro</v>
      </c>
      <c r="C1186" s="10" t="s">
        <v>126</v>
      </c>
      <c r="D1186" s="10" t="s">
        <v>219</v>
      </c>
      <c r="E1186" s="10" t="str">
        <f aca="false">INDEX(Canale!$C$2:$C$30,MATCH(C1186,Canale!$A$2:$A$30,0))</f>
        <v>email_outreach</v>
      </c>
      <c r="F1186" s="10" t="str">
        <f aca="false">INDEX(Canale!$D$2:$D$30,MATCH(C1186,Canale!$A$2:$A$30,0))</f>
        <v>email</v>
      </c>
      <c r="G1186" s="10" t="str">
        <f aca="false">INDEX('Site-uri'!$C$2:$C$20,MATCH(A1186,'Site-uri'!$A$2:$A$20,0))</f>
        <v>/</v>
      </c>
      <c r="H1186" s="10" t="str">
        <f aca="false">Config!$B$3</f>
        <v>2610_ff_lansare</v>
      </c>
      <c r="I1186" s="10" t="str">
        <f aca="false">D1186&amp;"_"&amp;Config!$B$4</f>
        <v>rece_general</v>
      </c>
      <c r="J1186" s="10" t="str">
        <f aca="false">"https://"&amp;B1186&amp;G1186&amp;"?utm_source="&amp;E1186&amp;"&amp;utm_medium="&amp;F1186&amp;"&amp;utm_campaign="&amp;H1186&amp;"&amp;utm_content="&amp;I1186</f>
        <v>https://eu-112.ro/?utm_source=email_outreach&amp;utm_medium=email&amp;utm_campaign=2610_ff_lansare&amp;utm_content=rece_general</v>
      </c>
    </row>
    <row r="1187" customFormat="false" ht="15" hidden="false" customHeight="false" outlineLevel="0" collapsed="false">
      <c r="A1187" s="10" t="s">
        <v>76</v>
      </c>
      <c r="B1187" s="10" t="str">
        <f aca="false">INDEX('Site-uri'!$B$2:$B$20,MATCH(A1187,'Site-uri'!$A$2:$A$20,0))</f>
        <v>eu-112.ro</v>
      </c>
      <c r="C1187" s="10" t="s">
        <v>126</v>
      </c>
      <c r="D1187" s="10" t="s">
        <v>225</v>
      </c>
      <c r="E1187" s="10" t="str">
        <f aca="false">INDEX(Canale!$C$2:$C$30,MATCH(C1187,Canale!$A$2:$A$30,0))</f>
        <v>email_outreach</v>
      </c>
      <c r="F1187" s="10" t="str">
        <f aca="false">INDEX(Canale!$D$2:$D$30,MATCH(C1187,Canale!$A$2:$A$30,0))</f>
        <v>email</v>
      </c>
      <c r="G1187" s="10" t="str">
        <f aca="false">INDEX('Site-uri'!$C$2:$C$20,MATCH(A1187,'Site-uri'!$A$2:$A$20,0))</f>
        <v>/</v>
      </c>
      <c r="H1187" s="10" t="str">
        <f aca="false">Config!$B$3</f>
        <v>2610_ff_lansare</v>
      </c>
      <c r="I1187" s="10" t="str">
        <f aca="false">D1187&amp;"_"&amp;Config!$B$4</f>
        <v>cald_general</v>
      </c>
      <c r="J1187" s="10" t="str">
        <f aca="false">"https://"&amp;B1187&amp;G1187&amp;"?utm_source="&amp;E1187&amp;"&amp;utm_medium="&amp;F1187&amp;"&amp;utm_campaign="&amp;H1187&amp;"&amp;utm_content="&amp;I1187</f>
        <v>https://eu-112.ro/?utm_source=email_outreach&amp;utm_medium=email&amp;utm_campaign=2610_ff_lansare&amp;utm_content=cald_general</v>
      </c>
    </row>
    <row r="1188" customFormat="false" ht="15" hidden="false" customHeight="false" outlineLevel="0" collapsed="false">
      <c r="A1188" s="10" t="s">
        <v>76</v>
      </c>
      <c r="B1188" s="10" t="str">
        <f aca="false">INDEX('Site-uri'!$B$2:$B$20,MATCH(A1188,'Site-uri'!$A$2:$A$20,0))</f>
        <v>eu-112.ro</v>
      </c>
      <c r="C1188" s="10" t="s">
        <v>126</v>
      </c>
      <c r="D1188" s="10" t="s">
        <v>231</v>
      </c>
      <c r="E1188" s="10" t="str">
        <f aca="false">INDEX(Canale!$C$2:$C$30,MATCH(C1188,Canale!$A$2:$A$30,0))</f>
        <v>email_outreach</v>
      </c>
      <c r="F1188" s="10" t="str">
        <f aca="false">INDEX(Canale!$D$2:$D$30,MATCH(C1188,Canale!$A$2:$A$30,0))</f>
        <v>email</v>
      </c>
      <c r="G1188" s="10" t="str">
        <f aca="false">INDEX('Site-uri'!$C$2:$C$20,MATCH(A1188,'Site-uri'!$A$2:$A$20,0))</f>
        <v>/</v>
      </c>
      <c r="H1188" s="10" t="str">
        <f aca="false">Config!$B$3</f>
        <v>2610_ff_lansare</v>
      </c>
      <c r="I1188" s="10" t="str">
        <f aca="false">D1188&amp;"_"&amp;Config!$B$4</f>
        <v>fierbinte_general</v>
      </c>
      <c r="J1188" s="10" t="str">
        <f aca="false">"https://"&amp;B1188&amp;G1188&amp;"?utm_source="&amp;E1188&amp;"&amp;utm_medium="&amp;F1188&amp;"&amp;utm_campaign="&amp;H1188&amp;"&amp;utm_content="&amp;I1188</f>
        <v>https://eu-112.ro/?utm_source=email_outreach&amp;utm_medium=email&amp;utm_campaign=2610_ff_lansare&amp;utm_content=fierbinte_general</v>
      </c>
    </row>
    <row r="1189" customFormat="false" ht="15" hidden="false" customHeight="false" outlineLevel="0" collapsed="false">
      <c r="A1189" s="10" t="s">
        <v>76</v>
      </c>
      <c r="B1189" s="10" t="str">
        <f aca="false">INDEX('Site-uri'!$B$2:$B$20,MATCH(A1189,'Site-uri'!$A$2:$A$20,0))</f>
        <v>eu-112.ro</v>
      </c>
      <c r="C1189" s="10" t="s">
        <v>126</v>
      </c>
      <c r="D1189" s="10" t="s">
        <v>237</v>
      </c>
      <c r="E1189" s="10" t="str">
        <f aca="false">INDEX(Canale!$C$2:$C$30,MATCH(C1189,Canale!$A$2:$A$30,0))</f>
        <v>email_outreach</v>
      </c>
      <c r="F1189" s="10" t="str">
        <f aca="false">INDEX(Canale!$D$2:$D$30,MATCH(C1189,Canale!$A$2:$A$30,0))</f>
        <v>email</v>
      </c>
      <c r="G1189" s="10" t="str">
        <f aca="false">INDEX('Site-uri'!$C$2:$C$20,MATCH(A1189,'Site-uri'!$A$2:$A$20,0))</f>
        <v>/</v>
      </c>
      <c r="H1189" s="10" t="str">
        <f aca="false">Config!$B$3</f>
        <v>2610_ff_lansare</v>
      </c>
      <c r="I1189" s="10" t="str">
        <f aca="false">D1189&amp;"_"&amp;Config!$B$4</f>
        <v>client_general</v>
      </c>
      <c r="J1189" s="10" t="str">
        <f aca="false">"https://"&amp;B1189&amp;G1189&amp;"?utm_source="&amp;E1189&amp;"&amp;utm_medium="&amp;F1189&amp;"&amp;utm_campaign="&amp;H1189&amp;"&amp;utm_content="&amp;I1189</f>
        <v>https://eu-112.ro/?utm_source=email_outreach&amp;utm_medium=email&amp;utm_campaign=2610_ff_lansare&amp;utm_content=client_general</v>
      </c>
    </row>
    <row r="1190" customFormat="false" ht="15" hidden="false" customHeight="false" outlineLevel="0" collapsed="false">
      <c r="A1190" s="10" t="s">
        <v>76</v>
      </c>
      <c r="B1190" s="10" t="str">
        <f aca="false">INDEX('Site-uri'!$B$2:$B$20,MATCH(A1190,'Site-uri'!$A$2:$A$20,0))</f>
        <v>eu-112.ro</v>
      </c>
      <c r="C1190" s="10" t="s">
        <v>131</v>
      </c>
      <c r="D1190" s="10" t="s">
        <v>219</v>
      </c>
      <c r="E1190" s="10" t="str">
        <f aca="false">INDEX(Canale!$C$2:$C$30,MATCH(C1190,Canale!$A$2:$A$30,0))</f>
        <v>newsletter</v>
      </c>
      <c r="F1190" s="10" t="str">
        <f aca="false">INDEX(Canale!$D$2:$D$30,MATCH(C1190,Canale!$A$2:$A$30,0))</f>
        <v>email</v>
      </c>
      <c r="G1190" s="10" t="str">
        <f aca="false">INDEX('Site-uri'!$C$2:$C$20,MATCH(A1190,'Site-uri'!$A$2:$A$20,0))</f>
        <v>/</v>
      </c>
      <c r="H1190" s="10" t="str">
        <f aca="false">Config!$B$3</f>
        <v>2610_ff_lansare</v>
      </c>
      <c r="I1190" s="10" t="str">
        <f aca="false">D1190&amp;"_"&amp;Config!$B$4</f>
        <v>rece_general</v>
      </c>
      <c r="J1190" s="10" t="str">
        <f aca="false">"https://"&amp;B1190&amp;G1190&amp;"?utm_source="&amp;E1190&amp;"&amp;utm_medium="&amp;F1190&amp;"&amp;utm_campaign="&amp;H1190&amp;"&amp;utm_content="&amp;I1190</f>
        <v>https://eu-112.ro/?utm_source=newsletter&amp;utm_medium=email&amp;utm_campaign=2610_ff_lansare&amp;utm_content=rece_general</v>
      </c>
    </row>
    <row r="1191" customFormat="false" ht="15" hidden="false" customHeight="false" outlineLevel="0" collapsed="false">
      <c r="A1191" s="10" t="s">
        <v>76</v>
      </c>
      <c r="B1191" s="10" t="str">
        <f aca="false">INDEX('Site-uri'!$B$2:$B$20,MATCH(A1191,'Site-uri'!$A$2:$A$20,0))</f>
        <v>eu-112.ro</v>
      </c>
      <c r="C1191" s="10" t="s">
        <v>131</v>
      </c>
      <c r="D1191" s="10" t="s">
        <v>225</v>
      </c>
      <c r="E1191" s="10" t="str">
        <f aca="false">INDEX(Canale!$C$2:$C$30,MATCH(C1191,Canale!$A$2:$A$30,0))</f>
        <v>newsletter</v>
      </c>
      <c r="F1191" s="10" t="str">
        <f aca="false">INDEX(Canale!$D$2:$D$30,MATCH(C1191,Canale!$A$2:$A$30,0))</f>
        <v>email</v>
      </c>
      <c r="G1191" s="10" t="str">
        <f aca="false">INDEX('Site-uri'!$C$2:$C$20,MATCH(A1191,'Site-uri'!$A$2:$A$20,0))</f>
        <v>/</v>
      </c>
      <c r="H1191" s="10" t="str">
        <f aca="false">Config!$B$3</f>
        <v>2610_ff_lansare</v>
      </c>
      <c r="I1191" s="10" t="str">
        <f aca="false">D1191&amp;"_"&amp;Config!$B$4</f>
        <v>cald_general</v>
      </c>
      <c r="J1191" s="10" t="str">
        <f aca="false">"https://"&amp;B1191&amp;G1191&amp;"?utm_source="&amp;E1191&amp;"&amp;utm_medium="&amp;F1191&amp;"&amp;utm_campaign="&amp;H1191&amp;"&amp;utm_content="&amp;I1191</f>
        <v>https://eu-112.ro/?utm_source=newsletter&amp;utm_medium=email&amp;utm_campaign=2610_ff_lansare&amp;utm_content=cald_general</v>
      </c>
    </row>
    <row r="1192" customFormat="false" ht="15" hidden="false" customHeight="false" outlineLevel="0" collapsed="false">
      <c r="A1192" s="10" t="s">
        <v>76</v>
      </c>
      <c r="B1192" s="10" t="str">
        <f aca="false">INDEX('Site-uri'!$B$2:$B$20,MATCH(A1192,'Site-uri'!$A$2:$A$20,0))</f>
        <v>eu-112.ro</v>
      </c>
      <c r="C1192" s="10" t="s">
        <v>131</v>
      </c>
      <c r="D1192" s="10" t="s">
        <v>231</v>
      </c>
      <c r="E1192" s="10" t="str">
        <f aca="false">INDEX(Canale!$C$2:$C$30,MATCH(C1192,Canale!$A$2:$A$30,0))</f>
        <v>newsletter</v>
      </c>
      <c r="F1192" s="10" t="str">
        <f aca="false">INDEX(Canale!$D$2:$D$30,MATCH(C1192,Canale!$A$2:$A$30,0))</f>
        <v>email</v>
      </c>
      <c r="G1192" s="10" t="str">
        <f aca="false">INDEX('Site-uri'!$C$2:$C$20,MATCH(A1192,'Site-uri'!$A$2:$A$20,0))</f>
        <v>/</v>
      </c>
      <c r="H1192" s="10" t="str">
        <f aca="false">Config!$B$3</f>
        <v>2610_ff_lansare</v>
      </c>
      <c r="I1192" s="10" t="str">
        <f aca="false">D1192&amp;"_"&amp;Config!$B$4</f>
        <v>fierbinte_general</v>
      </c>
      <c r="J1192" s="10" t="str">
        <f aca="false">"https://"&amp;B1192&amp;G1192&amp;"?utm_source="&amp;E1192&amp;"&amp;utm_medium="&amp;F1192&amp;"&amp;utm_campaign="&amp;H1192&amp;"&amp;utm_content="&amp;I1192</f>
        <v>https://eu-112.ro/?utm_source=newsletter&amp;utm_medium=email&amp;utm_campaign=2610_ff_lansare&amp;utm_content=fierbinte_general</v>
      </c>
    </row>
    <row r="1193" customFormat="false" ht="15" hidden="false" customHeight="false" outlineLevel="0" collapsed="false">
      <c r="A1193" s="10" t="s">
        <v>76</v>
      </c>
      <c r="B1193" s="10" t="str">
        <f aca="false">INDEX('Site-uri'!$B$2:$B$20,MATCH(A1193,'Site-uri'!$A$2:$A$20,0))</f>
        <v>eu-112.ro</v>
      </c>
      <c r="C1193" s="10" t="s">
        <v>131</v>
      </c>
      <c r="D1193" s="10" t="s">
        <v>237</v>
      </c>
      <c r="E1193" s="10" t="str">
        <f aca="false">INDEX(Canale!$C$2:$C$30,MATCH(C1193,Canale!$A$2:$A$30,0))</f>
        <v>newsletter</v>
      </c>
      <c r="F1193" s="10" t="str">
        <f aca="false">INDEX(Canale!$D$2:$D$30,MATCH(C1193,Canale!$A$2:$A$30,0))</f>
        <v>email</v>
      </c>
      <c r="G1193" s="10" t="str">
        <f aca="false">INDEX('Site-uri'!$C$2:$C$20,MATCH(A1193,'Site-uri'!$A$2:$A$20,0))</f>
        <v>/</v>
      </c>
      <c r="H1193" s="10" t="str">
        <f aca="false">Config!$B$3</f>
        <v>2610_ff_lansare</v>
      </c>
      <c r="I1193" s="10" t="str">
        <f aca="false">D1193&amp;"_"&amp;Config!$B$4</f>
        <v>client_general</v>
      </c>
      <c r="J1193" s="10" t="str">
        <f aca="false">"https://"&amp;B1193&amp;G1193&amp;"?utm_source="&amp;E1193&amp;"&amp;utm_medium="&amp;F1193&amp;"&amp;utm_campaign="&amp;H1193&amp;"&amp;utm_content="&amp;I1193</f>
        <v>https://eu-112.ro/?utm_source=newsletter&amp;utm_medium=email&amp;utm_campaign=2610_ff_lansare&amp;utm_content=client_general</v>
      </c>
    </row>
    <row r="1194" customFormat="false" ht="15" hidden="false" customHeight="false" outlineLevel="0" collapsed="false">
      <c r="A1194" s="10" t="s">
        <v>76</v>
      </c>
      <c r="B1194" s="10" t="str">
        <f aca="false">INDEX('Site-uri'!$B$2:$B$20,MATCH(A1194,'Site-uri'!$A$2:$A$20,0))</f>
        <v>eu-112.ro</v>
      </c>
      <c r="C1194" s="10" t="s">
        <v>134</v>
      </c>
      <c r="D1194" s="10" t="s">
        <v>219</v>
      </c>
      <c r="E1194" s="10" t="str">
        <f aca="false">INDEX(Canale!$C$2:$C$30,MATCH(C1194,Canale!$A$2:$A$30,0))</f>
        <v>email_signature</v>
      </c>
      <c r="F1194" s="10" t="str">
        <f aca="false">INDEX(Canale!$D$2:$D$30,MATCH(C1194,Canale!$A$2:$A$30,0))</f>
        <v>email</v>
      </c>
      <c r="G1194" s="10" t="str">
        <f aca="false">INDEX('Site-uri'!$C$2:$C$20,MATCH(A1194,'Site-uri'!$A$2:$A$20,0))</f>
        <v>/</v>
      </c>
      <c r="H1194" s="10" t="str">
        <f aca="false">Config!$B$3</f>
        <v>2610_ff_lansare</v>
      </c>
      <c r="I1194" s="10" t="str">
        <f aca="false">D1194&amp;"_"&amp;Config!$B$4</f>
        <v>rece_general</v>
      </c>
      <c r="J1194" s="10" t="str">
        <f aca="false">"https://"&amp;B1194&amp;G1194&amp;"?utm_source="&amp;E1194&amp;"&amp;utm_medium="&amp;F1194&amp;"&amp;utm_campaign="&amp;H1194&amp;"&amp;utm_content="&amp;I1194</f>
        <v>https://eu-112.ro/?utm_source=email_signature&amp;utm_medium=email&amp;utm_campaign=2610_ff_lansare&amp;utm_content=rece_general</v>
      </c>
    </row>
    <row r="1195" customFormat="false" ht="15" hidden="false" customHeight="false" outlineLevel="0" collapsed="false">
      <c r="A1195" s="10" t="s">
        <v>76</v>
      </c>
      <c r="B1195" s="10" t="str">
        <f aca="false">INDEX('Site-uri'!$B$2:$B$20,MATCH(A1195,'Site-uri'!$A$2:$A$20,0))</f>
        <v>eu-112.ro</v>
      </c>
      <c r="C1195" s="10" t="s">
        <v>134</v>
      </c>
      <c r="D1195" s="10" t="s">
        <v>225</v>
      </c>
      <c r="E1195" s="10" t="str">
        <f aca="false">INDEX(Canale!$C$2:$C$30,MATCH(C1195,Canale!$A$2:$A$30,0))</f>
        <v>email_signature</v>
      </c>
      <c r="F1195" s="10" t="str">
        <f aca="false">INDEX(Canale!$D$2:$D$30,MATCH(C1195,Canale!$A$2:$A$30,0))</f>
        <v>email</v>
      </c>
      <c r="G1195" s="10" t="str">
        <f aca="false">INDEX('Site-uri'!$C$2:$C$20,MATCH(A1195,'Site-uri'!$A$2:$A$20,0))</f>
        <v>/</v>
      </c>
      <c r="H1195" s="10" t="str">
        <f aca="false">Config!$B$3</f>
        <v>2610_ff_lansare</v>
      </c>
      <c r="I1195" s="10" t="str">
        <f aca="false">D1195&amp;"_"&amp;Config!$B$4</f>
        <v>cald_general</v>
      </c>
      <c r="J1195" s="10" t="str">
        <f aca="false">"https://"&amp;B1195&amp;G1195&amp;"?utm_source="&amp;E1195&amp;"&amp;utm_medium="&amp;F1195&amp;"&amp;utm_campaign="&amp;H1195&amp;"&amp;utm_content="&amp;I1195</f>
        <v>https://eu-112.ro/?utm_source=email_signature&amp;utm_medium=email&amp;utm_campaign=2610_ff_lansare&amp;utm_content=cald_general</v>
      </c>
    </row>
    <row r="1196" customFormat="false" ht="15" hidden="false" customHeight="false" outlineLevel="0" collapsed="false">
      <c r="A1196" s="10" t="s">
        <v>76</v>
      </c>
      <c r="B1196" s="10" t="str">
        <f aca="false">INDEX('Site-uri'!$B$2:$B$20,MATCH(A1196,'Site-uri'!$A$2:$A$20,0))</f>
        <v>eu-112.ro</v>
      </c>
      <c r="C1196" s="10" t="s">
        <v>134</v>
      </c>
      <c r="D1196" s="10" t="s">
        <v>231</v>
      </c>
      <c r="E1196" s="10" t="str">
        <f aca="false">INDEX(Canale!$C$2:$C$30,MATCH(C1196,Canale!$A$2:$A$30,0))</f>
        <v>email_signature</v>
      </c>
      <c r="F1196" s="10" t="str">
        <f aca="false">INDEX(Canale!$D$2:$D$30,MATCH(C1196,Canale!$A$2:$A$30,0))</f>
        <v>email</v>
      </c>
      <c r="G1196" s="10" t="str">
        <f aca="false">INDEX('Site-uri'!$C$2:$C$20,MATCH(A1196,'Site-uri'!$A$2:$A$20,0))</f>
        <v>/</v>
      </c>
      <c r="H1196" s="10" t="str">
        <f aca="false">Config!$B$3</f>
        <v>2610_ff_lansare</v>
      </c>
      <c r="I1196" s="10" t="str">
        <f aca="false">D1196&amp;"_"&amp;Config!$B$4</f>
        <v>fierbinte_general</v>
      </c>
      <c r="J1196" s="10" t="str">
        <f aca="false">"https://"&amp;B1196&amp;G1196&amp;"?utm_source="&amp;E1196&amp;"&amp;utm_medium="&amp;F1196&amp;"&amp;utm_campaign="&amp;H1196&amp;"&amp;utm_content="&amp;I1196</f>
        <v>https://eu-112.ro/?utm_source=email_signature&amp;utm_medium=email&amp;utm_campaign=2610_ff_lansare&amp;utm_content=fierbinte_general</v>
      </c>
    </row>
    <row r="1197" customFormat="false" ht="15" hidden="false" customHeight="false" outlineLevel="0" collapsed="false">
      <c r="A1197" s="10" t="s">
        <v>76</v>
      </c>
      <c r="B1197" s="10" t="str">
        <f aca="false">INDEX('Site-uri'!$B$2:$B$20,MATCH(A1197,'Site-uri'!$A$2:$A$20,0))</f>
        <v>eu-112.ro</v>
      </c>
      <c r="C1197" s="10" t="s">
        <v>134</v>
      </c>
      <c r="D1197" s="10" t="s">
        <v>237</v>
      </c>
      <c r="E1197" s="10" t="str">
        <f aca="false">INDEX(Canale!$C$2:$C$30,MATCH(C1197,Canale!$A$2:$A$30,0))</f>
        <v>email_signature</v>
      </c>
      <c r="F1197" s="10" t="str">
        <f aca="false">INDEX(Canale!$D$2:$D$30,MATCH(C1197,Canale!$A$2:$A$30,0))</f>
        <v>email</v>
      </c>
      <c r="G1197" s="10" t="str">
        <f aca="false">INDEX('Site-uri'!$C$2:$C$20,MATCH(A1197,'Site-uri'!$A$2:$A$20,0))</f>
        <v>/</v>
      </c>
      <c r="H1197" s="10" t="str">
        <f aca="false">Config!$B$3</f>
        <v>2610_ff_lansare</v>
      </c>
      <c r="I1197" s="10" t="str">
        <f aca="false">D1197&amp;"_"&amp;Config!$B$4</f>
        <v>client_general</v>
      </c>
      <c r="J1197" s="10" t="str">
        <f aca="false">"https://"&amp;B1197&amp;G1197&amp;"?utm_source="&amp;E1197&amp;"&amp;utm_medium="&amp;F1197&amp;"&amp;utm_campaign="&amp;H1197&amp;"&amp;utm_content="&amp;I1197</f>
        <v>https://eu-112.ro/?utm_source=email_signature&amp;utm_medium=email&amp;utm_campaign=2610_ff_lansare&amp;utm_content=client_general</v>
      </c>
    </row>
    <row r="1198" customFormat="false" ht="15" hidden="false" customHeight="false" outlineLevel="0" collapsed="false">
      <c r="A1198" s="10" t="s">
        <v>76</v>
      </c>
      <c r="B1198" s="10" t="str">
        <f aca="false">INDEX('Site-uri'!$B$2:$B$20,MATCH(A1198,'Site-uri'!$A$2:$A$20,0))</f>
        <v>eu-112.ro</v>
      </c>
      <c r="C1198" s="10" t="s">
        <v>137</v>
      </c>
      <c r="D1198" s="10" t="s">
        <v>219</v>
      </c>
      <c r="E1198" s="10" t="str">
        <f aca="false">INDEX(Canale!$C$2:$C$30,MATCH(C1198,Canale!$A$2:$A$30,0))</f>
        <v>whatsapp</v>
      </c>
      <c r="F1198" s="10" t="str">
        <f aca="false">INDEX(Canale!$D$2:$D$30,MATCH(C1198,Canale!$A$2:$A$30,0))</f>
        <v>dm</v>
      </c>
      <c r="G1198" s="10" t="str">
        <f aca="false">INDEX('Site-uri'!$C$2:$C$20,MATCH(A1198,'Site-uri'!$A$2:$A$20,0))</f>
        <v>/</v>
      </c>
      <c r="H1198" s="10" t="str">
        <f aca="false">Config!$B$3</f>
        <v>2610_ff_lansare</v>
      </c>
      <c r="I1198" s="10" t="str">
        <f aca="false">D1198&amp;"_"&amp;Config!$B$4</f>
        <v>rece_general</v>
      </c>
      <c r="J1198" s="10" t="str">
        <f aca="false">"https://"&amp;B1198&amp;G1198&amp;"?utm_source="&amp;E1198&amp;"&amp;utm_medium="&amp;F1198&amp;"&amp;utm_campaign="&amp;H1198&amp;"&amp;utm_content="&amp;I1198</f>
        <v>https://eu-112.ro/?utm_source=whatsapp&amp;utm_medium=dm&amp;utm_campaign=2610_ff_lansare&amp;utm_content=rece_general</v>
      </c>
    </row>
    <row r="1199" customFormat="false" ht="15" hidden="false" customHeight="false" outlineLevel="0" collapsed="false">
      <c r="A1199" s="10" t="s">
        <v>76</v>
      </c>
      <c r="B1199" s="10" t="str">
        <f aca="false">INDEX('Site-uri'!$B$2:$B$20,MATCH(A1199,'Site-uri'!$A$2:$A$20,0))</f>
        <v>eu-112.ro</v>
      </c>
      <c r="C1199" s="10" t="s">
        <v>137</v>
      </c>
      <c r="D1199" s="10" t="s">
        <v>225</v>
      </c>
      <c r="E1199" s="10" t="str">
        <f aca="false">INDEX(Canale!$C$2:$C$30,MATCH(C1199,Canale!$A$2:$A$30,0))</f>
        <v>whatsapp</v>
      </c>
      <c r="F1199" s="10" t="str">
        <f aca="false">INDEX(Canale!$D$2:$D$30,MATCH(C1199,Canale!$A$2:$A$30,0))</f>
        <v>dm</v>
      </c>
      <c r="G1199" s="10" t="str">
        <f aca="false">INDEX('Site-uri'!$C$2:$C$20,MATCH(A1199,'Site-uri'!$A$2:$A$20,0))</f>
        <v>/</v>
      </c>
      <c r="H1199" s="10" t="str">
        <f aca="false">Config!$B$3</f>
        <v>2610_ff_lansare</v>
      </c>
      <c r="I1199" s="10" t="str">
        <f aca="false">D1199&amp;"_"&amp;Config!$B$4</f>
        <v>cald_general</v>
      </c>
      <c r="J1199" s="10" t="str">
        <f aca="false">"https://"&amp;B1199&amp;G1199&amp;"?utm_source="&amp;E1199&amp;"&amp;utm_medium="&amp;F1199&amp;"&amp;utm_campaign="&amp;H1199&amp;"&amp;utm_content="&amp;I1199</f>
        <v>https://eu-112.ro/?utm_source=whatsapp&amp;utm_medium=dm&amp;utm_campaign=2610_ff_lansare&amp;utm_content=cald_general</v>
      </c>
    </row>
    <row r="1200" customFormat="false" ht="15" hidden="false" customHeight="false" outlineLevel="0" collapsed="false">
      <c r="A1200" s="10" t="s">
        <v>76</v>
      </c>
      <c r="B1200" s="10" t="str">
        <f aca="false">INDEX('Site-uri'!$B$2:$B$20,MATCH(A1200,'Site-uri'!$A$2:$A$20,0))</f>
        <v>eu-112.ro</v>
      </c>
      <c r="C1200" s="10" t="s">
        <v>137</v>
      </c>
      <c r="D1200" s="10" t="s">
        <v>231</v>
      </c>
      <c r="E1200" s="10" t="str">
        <f aca="false">INDEX(Canale!$C$2:$C$30,MATCH(C1200,Canale!$A$2:$A$30,0))</f>
        <v>whatsapp</v>
      </c>
      <c r="F1200" s="10" t="str">
        <f aca="false">INDEX(Canale!$D$2:$D$30,MATCH(C1200,Canale!$A$2:$A$30,0))</f>
        <v>dm</v>
      </c>
      <c r="G1200" s="10" t="str">
        <f aca="false">INDEX('Site-uri'!$C$2:$C$20,MATCH(A1200,'Site-uri'!$A$2:$A$20,0))</f>
        <v>/</v>
      </c>
      <c r="H1200" s="10" t="str">
        <f aca="false">Config!$B$3</f>
        <v>2610_ff_lansare</v>
      </c>
      <c r="I1200" s="10" t="str">
        <f aca="false">D1200&amp;"_"&amp;Config!$B$4</f>
        <v>fierbinte_general</v>
      </c>
      <c r="J1200" s="10" t="str">
        <f aca="false">"https://"&amp;B1200&amp;G1200&amp;"?utm_source="&amp;E1200&amp;"&amp;utm_medium="&amp;F1200&amp;"&amp;utm_campaign="&amp;H1200&amp;"&amp;utm_content="&amp;I1200</f>
        <v>https://eu-112.ro/?utm_source=whatsapp&amp;utm_medium=dm&amp;utm_campaign=2610_ff_lansare&amp;utm_content=fierbinte_general</v>
      </c>
    </row>
    <row r="1201" customFormat="false" ht="15" hidden="false" customHeight="false" outlineLevel="0" collapsed="false">
      <c r="A1201" s="10" t="s">
        <v>76</v>
      </c>
      <c r="B1201" s="10" t="str">
        <f aca="false">INDEX('Site-uri'!$B$2:$B$20,MATCH(A1201,'Site-uri'!$A$2:$A$20,0))</f>
        <v>eu-112.ro</v>
      </c>
      <c r="C1201" s="10" t="s">
        <v>137</v>
      </c>
      <c r="D1201" s="10" t="s">
        <v>237</v>
      </c>
      <c r="E1201" s="10" t="str">
        <f aca="false">INDEX(Canale!$C$2:$C$30,MATCH(C1201,Canale!$A$2:$A$30,0))</f>
        <v>whatsapp</v>
      </c>
      <c r="F1201" s="10" t="str">
        <f aca="false">INDEX(Canale!$D$2:$D$30,MATCH(C1201,Canale!$A$2:$A$30,0))</f>
        <v>dm</v>
      </c>
      <c r="G1201" s="10" t="str">
        <f aca="false">INDEX('Site-uri'!$C$2:$C$20,MATCH(A1201,'Site-uri'!$A$2:$A$20,0))</f>
        <v>/</v>
      </c>
      <c r="H1201" s="10" t="str">
        <f aca="false">Config!$B$3</f>
        <v>2610_ff_lansare</v>
      </c>
      <c r="I1201" s="10" t="str">
        <f aca="false">D1201&amp;"_"&amp;Config!$B$4</f>
        <v>client_general</v>
      </c>
      <c r="J1201" s="10" t="str">
        <f aca="false">"https://"&amp;B1201&amp;G1201&amp;"?utm_source="&amp;E1201&amp;"&amp;utm_medium="&amp;F1201&amp;"&amp;utm_campaign="&amp;H1201&amp;"&amp;utm_content="&amp;I1201</f>
        <v>https://eu-112.ro/?utm_source=whatsapp&amp;utm_medium=dm&amp;utm_campaign=2610_ff_lansare&amp;utm_content=client_general</v>
      </c>
    </row>
    <row r="1202" customFormat="false" ht="15" hidden="false" customHeight="false" outlineLevel="0" collapsed="false">
      <c r="A1202" s="10" t="s">
        <v>76</v>
      </c>
      <c r="B1202" s="10" t="str">
        <f aca="false">INDEX('Site-uri'!$B$2:$B$20,MATCH(A1202,'Site-uri'!$A$2:$A$20,0))</f>
        <v>eu-112.ro</v>
      </c>
      <c r="C1202" s="10" t="s">
        <v>141</v>
      </c>
      <c r="D1202" s="10" t="s">
        <v>219</v>
      </c>
      <c r="E1202" s="10" t="str">
        <f aca="false">INDEX(Canale!$C$2:$C$30,MATCH(C1202,Canale!$A$2:$A$30,0))</f>
        <v>google</v>
      </c>
      <c r="F1202" s="10" t="str">
        <f aca="false">INDEX(Canale!$D$2:$D$30,MATCH(C1202,Canale!$A$2:$A$30,0))</f>
        <v>cpc</v>
      </c>
      <c r="G1202" s="10" t="str">
        <f aca="false">INDEX('Site-uri'!$C$2:$C$20,MATCH(A1202,'Site-uri'!$A$2:$A$20,0))</f>
        <v>/</v>
      </c>
      <c r="H1202" s="10" t="str">
        <f aca="false">Config!$B$3</f>
        <v>2610_ff_lansare</v>
      </c>
      <c r="I1202" s="10" t="str">
        <f aca="false">D1202&amp;"_"&amp;Config!$B$4</f>
        <v>rece_general</v>
      </c>
      <c r="J1202" s="10" t="str">
        <f aca="false">"https://"&amp;B1202&amp;G1202&amp;"?utm_source="&amp;E1202&amp;"&amp;utm_medium="&amp;F1202&amp;"&amp;utm_campaign="&amp;H1202&amp;"&amp;utm_content="&amp;I1202</f>
        <v>https://eu-112.ro/?utm_source=google&amp;utm_medium=cpc&amp;utm_campaign=2610_ff_lansare&amp;utm_content=rece_general</v>
      </c>
    </row>
    <row r="1203" customFormat="false" ht="15" hidden="false" customHeight="false" outlineLevel="0" collapsed="false">
      <c r="A1203" s="10" t="s">
        <v>76</v>
      </c>
      <c r="B1203" s="10" t="str">
        <f aca="false">INDEX('Site-uri'!$B$2:$B$20,MATCH(A1203,'Site-uri'!$A$2:$A$20,0))</f>
        <v>eu-112.ro</v>
      </c>
      <c r="C1203" s="10" t="s">
        <v>141</v>
      </c>
      <c r="D1203" s="10" t="s">
        <v>225</v>
      </c>
      <c r="E1203" s="10" t="str">
        <f aca="false">INDEX(Canale!$C$2:$C$30,MATCH(C1203,Canale!$A$2:$A$30,0))</f>
        <v>google</v>
      </c>
      <c r="F1203" s="10" t="str">
        <f aca="false">INDEX(Canale!$D$2:$D$30,MATCH(C1203,Canale!$A$2:$A$30,0))</f>
        <v>cpc</v>
      </c>
      <c r="G1203" s="10" t="str">
        <f aca="false">INDEX('Site-uri'!$C$2:$C$20,MATCH(A1203,'Site-uri'!$A$2:$A$20,0))</f>
        <v>/</v>
      </c>
      <c r="H1203" s="10" t="str">
        <f aca="false">Config!$B$3</f>
        <v>2610_ff_lansare</v>
      </c>
      <c r="I1203" s="10" t="str">
        <f aca="false">D1203&amp;"_"&amp;Config!$B$4</f>
        <v>cald_general</v>
      </c>
      <c r="J1203" s="10" t="str">
        <f aca="false">"https://"&amp;B1203&amp;G1203&amp;"?utm_source="&amp;E1203&amp;"&amp;utm_medium="&amp;F1203&amp;"&amp;utm_campaign="&amp;H1203&amp;"&amp;utm_content="&amp;I1203</f>
        <v>https://eu-112.ro/?utm_source=google&amp;utm_medium=cpc&amp;utm_campaign=2610_ff_lansare&amp;utm_content=cald_general</v>
      </c>
    </row>
    <row r="1204" customFormat="false" ht="15" hidden="false" customHeight="false" outlineLevel="0" collapsed="false">
      <c r="A1204" s="10" t="s">
        <v>76</v>
      </c>
      <c r="B1204" s="10" t="str">
        <f aca="false">INDEX('Site-uri'!$B$2:$B$20,MATCH(A1204,'Site-uri'!$A$2:$A$20,0))</f>
        <v>eu-112.ro</v>
      </c>
      <c r="C1204" s="10" t="s">
        <v>141</v>
      </c>
      <c r="D1204" s="10" t="s">
        <v>231</v>
      </c>
      <c r="E1204" s="10" t="str">
        <f aca="false">INDEX(Canale!$C$2:$C$30,MATCH(C1204,Canale!$A$2:$A$30,0))</f>
        <v>google</v>
      </c>
      <c r="F1204" s="10" t="str">
        <f aca="false">INDEX(Canale!$D$2:$D$30,MATCH(C1204,Canale!$A$2:$A$30,0))</f>
        <v>cpc</v>
      </c>
      <c r="G1204" s="10" t="str">
        <f aca="false">INDEX('Site-uri'!$C$2:$C$20,MATCH(A1204,'Site-uri'!$A$2:$A$20,0))</f>
        <v>/</v>
      </c>
      <c r="H1204" s="10" t="str">
        <f aca="false">Config!$B$3</f>
        <v>2610_ff_lansare</v>
      </c>
      <c r="I1204" s="10" t="str">
        <f aca="false">D1204&amp;"_"&amp;Config!$B$4</f>
        <v>fierbinte_general</v>
      </c>
      <c r="J1204" s="10" t="str">
        <f aca="false">"https://"&amp;B1204&amp;G1204&amp;"?utm_source="&amp;E1204&amp;"&amp;utm_medium="&amp;F1204&amp;"&amp;utm_campaign="&amp;H1204&amp;"&amp;utm_content="&amp;I1204</f>
        <v>https://eu-112.ro/?utm_source=google&amp;utm_medium=cpc&amp;utm_campaign=2610_ff_lansare&amp;utm_content=fierbinte_general</v>
      </c>
    </row>
    <row r="1205" customFormat="false" ht="15" hidden="false" customHeight="false" outlineLevel="0" collapsed="false">
      <c r="A1205" s="10" t="s">
        <v>76</v>
      </c>
      <c r="B1205" s="10" t="str">
        <f aca="false">INDEX('Site-uri'!$B$2:$B$20,MATCH(A1205,'Site-uri'!$A$2:$A$20,0))</f>
        <v>eu-112.ro</v>
      </c>
      <c r="C1205" s="10" t="s">
        <v>141</v>
      </c>
      <c r="D1205" s="10" t="s">
        <v>237</v>
      </c>
      <c r="E1205" s="10" t="str">
        <f aca="false">INDEX(Canale!$C$2:$C$30,MATCH(C1205,Canale!$A$2:$A$30,0))</f>
        <v>google</v>
      </c>
      <c r="F1205" s="10" t="str">
        <f aca="false">INDEX(Canale!$D$2:$D$30,MATCH(C1205,Canale!$A$2:$A$30,0))</f>
        <v>cpc</v>
      </c>
      <c r="G1205" s="10" t="str">
        <f aca="false">INDEX('Site-uri'!$C$2:$C$20,MATCH(A1205,'Site-uri'!$A$2:$A$20,0))</f>
        <v>/</v>
      </c>
      <c r="H1205" s="10" t="str">
        <f aca="false">Config!$B$3</f>
        <v>2610_ff_lansare</v>
      </c>
      <c r="I1205" s="10" t="str">
        <f aca="false">D1205&amp;"_"&amp;Config!$B$4</f>
        <v>client_general</v>
      </c>
      <c r="J1205" s="10" t="str">
        <f aca="false">"https://"&amp;B1205&amp;G1205&amp;"?utm_source="&amp;E1205&amp;"&amp;utm_medium="&amp;F1205&amp;"&amp;utm_campaign="&amp;H1205&amp;"&amp;utm_content="&amp;I1205</f>
        <v>https://eu-112.ro/?utm_source=google&amp;utm_medium=cpc&amp;utm_campaign=2610_ff_lansare&amp;utm_content=client_general</v>
      </c>
    </row>
    <row r="1206" customFormat="false" ht="15" hidden="false" customHeight="false" outlineLevel="0" collapsed="false">
      <c r="A1206" s="10" t="s">
        <v>76</v>
      </c>
      <c r="B1206" s="10" t="str">
        <f aca="false">INDEX('Site-uri'!$B$2:$B$20,MATCH(A1206,'Site-uri'!$A$2:$A$20,0))</f>
        <v>eu-112.ro</v>
      </c>
      <c r="C1206" s="10" t="s">
        <v>146</v>
      </c>
      <c r="D1206" s="10" t="s">
        <v>219</v>
      </c>
      <c r="E1206" s="10" t="str">
        <f aca="false">INDEX(Canale!$C$2:$C$30,MATCH(C1206,Canale!$A$2:$A$30,0))</f>
        <v>bing</v>
      </c>
      <c r="F1206" s="10" t="str">
        <f aca="false">INDEX(Canale!$D$2:$D$30,MATCH(C1206,Canale!$A$2:$A$30,0))</f>
        <v>cpc</v>
      </c>
      <c r="G1206" s="10" t="str">
        <f aca="false">INDEX('Site-uri'!$C$2:$C$20,MATCH(A1206,'Site-uri'!$A$2:$A$20,0))</f>
        <v>/</v>
      </c>
      <c r="H1206" s="10" t="str">
        <f aca="false">Config!$B$3</f>
        <v>2610_ff_lansare</v>
      </c>
      <c r="I1206" s="10" t="str">
        <f aca="false">D1206&amp;"_"&amp;Config!$B$4</f>
        <v>rece_general</v>
      </c>
      <c r="J1206" s="10" t="str">
        <f aca="false">"https://"&amp;B1206&amp;G1206&amp;"?utm_source="&amp;E1206&amp;"&amp;utm_medium="&amp;F1206&amp;"&amp;utm_campaign="&amp;H1206&amp;"&amp;utm_content="&amp;I1206</f>
        <v>https://eu-112.ro/?utm_source=bing&amp;utm_medium=cpc&amp;utm_campaign=2610_ff_lansare&amp;utm_content=rece_general</v>
      </c>
    </row>
    <row r="1207" customFormat="false" ht="15" hidden="false" customHeight="false" outlineLevel="0" collapsed="false">
      <c r="A1207" s="10" t="s">
        <v>76</v>
      </c>
      <c r="B1207" s="10" t="str">
        <f aca="false">INDEX('Site-uri'!$B$2:$B$20,MATCH(A1207,'Site-uri'!$A$2:$A$20,0))</f>
        <v>eu-112.ro</v>
      </c>
      <c r="C1207" s="10" t="s">
        <v>146</v>
      </c>
      <c r="D1207" s="10" t="s">
        <v>225</v>
      </c>
      <c r="E1207" s="10" t="str">
        <f aca="false">INDEX(Canale!$C$2:$C$30,MATCH(C1207,Canale!$A$2:$A$30,0))</f>
        <v>bing</v>
      </c>
      <c r="F1207" s="10" t="str">
        <f aca="false">INDEX(Canale!$D$2:$D$30,MATCH(C1207,Canale!$A$2:$A$30,0))</f>
        <v>cpc</v>
      </c>
      <c r="G1207" s="10" t="str">
        <f aca="false">INDEX('Site-uri'!$C$2:$C$20,MATCH(A1207,'Site-uri'!$A$2:$A$20,0))</f>
        <v>/</v>
      </c>
      <c r="H1207" s="10" t="str">
        <f aca="false">Config!$B$3</f>
        <v>2610_ff_lansare</v>
      </c>
      <c r="I1207" s="10" t="str">
        <f aca="false">D1207&amp;"_"&amp;Config!$B$4</f>
        <v>cald_general</v>
      </c>
      <c r="J1207" s="10" t="str">
        <f aca="false">"https://"&amp;B1207&amp;G1207&amp;"?utm_source="&amp;E1207&amp;"&amp;utm_medium="&amp;F1207&amp;"&amp;utm_campaign="&amp;H1207&amp;"&amp;utm_content="&amp;I1207</f>
        <v>https://eu-112.ro/?utm_source=bing&amp;utm_medium=cpc&amp;utm_campaign=2610_ff_lansare&amp;utm_content=cald_general</v>
      </c>
    </row>
    <row r="1208" customFormat="false" ht="15" hidden="false" customHeight="false" outlineLevel="0" collapsed="false">
      <c r="A1208" s="10" t="s">
        <v>76</v>
      </c>
      <c r="B1208" s="10" t="str">
        <f aca="false">INDEX('Site-uri'!$B$2:$B$20,MATCH(A1208,'Site-uri'!$A$2:$A$20,0))</f>
        <v>eu-112.ro</v>
      </c>
      <c r="C1208" s="10" t="s">
        <v>146</v>
      </c>
      <c r="D1208" s="10" t="s">
        <v>231</v>
      </c>
      <c r="E1208" s="10" t="str">
        <f aca="false">INDEX(Canale!$C$2:$C$30,MATCH(C1208,Canale!$A$2:$A$30,0))</f>
        <v>bing</v>
      </c>
      <c r="F1208" s="10" t="str">
        <f aca="false">INDEX(Canale!$D$2:$D$30,MATCH(C1208,Canale!$A$2:$A$30,0))</f>
        <v>cpc</v>
      </c>
      <c r="G1208" s="10" t="str">
        <f aca="false">INDEX('Site-uri'!$C$2:$C$20,MATCH(A1208,'Site-uri'!$A$2:$A$20,0))</f>
        <v>/</v>
      </c>
      <c r="H1208" s="10" t="str">
        <f aca="false">Config!$B$3</f>
        <v>2610_ff_lansare</v>
      </c>
      <c r="I1208" s="10" t="str">
        <f aca="false">D1208&amp;"_"&amp;Config!$B$4</f>
        <v>fierbinte_general</v>
      </c>
      <c r="J1208" s="10" t="str">
        <f aca="false">"https://"&amp;B1208&amp;G1208&amp;"?utm_source="&amp;E1208&amp;"&amp;utm_medium="&amp;F1208&amp;"&amp;utm_campaign="&amp;H1208&amp;"&amp;utm_content="&amp;I1208</f>
        <v>https://eu-112.ro/?utm_source=bing&amp;utm_medium=cpc&amp;utm_campaign=2610_ff_lansare&amp;utm_content=fierbinte_general</v>
      </c>
    </row>
    <row r="1209" customFormat="false" ht="15" hidden="false" customHeight="false" outlineLevel="0" collapsed="false">
      <c r="A1209" s="10" t="s">
        <v>76</v>
      </c>
      <c r="B1209" s="10" t="str">
        <f aca="false">INDEX('Site-uri'!$B$2:$B$20,MATCH(A1209,'Site-uri'!$A$2:$A$20,0))</f>
        <v>eu-112.ro</v>
      </c>
      <c r="C1209" s="10" t="s">
        <v>146</v>
      </c>
      <c r="D1209" s="10" t="s">
        <v>237</v>
      </c>
      <c r="E1209" s="10" t="str">
        <f aca="false">INDEX(Canale!$C$2:$C$30,MATCH(C1209,Canale!$A$2:$A$30,0))</f>
        <v>bing</v>
      </c>
      <c r="F1209" s="10" t="str">
        <f aca="false">INDEX(Canale!$D$2:$D$30,MATCH(C1209,Canale!$A$2:$A$30,0))</f>
        <v>cpc</v>
      </c>
      <c r="G1209" s="10" t="str">
        <f aca="false">INDEX('Site-uri'!$C$2:$C$20,MATCH(A1209,'Site-uri'!$A$2:$A$20,0))</f>
        <v>/</v>
      </c>
      <c r="H1209" s="10" t="str">
        <f aca="false">Config!$B$3</f>
        <v>2610_ff_lansare</v>
      </c>
      <c r="I1209" s="10" t="str">
        <f aca="false">D1209&amp;"_"&amp;Config!$B$4</f>
        <v>client_general</v>
      </c>
      <c r="J1209" s="10" t="str">
        <f aca="false">"https://"&amp;B1209&amp;G1209&amp;"?utm_source="&amp;E1209&amp;"&amp;utm_medium="&amp;F1209&amp;"&amp;utm_campaign="&amp;H1209&amp;"&amp;utm_content="&amp;I1209</f>
        <v>https://eu-112.ro/?utm_source=bing&amp;utm_medium=cpc&amp;utm_campaign=2610_ff_lansare&amp;utm_content=client_general</v>
      </c>
    </row>
    <row r="1210" customFormat="false" ht="15" hidden="false" customHeight="false" outlineLevel="0" collapsed="false">
      <c r="A1210" s="10" t="s">
        <v>76</v>
      </c>
      <c r="B1210" s="10" t="str">
        <f aca="false">INDEX('Site-uri'!$B$2:$B$20,MATCH(A1210,'Site-uri'!$A$2:$A$20,0))</f>
        <v>eu-112.ro</v>
      </c>
      <c r="C1210" s="10" t="s">
        <v>149</v>
      </c>
      <c r="D1210" s="10" t="s">
        <v>219</v>
      </c>
      <c r="E1210" s="10" t="str">
        <f aca="false">INDEX(Canale!$C$2:$C$30,MATCH(C1210,Canale!$A$2:$A$30,0))</f>
        <v>facebook</v>
      </c>
      <c r="F1210" s="10" t="str">
        <f aca="false">INDEX(Canale!$D$2:$D$30,MATCH(C1210,Canale!$A$2:$A$30,0))</f>
        <v>social</v>
      </c>
      <c r="G1210" s="10" t="str">
        <f aca="false">INDEX('Site-uri'!$C$2:$C$20,MATCH(A1210,'Site-uri'!$A$2:$A$20,0))</f>
        <v>/</v>
      </c>
      <c r="H1210" s="10" t="str">
        <f aca="false">Config!$B$3</f>
        <v>2610_ff_lansare</v>
      </c>
      <c r="I1210" s="10" t="str">
        <f aca="false">D1210&amp;"_"&amp;Config!$B$4</f>
        <v>rece_general</v>
      </c>
      <c r="J1210" s="10" t="str">
        <f aca="false">"https://"&amp;B1210&amp;G1210&amp;"?utm_source="&amp;E1210&amp;"&amp;utm_medium="&amp;F1210&amp;"&amp;utm_campaign="&amp;H1210&amp;"&amp;utm_content="&amp;I1210</f>
        <v>https://eu-112.ro/?utm_source=facebook&amp;utm_medium=social&amp;utm_campaign=2610_ff_lansare&amp;utm_content=rece_general</v>
      </c>
    </row>
    <row r="1211" customFormat="false" ht="15" hidden="false" customHeight="false" outlineLevel="0" collapsed="false">
      <c r="A1211" s="10" t="s">
        <v>76</v>
      </c>
      <c r="B1211" s="10" t="str">
        <f aca="false">INDEX('Site-uri'!$B$2:$B$20,MATCH(A1211,'Site-uri'!$A$2:$A$20,0))</f>
        <v>eu-112.ro</v>
      </c>
      <c r="C1211" s="10" t="s">
        <v>149</v>
      </c>
      <c r="D1211" s="10" t="s">
        <v>225</v>
      </c>
      <c r="E1211" s="10" t="str">
        <f aca="false">INDEX(Canale!$C$2:$C$30,MATCH(C1211,Canale!$A$2:$A$30,0))</f>
        <v>facebook</v>
      </c>
      <c r="F1211" s="10" t="str">
        <f aca="false">INDEX(Canale!$D$2:$D$30,MATCH(C1211,Canale!$A$2:$A$30,0))</f>
        <v>social</v>
      </c>
      <c r="G1211" s="10" t="str">
        <f aca="false">INDEX('Site-uri'!$C$2:$C$20,MATCH(A1211,'Site-uri'!$A$2:$A$20,0))</f>
        <v>/</v>
      </c>
      <c r="H1211" s="10" t="str">
        <f aca="false">Config!$B$3</f>
        <v>2610_ff_lansare</v>
      </c>
      <c r="I1211" s="10" t="str">
        <f aca="false">D1211&amp;"_"&amp;Config!$B$4</f>
        <v>cald_general</v>
      </c>
      <c r="J1211" s="10" t="str">
        <f aca="false">"https://"&amp;B1211&amp;G1211&amp;"?utm_source="&amp;E1211&amp;"&amp;utm_medium="&amp;F1211&amp;"&amp;utm_campaign="&amp;H1211&amp;"&amp;utm_content="&amp;I1211</f>
        <v>https://eu-112.ro/?utm_source=facebook&amp;utm_medium=social&amp;utm_campaign=2610_ff_lansare&amp;utm_content=cald_general</v>
      </c>
    </row>
    <row r="1212" customFormat="false" ht="15" hidden="false" customHeight="false" outlineLevel="0" collapsed="false">
      <c r="A1212" s="10" t="s">
        <v>76</v>
      </c>
      <c r="B1212" s="10" t="str">
        <f aca="false">INDEX('Site-uri'!$B$2:$B$20,MATCH(A1212,'Site-uri'!$A$2:$A$20,0))</f>
        <v>eu-112.ro</v>
      </c>
      <c r="C1212" s="10" t="s">
        <v>149</v>
      </c>
      <c r="D1212" s="10" t="s">
        <v>231</v>
      </c>
      <c r="E1212" s="10" t="str">
        <f aca="false">INDEX(Canale!$C$2:$C$30,MATCH(C1212,Canale!$A$2:$A$30,0))</f>
        <v>facebook</v>
      </c>
      <c r="F1212" s="10" t="str">
        <f aca="false">INDEX(Canale!$D$2:$D$30,MATCH(C1212,Canale!$A$2:$A$30,0))</f>
        <v>social</v>
      </c>
      <c r="G1212" s="10" t="str">
        <f aca="false">INDEX('Site-uri'!$C$2:$C$20,MATCH(A1212,'Site-uri'!$A$2:$A$20,0))</f>
        <v>/</v>
      </c>
      <c r="H1212" s="10" t="str">
        <f aca="false">Config!$B$3</f>
        <v>2610_ff_lansare</v>
      </c>
      <c r="I1212" s="10" t="str">
        <f aca="false">D1212&amp;"_"&amp;Config!$B$4</f>
        <v>fierbinte_general</v>
      </c>
      <c r="J1212" s="10" t="str">
        <f aca="false">"https://"&amp;B1212&amp;G1212&amp;"?utm_source="&amp;E1212&amp;"&amp;utm_medium="&amp;F1212&amp;"&amp;utm_campaign="&amp;H1212&amp;"&amp;utm_content="&amp;I1212</f>
        <v>https://eu-112.ro/?utm_source=facebook&amp;utm_medium=social&amp;utm_campaign=2610_ff_lansare&amp;utm_content=fierbinte_general</v>
      </c>
    </row>
    <row r="1213" customFormat="false" ht="15" hidden="false" customHeight="false" outlineLevel="0" collapsed="false">
      <c r="A1213" s="10" t="s">
        <v>76</v>
      </c>
      <c r="B1213" s="10" t="str">
        <f aca="false">INDEX('Site-uri'!$B$2:$B$20,MATCH(A1213,'Site-uri'!$A$2:$A$20,0))</f>
        <v>eu-112.ro</v>
      </c>
      <c r="C1213" s="10" t="s">
        <v>149</v>
      </c>
      <c r="D1213" s="10" t="s">
        <v>237</v>
      </c>
      <c r="E1213" s="10" t="str">
        <f aca="false">INDEX(Canale!$C$2:$C$30,MATCH(C1213,Canale!$A$2:$A$30,0))</f>
        <v>facebook</v>
      </c>
      <c r="F1213" s="10" t="str">
        <f aca="false">INDEX(Canale!$D$2:$D$30,MATCH(C1213,Canale!$A$2:$A$30,0))</f>
        <v>social</v>
      </c>
      <c r="G1213" s="10" t="str">
        <f aca="false">INDEX('Site-uri'!$C$2:$C$20,MATCH(A1213,'Site-uri'!$A$2:$A$20,0))</f>
        <v>/</v>
      </c>
      <c r="H1213" s="10" t="str">
        <f aca="false">Config!$B$3</f>
        <v>2610_ff_lansare</v>
      </c>
      <c r="I1213" s="10" t="str">
        <f aca="false">D1213&amp;"_"&amp;Config!$B$4</f>
        <v>client_general</v>
      </c>
      <c r="J1213" s="10" t="str">
        <f aca="false">"https://"&amp;B1213&amp;G1213&amp;"?utm_source="&amp;E1213&amp;"&amp;utm_medium="&amp;F1213&amp;"&amp;utm_campaign="&amp;H1213&amp;"&amp;utm_content="&amp;I1213</f>
        <v>https://eu-112.ro/?utm_source=facebook&amp;utm_medium=social&amp;utm_campaign=2610_ff_lansare&amp;utm_content=client_general</v>
      </c>
    </row>
    <row r="1214" customFormat="false" ht="15" hidden="false" customHeight="false" outlineLevel="0" collapsed="false">
      <c r="A1214" s="10" t="s">
        <v>76</v>
      </c>
      <c r="B1214" s="10" t="str">
        <f aca="false">INDEX('Site-uri'!$B$2:$B$20,MATCH(A1214,'Site-uri'!$A$2:$A$20,0))</f>
        <v>eu-112.ro</v>
      </c>
      <c r="C1214" s="10" t="s">
        <v>153</v>
      </c>
      <c r="D1214" s="10" t="s">
        <v>219</v>
      </c>
      <c r="E1214" s="10" t="str">
        <f aca="false">INDEX(Canale!$C$2:$C$30,MATCH(C1214,Canale!$A$2:$A$30,0))</f>
        <v>x</v>
      </c>
      <c r="F1214" s="10" t="str">
        <f aca="false">INDEX(Canale!$D$2:$D$30,MATCH(C1214,Canale!$A$2:$A$30,0))</f>
        <v>social</v>
      </c>
      <c r="G1214" s="10" t="str">
        <f aca="false">INDEX('Site-uri'!$C$2:$C$20,MATCH(A1214,'Site-uri'!$A$2:$A$20,0))</f>
        <v>/</v>
      </c>
      <c r="H1214" s="10" t="str">
        <f aca="false">Config!$B$3</f>
        <v>2610_ff_lansare</v>
      </c>
      <c r="I1214" s="10" t="str">
        <f aca="false">D1214&amp;"_"&amp;Config!$B$4</f>
        <v>rece_general</v>
      </c>
      <c r="J1214" s="10" t="str">
        <f aca="false">"https://"&amp;B1214&amp;G1214&amp;"?utm_source="&amp;E1214&amp;"&amp;utm_medium="&amp;F1214&amp;"&amp;utm_campaign="&amp;H1214&amp;"&amp;utm_content="&amp;I1214</f>
        <v>https://eu-112.ro/?utm_source=x&amp;utm_medium=social&amp;utm_campaign=2610_ff_lansare&amp;utm_content=rece_general</v>
      </c>
    </row>
    <row r="1215" customFormat="false" ht="15" hidden="false" customHeight="false" outlineLevel="0" collapsed="false">
      <c r="A1215" s="10" t="s">
        <v>76</v>
      </c>
      <c r="B1215" s="10" t="str">
        <f aca="false">INDEX('Site-uri'!$B$2:$B$20,MATCH(A1215,'Site-uri'!$A$2:$A$20,0))</f>
        <v>eu-112.ro</v>
      </c>
      <c r="C1215" s="10" t="s">
        <v>153</v>
      </c>
      <c r="D1215" s="10" t="s">
        <v>225</v>
      </c>
      <c r="E1215" s="10" t="str">
        <f aca="false">INDEX(Canale!$C$2:$C$30,MATCH(C1215,Canale!$A$2:$A$30,0))</f>
        <v>x</v>
      </c>
      <c r="F1215" s="10" t="str">
        <f aca="false">INDEX(Canale!$D$2:$D$30,MATCH(C1215,Canale!$A$2:$A$30,0))</f>
        <v>social</v>
      </c>
      <c r="G1215" s="10" t="str">
        <f aca="false">INDEX('Site-uri'!$C$2:$C$20,MATCH(A1215,'Site-uri'!$A$2:$A$20,0))</f>
        <v>/</v>
      </c>
      <c r="H1215" s="10" t="str">
        <f aca="false">Config!$B$3</f>
        <v>2610_ff_lansare</v>
      </c>
      <c r="I1215" s="10" t="str">
        <f aca="false">D1215&amp;"_"&amp;Config!$B$4</f>
        <v>cald_general</v>
      </c>
      <c r="J1215" s="10" t="str">
        <f aca="false">"https://"&amp;B1215&amp;G1215&amp;"?utm_source="&amp;E1215&amp;"&amp;utm_medium="&amp;F1215&amp;"&amp;utm_campaign="&amp;H1215&amp;"&amp;utm_content="&amp;I1215</f>
        <v>https://eu-112.ro/?utm_source=x&amp;utm_medium=social&amp;utm_campaign=2610_ff_lansare&amp;utm_content=cald_general</v>
      </c>
    </row>
    <row r="1216" customFormat="false" ht="15" hidden="false" customHeight="false" outlineLevel="0" collapsed="false">
      <c r="A1216" s="10" t="s">
        <v>76</v>
      </c>
      <c r="B1216" s="10" t="str">
        <f aca="false">INDEX('Site-uri'!$B$2:$B$20,MATCH(A1216,'Site-uri'!$A$2:$A$20,0))</f>
        <v>eu-112.ro</v>
      </c>
      <c r="C1216" s="10" t="s">
        <v>153</v>
      </c>
      <c r="D1216" s="10" t="s">
        <v>231</v>
      </c>
      <c r="E1216" s="10" t="str">
        <f aca="false">INDEX(Canale!$C$2:$C$30,MATCH(C1216,Canale!$A$2:$A$30,0))</f>
        <v>x</v>
      </c>
      <c r="F1216" s="10" t="str">
        <f aca="false">INDEX(Canale!$D$2:$D$30,MATCH(C1216,Canale!$A$2:$A$30,0))</f>
        <v>social</v>
      </c>
      <c r="G1216" s="10" t="str">
        <f aca="false">INDEX('Site-uri'!$C$2:$C$20,MATCH(A1216,'Site-uri'!$A$2:$A$20,0))</f>
        <v>/</v>
      </c>
      <c r="H1216" s="10" t="str">
        <f aca="false">Config!$B$3</f>
        <v>2610_ff_lansare</v>
      </c>
      <c r="I1216" s="10" t="str">
        <f aca="false">D1216&amp;"_"&amp;Config!$B$4</f>
        <v>fierbinte_general</v>
      </c>
      <c r="J1216" s="10" t="str">
        <f aca="false">"https://"&amp;B1216&amp;G1216&amp;"?utm_source="&amp;E1216&amp;"&amp;utm_medium="&amp;F1216&amp;"&amp;utm_campaign="&amp;H1216&amp;"&amp;utm_content="&amp;I1216</f>
        <v>https://eu-112.ro/?utm_source=x&amp;utm_medium=social&amp;utm_campaign=2610_ff_lansare&amp;utm_content=fierbinte_general</v>
      </c>
    </row>
    <row r="1217" customFormat="false" ht="15" hidden="false" customHeight="false" outlineLevel="0" collapsed="false">
      <c r="A1217" s="10" t="s">
        <v>76</v>
      </c>
      <c r="B1217" s="10" t="str">
        <f aca="false">INDEX('Site-uri'!$B$2:$B$20,MATCH(A1217,'Site-uri'!$A$2:$A$20,0))</f>
        <v>eu-112.ro</v>
      </c>
      <c r="C1217" s="10" t="s">
        <v>153</v>
      </c>
      <c r="D1217" s="10" t="s">
        <v>237</v>
      </c>
      <c r="E1217" s="10" t="str">
        <f aca="false">INDEX(Canale!$C$2:$C$30,MATCH(C1217,Canale!$A$2:$A$30,0))</f>
        <v>x</v>
      </c>
      <c r="F1217" s="10" t="str">
        <f aca="false">INDEX(Canale!$D$2:$D$30,MATCH(C1217,Canale!$A$2:$A$30,0))</f>
        <v>social</v>
      </c>
      <c r="G1217" s="10" t="str">
        <f aca="false">INDEX('Site-uri'!$C$2:$C$20,MATCH(A1217,'Site-uri'!$A$2:$A$20,0))</f>
        <v>/</v>
      </c>
      <c r="H1217" s="10" t="str">
        <f aca="false">Config!$B$3</f>
        <v>2610_ff_lansare</v>
      </c>
      <c r="I1217" s="10" t="str">
        <f aca="false">D1217&amp;"_"&amp;Config!$B$4</f>
        <v>client_general</v>
      </c>
      <c r="J1217" s="10" t="str">
        <f aca="false">"https://"&amp;B1217&amp;G1217&amp;"?utm_source="&amp;E1217&amp;"&amp;utm_medium="&amp;F1217&amp;"&amp;utm_campaign="&amp;H1217&amp;"&amp;utm_content="&amp;I1217</f>
        <v>https://eu-112.ro/?utm_source=x&amp;utm_medium=social&amp;utm_campaign=2610_ff_lansare&amp;utm_content=client_general</v>
      </c>
    </row>
    <row r="1218" customFormat="false" ht="15" hidden="false" customHeight="false" outlineLevel="0" collapsed="false">
      <c r="A1218" s="10" t="s">
        <v>76</v>
      </c>
      <c r="B1218" s="10" t="str">
        <f aca="false">INDEX('Site-uri'!$B$2:$B$20,MATCH(A1218,'Site-uri'!$A$2:$A$20,0))</f>
        <v>eu-112.ro</v>
      </c>
      <c r="C1218" s="10" t="s">
        <v>155</v>
      </c>
      <c r="D1218" s="10" t="s">
        <v>219</v>
      </c>
      <c r="E1218" s="10" t="str">
        <f aca="false">INDEX(Canale!$C$2:$C$30,MATCH(C1218,Canale!$A$2:$A$30,0))</f>
        <v>youtube</v>
      </c>
      <c r="F1218" s="10" t="str">
        <f aca="false">INDEX(Canale!$D$2:$D$30,MATCH(C1218,Canale!$A$2:$A$30,0))</f>
        <v>video</v>
      </c>
      <c r="G1218" s="10" t="str">
        <f aca="false">INDEX('Site-uri'!$C$2:$C$20,MATCH(A1218,'Site-uri'!$A$2:$A$20,0))</f>
        <v>/</v>
      </c>
      <c r="H1218" s="10" t="str">
        <f aca="false">Config!$B$3</f>
        <v>2610_ff_lansare</v>
      </c>
      <c r="I1218" s="10" t="str">
        <f aca="false">D1218&amp;"_"&amp;Config!$B$4</f>
        <v>rece_general</v>
      </c>
      <c r="J1218" s="10" t="str">
        <f aca="false">"https://"&amp;B1218&amp;G1218&amp;"?utm_source="&amp;E1218&amp;"&amp;utm_medium="&amp;F1218&amp;"&amp;utm_campaign="&amp;H1218&amp;"&amp;utm_content="&amp;I1218</f>
        <v>https://eu-112.ro/?utm_source=youtube&amp;utm_medium=video&amp;utm_campaign=2610_ff_lansare&amp;utm_content=rece_general</v>
      </c>
    </row>
    <row r="1219" customFormat="false" ht="15" hidden="false" customHeight="false" outlineLevel="0" collapsed="false">
      <c r="A1219" s="10" t="s">
        <v>76</v>
      </c>
      <c r="B1219" s="10" t="str">
        <f aca="false">INDEX('Site-uri'!$B$2:$B$20,MATCH(A1219,'Site-uri'!$A$2:$A$20,0))</f>
        <v>eu-112.ro</v>
      </c>
      <c r="C1219" s="10" t="s">
        <v>155</v>
      </c>
      <c r="D1219" s="10" t="s">
        <v>225</v>
      </c>
      <c r="E1219" s="10" t="str">
        <f aca="false">INDEX(Canale!$C$2:$C$30,MATCH(C1219,Canale!$A$2:$A$30,0))</f>
        <v>youtube</v>
      </c>
      <c r="F1219" s="10" t="str">
        <f aca="false">INDEX(Canale!$D$2:$D$30,MATCH(C1219,Canale!$A$2:$A$30,0))</f>
        <v>video</v>
      </c>
      <c r="G1219" s="10" t="str">
        <f aca="false">INDEX('Site-uri'!$C$2:$C$20,MATCH(A1219,'Site-uri'!$A$2:$A$20,0))</f>
        <v>/</v>
      </c>
      <c r="H1219" s="10" t="str">
        <f aca="false">Config!$B$3</f>
        <v>2610_ff_lansare</v>
      </c>
      <c r="I1219" s="10" t="str">
        <f aca="false">D1219&amp;"_"&amp;Config!$B$4</f>
        <v>cald_general</v>
      </c>
      <c r="J1219" s="10" t="str">
        <f aca="false">"https://"&amp;B1219&amp;G1219&amp;"?utm_source="&amp;E1219&amp;"&amp;utm_medium="&amp;F1219&amp;"&amp;utm_campaign="&amp;H1219&amp;"&amp;utm_content="&amp;I1219</f>
        <v>https://eu-112.ro/?utm_source=youtube&amp;utm_medium=video&amp;utm_campaign=2610_ff_lansare&amp;utm_content=cald_general</v>
      </c>
    </row>
    <row r="1220" customFormat="false" ht="15" hidden="false" customHeight="false" outlineLevel="0" collapsed="false">
      <c r="A1220" s="10" t="s">
        <v>76</v>
      </c>
      <c r="B1220" s="10" t="str">
        <f aca="false">INDEX('Site-uri'!$B$2:$B$20,MATCH(A1220,'Site-uri'!$A$2:$A$20,0))</f>
        <v>eu-112.ro</v>
      </c>
      <c r="C1220" s="10" t="s">
        <v>155</v>
      </c>
      <c r="D1220" s="10" t="s">
        <v>231</v>
      </c>
      <c r="E1220" s="10" t="str">
        <f aca="false">INDEX(Canale!$C$2:$C$30,MATCH(C1220,Canale!$A$2:$A$30,0))</f>
        <v>youtube</v>
      </c>
      <c r="F1220" s="10" t="str">
        <f aca="false">INDEX(Canale!$D$2:$D$30,MATCH(C1220,Canale!$A$2:$A$30,0))</f>
        <v>video</v>
      </c>
      <c r="G1220" s="10" t="str">
        <f aca="false">INDEX('Site-uri'!$C$2:$C$20,MATCH(A1220,'Site-uri'!$A$2:$A$20,0))</f>
        <v>/</v>
      </c>
      <c r="H1220" s="10" t="str">
        <f aca="false">Config!$B$3</f>
        <v>2610_ff_lansare</v>
      </c>
      <c r="I1220" s="10" t="str">
        <f aca="false">D1220&amp;"_"&amp;Config!$B$4</f>
        <v>fierbinte_general</v>
      </c>
      <c r="J1220" s="10" t="str">
        <f aca="false">"https://"&amp;B1220&amp;G1220&amp;"?utm_source="&amp;E1220&amp;"&amp;utm_medium="&amp;F1220&amp;"&amp;utm_campaign="&amp;H1220&amp;"&amp;utm_content="&amp;I1220</f>
        <v>https://eu-112.ro/?utm_source=youtube&amp;utm_medium=video&amp;utm_campaign=2610_ff_lansare&amp;utm_content=fierbinte_general</v>
      </c>
    </row>
    <row r="1221" customFormat="false" ht="15" hidden="false" customHeight="false" outlineLevel="0" collapsed="false">
      <c r="A1221" s="10" t="s">
        <v>76</v>
      </c>
      <c r="B1221" s="10" t="str">
        <f aca="false">INDEX('Site-uri'!$B$2:$B$20,MATCH(A1221,'Site-uri'!$A$2:$A$20,0))</f>
        <v>eu-112.ro</v>
      </c>
      <c r="C1221" s="10" t="s">
        <v>155</v>
      </c>
      <c r="D1221" s="10" t="s">
        <v>237</v>
      </c>
      <c r="E1221" s="10" t="str">
        <f aca="false">INDEX(Canale!$C$2:$C$30,MATCH(C1221,Canale!$A$2:$A$30,0))</f>
        <v>youtube</v>
      </c>
      <c r="F1221" s="10" t="str">
        <f aca="false">INDEX(Canale!$D$2:$D$30,MATCH(C1221,Canale!$A$2:$A$30,0))</f>
        <v>video</v>
      </c>
      <c r="G1221" s="10" t="str">
        <f aca="false">INDEX('Site-uri'!$C$2:$C$20,MATCH(A1221,'Site-uri'!$A$2:$A$20,0))</f>
        <v>/</v>
      </c>
      <c r="H1221" s="10" t="str">
        <f aca="false">Config!$B$3</f>
        <v>2610_ff_lansare</v>
      </c>
      <c r="I1221" s="10" t="str">
        <f aca="false">D1221&amp;"_"&amp;Config!$B$4</f>
        <v>client_general</v>
      </c>
      <c r="J1221" s="10" t="str">
        <f aca="false">"https://"&amp;B1221&amp;G1221&amp;"?utm_source="&amp;E1221&amp;"&amp;utm_medium="&amp;F1221&amp;"&amp;utm_campaign="&amp;H1221&amp;"&amp;utm_content="&amp;I1221</f>
        <v>https://eu-112.ro/?utm_source=youtube&amp;utm_medium=video&amp;utm_campaign=2610_ff_lansare&amp;utm_content=client_general</v>
      </c>
    </row>
    <row r="1222" customFormat="false" ht="15" hidden="false" customHeight="false" outlineLevel="0" collapsed="false">
      <c r="A1222" s="10" t="s">
        <v>76</v>
      </c>
      <c r="B1222" s="10" t="str">
        <f aca="false">INDEX('Site-uri'!$B$2:$B$20,MATCH(A1222,'Site-uri'!$A$2:$A$20,0))</f>
        <v>eu-112.ro</v>
      </c>
      <c r="C1222" s="10" t="s">
        <v>160</v>
      </c>
      <c r="D1222" s="10" t="s">
        <v>219</v>
      </c>
      <c r="E1222" s="10" t="str">
        <f aca="false">INDEX(Canale!$C$2:$C$30,MATCH(C1222,Canale!$A$2:$A$30,0))</f>
        <v>medium</v>
      </c>
      <c r="F1222" s="10" t="str">
        <f aca="false">INDEX(Canale!$D$2:$D$30,MATCH(C1222,Canale!$A$2:$A$30,0))</f>
        <v>content</v>
      </c>
      <c r="G1222" s="10" t="str">
        <f aca="false">INDEX('Site-uri'!$C$2:$C$20,MATCH(A1222,'Site-uri'!$A$2:$A$20,0))</f>
        <v>/</v>
      </c>
      <c r="H1222" s="10" t="str">
        <f aca="false">Config!$B$3</f>
        <v>2610_ff_lansare</v>
      </c>
      <c r="I1222" s="10" t="str">
        <f aca="false">D1222&amp;"_"&amp;Config!$B$4</f>
        <v>rece_general</v>
      </c>
      <c r="J1222" s="10" t="str">
        <f aca="false">"https://"&amp;B1222&amp;G1222&amp;"?utm_source="&amp;E1222&amp;"&amp;utm_medium="&amp;F1222&amp;"&amp;utm_campaign="&amp;H1222&amp;"&amp;utm_content="&amp;I1222</f>
        <v>https://eu-112.ro/?utm_source=medium&amp;utm_medium=content&amp;utm_campaign=2610_ff_lansare&amp;utm_content=rece_general</v>
      </c>
    </row>
    <row r="1223" customFormat="false" ht="15" hidden="false" customHeight="false" outlineLevel="0" collapsed="false">
      <c r="A1223" s="10" t="s">
        <v>76</v>
      </c>
      <c r="B1223" s="10" t="str">
        <f aca="false">INDEX('Site-uri'!$B$2:$B$20,MATCH(A1223,'Site-uri'!$A$2:$A$20,0))</f>
        <v>eu-112.ro</v>
      </c>
      <c r="C1223" s="10" t="s">
        <v>160</v>
      </c>
      <c r="D1223" s="10" t="s">
        <v>225</v>
      </c>
      <c r="E1223" s="10" t="str">
        <f aca="false">INDEX(Canale!$C$2:$C$30,MATCH(C1223,Canale!$A$2:$A$30,0))</f>
        <v>medium</v>
      </c>
      <c r="F1223" s="10" t="str">
        <f aca="false">INDEX(Canale!$D$2:$D$30,MATCH(C1223,Canale!$A$2:$A$30,0))</f>
        <v>content</v>
      </c>
      <c r="G1223" s="10" t="str">
        <f aca="false">INDEX('Site-uri'!$C$2:$C$20,MATCH(A1223,'Site-uri'!$A$2:$A$20,0))</f>
        <v>/</v>
      </c>
      <c r="H1223" s="10" t="str">
        <f aca="false">Config!$B$3</f>
        <v>2610_ff_lansare</v>
      </c>
      <c r="I1223" s="10" t="str">
        <f aca="false">D1223&amp;"_"&amp;Config!$B$4</f>
        <v>cald_general</v>
      </c>
      <c r="J1223" s="10" t="str">
        <f aca="false">"https://"&amp;B1223&amp;G1223&amp;"?utm_source="&amp;E1223&amp;"&amp;utm_medium="&amp;F1223&amp;"&amp;utm_campaign="&amp;H1223&amp;"&amp;utm_content="&amp;I1223</f>
        <v>https://eu-112.ro/?utm_source=medium&amp;utm_medium=content&amp;utm_campaign=2610_ff_lansare&amp;utm_content=cald_general</v>
      </c>
    </row>
    <row r="1224" customFormat="false" ht="15" hidden="false" customHeight="false" outlineLevel="0" collapsed="false">
      <c r="A1224" s="10" t="s">
        <v>76</v>
      </c>
      <c r="B1224" s="10" t="str">
        <f aca="false">INDEX('Site-uri'!$B$2:$B$20,MATCH(A1224,'Site-uri'!$A$2:$A$20,0))</f>
        <v>eu-112.ro</v>
      </c>
      <c r="C1224" s="10" t="s">
        <v>160</v>
      </c>
      <c r="D1224" s="10" t="s">
        <v>231</v>
      </c>
      <c r="E1224" s="10" t="str">
        <f aca="false">INDEX(Canale!$C$2:$C$30,MATCH(C1224,Canale!$A$2:$A$30,0))</f>
        <v>medium</v>
      </c>
      <c r="F1224" s="10" t="str">
        <f aca="false">INDEX(Canale!$D$2:$D$30,MATCH(C1224,Canale!$A$2:$A$30,0))</f>
        <v>content</v>
      </c>
      <c r="G1224" s="10" t="str">
        <f aca="false">INDEX('Site-uri'!$C$2:$C$20,MATCH(A1224,'Site-uri'!$A$2:$A$20,0))</f>
        <v>/</v>
      </c>
      <c r="H1224" s="10" t="str">
        <f aca="false">Config!$B$3</f>
        <v>2610_ff_lansare</v>
      </c>
      <c r="I1224" s="10" t="str">
        <f aca="false">D1224&amp;"_"&amp;Config!$B$4</f>
        <v>fierbinte_general</v>
      </c>
      <c r="J1224" s="10" t="str">
        <f aca="false">"https://"&amp;B1224&amp;G1224&amp;"?utm_source="&amp;E1224&amp;"&amp;utm_medium="&amp;F1224&amp;"&amp;utm_campaign="&amp;H1224&amp;"&amp;utm_content="&amp;I1224</f>
        <v>https://eu-112.ro/?utm_source=medium&amp;utm_medium=content&amp;utm_campaign=2610_ff_lansare&amp;utm_content=fierbinte_general</v>
      </c>
    </row>
    <row r="1225" customFormat="false" ht="15" hidden="false" customHeight="false" outlineLevel="0" collapsed="false">
      <c r="A1225" s="10" t="s">
        <v>76</v>
      </c>
      <c r="B1225" s="10" t="str">
        <f aca="false">INDEX('Site-uri'!$B$2:$B$20,MATCH(A1225,'Site-uri'!$A$2:$A$20,0))</f>
        <v>eu-112.ro</v>
      </c>
      <c r="C1225" s="10" t="s">
        <v>160</v>
      </c>
      <c r="D1225" s="10" t="s">
        <v>237</v>
      </c>
      <c r="E1225" s="10" t="str">
        <f aca="false">INDEX(Canale!$C$2:$C$30,MATCH(C1225,Canale!$A$2:$A$30,0))</f>
        <v>medium</v>
      </c>
      <c r="F1225" s="10" t="str">
        <f aca="false">INDEX(Canale!$D$2:$D$30,MATCH(C1225,Canale!$A$2:$A$30,0))</f>
        <v>content</v>
      </c>
      <c r="G1225" s="10" t="str">
        <f aca="false">INDEX('Site-uri'!$C$2:$C$20,MATCH(A1225,'Site-uri'!$A$2:$A$20,0))</f>
        <v>/</v>
      </c>
      <c r="H1225" s="10" t="str">
        <f aca="false">Config!$B$3</f>
        <v>2610_ff_lansare</v>
      </c>
      <c r="I1225" s="10" t="str">
        <f aca="false">D1225&amp;"_"&amp;Config!$B$4</f>
        <v>client_general</v>
      </c>
      <c r="J1225" s="10" t="str">
        <f aca="false">"https://"&amp;B1225&amp;G1225&amp;"?utm_source="&amp;E1225&amp;"&amp;utm_medium="&amp;F1225&amp;"&amp;utm_campaign="&amp;H1225&amp;"&amp;utm_content="&amp;I1225</f>
        <v>https://eu-112.ro/?utm_source=medium&amp;utm_medium=content&amp;utm_campaign=2610_ff_lansare&amp;utm_content=client_general</v>
      </c>
    </row>
    <row r="1226" customFormat="false" ht="15" hidden="false" customHeight="false" outlineLevel="0" collapsed="false">
      <c r="A1226" s="10" t="s">
        <v>76</v>
      </c>
      <c r="B1226" s="10" t="str">
        <f aca="false">INDEX('Site-uri'!$B$2:$B$20,MATCH(A1226,'Site-uri'!$A$2:$A$20,0))</f>
        <v>eu-112.ro</v>
      </c>
      <c r="C1226" s="10" t="s">
        <v>165</v>
      </c>
      <c r="D1226" s="10" t="s">
        <v>219</v>
      </c>
      <c r="E1226" s="10" t="str">
        <f aca="false">INDEX(Canale!$C$2:$C$30,MATCH(C1226,Canale!$A$2:$A$30,0))</f>
        <v>crunchbase</v>
      </c>
      <c r="F1226" s="10" t="str">
        <f aca="false">INDEX(Canale!$D$2:$D$30,MATCH(C1226,Canale!$A$2:$A$30,0))</f>
        <v>referral</v>
      </c>
      <c r="G1226" s="10" t="str">
        <f aca="false">INDEX('Site-uri'!$C$2:$C$20,MATCH(A1226,'Site-uri'!$A$2:$A$20,0))</f>
        <v>/</v>
      </c>
      <c r="H1226" s="10" t="str">
        <f aca="false">Config!$B$3</f>
        <v>2610_ff_lansare</v>
      </c>
      <c r="I1226" s="10" t="str">
        <f aca="false">D1226&amp;"_"&amp;Config!$B$4</f>
        <v>rece_general</v>
      </c>
      <c r="J1226" s="10" t="str">
        <f aca="false">"https://"&amp;B1226&amp;G1226&amp;"?utm_source="&amp;E1226&amp;"&amp;utm_medium="&amp;F1226&amp;"&amp;utm_campaign="&amp;H1226&amp;"&amp;utm_content="&amp;I1226</f>
        <v>https://eu-112.ro/?utm_source=crunchbase&amp;utm_medium=referral&amp;utm_campaign=2610_ff_lansare&amp;utm_content=rece_general</v>
      </c>
    </row>
    <row r="1227" customFormat="false" ht="15" hidden="false" customHeight="false" outlineLevel="0" collapsed="false">
      <c r="A1227" s="10" t="s">
        <v>76</v>
      </c>
      <c r="B1227" s="10" t="str">
        <f aca="false">INDEX('Site-uri'!$B$2:$B$20,MATCH(A1227,'Site-uri'!$A$2:$A$20,0))</f>
        <v>eu-112.ro</v>
      </c>
      <c r="C1227" s="10" t="s">
        <v>165</v>
      </c>
      <c r="D1227" s="10" t="s">
        <v>225</v>
      </c>
      <c r="E1227" s="10" t="str">
        <f aca="false">INDEX(Canale!$C$2:$C$30,MATCH(C1227,Canale!$A$2:$A$30,0))</f>
        <v>crunchbase</v>
      </c>
      <c r="F1227" s="10" t="str">
        <f aca="false">INDEX(Canale!$D$2:$D$30,MATCH(C1227,Canale!$A$2:$A$30,0))</f>
        <v>referral</v>
      </c>
      <c r="G1227" s="10" t="str">
        <f aca="false">INDEX('Site-uri'!$C$2:$C$20,MATCH(A1227,'Site-uri'!$A$2:$A$20,0))</f>
        <v>/</v>
      </c>
      <c r="H1227" s="10" t="str">
        <f aca="false">Config!$B$3</f>
        <v>2610_ff_lansare</v>
      </c>
      <c r="I1227" s="10" t="str">
        <f aca="false">D1227&amp;"_"&amp;Config!$B$4</f>
        <v>cald_general</v>
      </c>
      <c r="J1227" s="10" t="str">
        <f aca="false">"https://"&amp;B1227&amp;G1227&amp;"?utm_source="&amp;E1227&amp;"&amp;utm_medium="&amp;F1227&amp;"&amp;utm_campaign="&amp;H1227&amp;"&amp;utm_content="&amp;I1227</f>
        <v>https://eu-112.ro/?utm_source=crunchbase&amp;utm_medium=referral&amp;utm_campaign=2610_ff_lansare&amp;utm_content=cald_general</v>
      </c>
    </row>
    <row r="1228" customFormat="false" ht="15" hidden="false" customHeight="false" outlineLevel="0" collapsed="false">
      <c r="A1228" s="10" t="s">
        <v>76</v>
      </c>
      <c r="B1228" s="10" t="str">
        <f aca="false">INDEX('Site-uri'!$B$2:$B$20,MATCH(A1228,'Site-uri'!$A$2:$A$20,0))</f>
        <v>eu-112.ro</v>
      </c>
      <c r="C1228" s="10" t="s">
        <v>165</v>
      </c>
      <c r="D1228" s="10" t="s">
        <v>231</v>
      </c>
      <c r="E1228" s="10" t="str">
        <f aca="false">INDEX(Canale!$C$2:$C$30,MATCH(C1228,Canale!$A$2:$A$30,0))</f>
        <v>crunchbase</v>
      </c>
      <c r="F1228" s="10" t="str">
        <f aca="false">INDEX(Canale!$D$2:$D$30,MATCH(C1228,Canale!$A$2:$A$30,0))</f>
        <v>referral</v>
      </c>
      <c r="G1228" s="10" t="str">
        <f aca="false">INDEX('Site-uri'!$C$2:$C$20,MATCH(A1228,'Site-uri'!$A$2:$A$20,0))</f>
        <v>/</v>
      </c>
      <c r="H1228" s="10" t="str">
        <f aca="false">Config!$B$3</f>
        <v>2610_ff_lansare</v>
      </c>
      <c r="I1228" s="10" t="str">
        <f aca="false">D1228&amp;"_"&amp;Config!$B$4</f>
        <v>fierbinte_general</v>
      </c>
      <c r="J1228" s="10" t="str">
        <f aca="false">"https://"&amp;B1228&amp;G1228&amp;"?utm_source="&amp;E1228&amp;"&amp;utm_medium="&amp;F1228&amp;"&amp;utm_campaign="&amp;H1228&amp;"&amp;utm_content="&amp;I1228</f>
        <v>https://eu-112.ro/?utm_source=crunchbase&amp;utm_medium=referral&amp;utm_campaign=2610_ff_lansare&amp;utm_content=fierbinte_general</v>
      </c>
    </row>
    <row r="1229" customFormat="false" ht="15" hidden="false" customHeight="false" outlineLevel="0" collapsed="false">
      <c r="A1229" s="10" t="s">
        <v>76</v>
      </c>
      <c r="B1229" s="10" t="str">
        <f aca="false">INDEX('Site-uri'!$B$2:$B$20,MATCH(A1229,'Site-uri'!$A$2:$A$20,0))</f>
        <v>eu-112.ro</v>
      </c>
      <c r="C1229" s="10" t="s">
        <v>165</v>
      </c>
      <c r="D1229" s="10" t="s">
        <v>237</v>
      </c>
      <c r="E1229" s="10" t="str">
        <f aca="false">INDEX(Canale!$C$2:$C$30,MATCH(C1229,Canale!$A$2:$A$30,0))</f>
        <v>crunchbase</v>
      </c>
      <c r="F1229" s="10" t="str">
        <f aca="false">INDEX(Canale!$D$2:$D$30,MATCH(C1229,Canale!$A$2:$A$30,0))</f>
        <v>referral</v>
      </c>
      <c r="G1229" s="10" t="str">
        <f aca="false">INDEX('Site-uri'!$C$2:$C$20,MATCH(A1229,'Site-uri'!$A$2:$A$20,0))</f>
        <v>/</v>
      </c>
      <c r="H1229" s="10" t="str">
        <f aca="false">Config!$B$3</f>
        <v>2610_ff_lansare</v>
      </c>
      <c r="I1229" s="10" t="str">
        <f aca="false">D1229&amp;"_"&amp;Config!$B$4</f>
        <v>client_general</v>
      </c>
      <c r="J1229" s="10" t="str">
        <f aca="false">"https://"&amp;B1229&amp;G1229&amp;"?utm_source="&amp;E1229&amp;"&amp;utm_medium="&amp;F1229&amp;"&amp;utm_campaign="&amp;H1229&amp;"&amp;utm_content="&amp;I1229</f>
        <v>https://eu-112.ro/?utm_source=crunchbase&amp;utm_medium=referral&amp;utm_campaign=2610_ff_lansare&amp;utm_content=client_general</v>
      </c>
    </row>
    <row r="1230" customFormat="false" ht="15" hidden="false" customHeight="false" outlineLevel="0" collapsed="false">
      <c r="A1230" s="10" t="s">
        <v>76</v>
      </c>
      <c r="B1230" s="10" t="str">
        <f aca="false">INDEX('Site-uri'!$B$2:$B$20,MATCH(A1230,'Site-uri'!$A$2:$A$20,0))</f>
        <v>eu-112.ro</v>
      </c>
      <c r="C1230" s="10" t="s">
        <v>170</v>
      </c>
      <c r="D1230" s="10" t="s">
        <v>219</v>
      </c>
      <c r="E1230" s="10" t="str">
        <f aca="false">INDEX(Canale!$C$2:$C$30,MATCH(C1230,Canale!$A$2:$A$30,0))</f>
        <v>zenodo</v>
      </c>
      <c r="F1230" s="10" t="str">
        <f aca="false">INDEX(Canale!$D$2:$D$30,MATCH(C1230,Canale!$A$2:$A$30,0))</f>
        <v>referral</v>
      </c>
      <c r="G1230" s="10" t="str">
        <f aca="false">INDEX('Site-uri'!$C$2:$C$20,MATCH(A1230,'Site-uri'!$A$2:$A$20,0))</f>
        <v>/</v>
      </c>
      <c r="H1230" s="10" t="str">
        <f aca="false">Config!$B$3</f>
        <v>2610_ff_lansare</v>
      </c>
      <c r="I1230" s="10" t="str">
        <f aca="false">D1230&amp;"_"&amp;Config!$B$4</f>
        <v>rece_general</v>
      </c>
      <c r="J1230" s="10" t="str">
        <f aca="false">"https://"&amp;B1230&amp;G1230&amp;"?utm_source="&amp;E1230&amp;"&amp;utm_medium="&amp;F1230&amp;"&amp;utm_campaign="&amp;H1230&amp;"&amp;utm_content="&amp;I1230</f>
        <v>https://eu-112.ro/?utm_source=zenodo&amp;utm_medium=referral&amp;utm_campaign=2610_ff_lansare&amp;utm_content=rece_general</v>
      </c>
    </row>
    <row r="1231" customFormat="false" ht="15" hidden="false" customHeight="false" outlineLevel="0" collapsed="false">
      <c r="A1231" s="10" t="s">
        <v>76</v>
      </c>
      <c r="B1231" s="10" t="str">
        <f aca="false">INDEX('Site-uri'!$B$2:$B$20,MATCH(A1231,'Site-uri'!$A$2:$A$20,0))</f>
        <v>eu-112.ro</v>
      </c>
      <c r="C1231" s="10" t="s">
        <v>170</v>
      </c>
      <c r="D1231" s="10" t="s">
        <v>225</v>
      </c>
      <c r="E1231" s="10" t="str">
        <f aca="false">INDEX(Canale!$C$2:$C$30,MATCH(C1231,Canale!$A$2:$A$30,0))</f>
        <v>zenodo</v>
      </c>
      <c r="F1231" s="10" t="str">
        <f aca="false">INDEX(Canale!$D$2:$D$30,MATCH(C1231,Canale!$A$2:$A$30,0))</f>
        <v>referral</v>
      </c>
      <c r="G1231" s="10" t="str">
        <f aca="false">INDEX('Site-uri'!$C$2:$C$20,MATCH(A1231,'Site-uri'!$A$2:$A$20,0))</f>
        <v>/</v>
      </c>
      <c r="H1231" s="10" t="str">
        <f aca="false">Config!$B$3</f>
        <v>2610_ff_lansare</v>
      </c>
      <c r="I1231" s="10" t="str">
        <f aca="false">D1231&amp;"_"&amp;Config!$B$4</f>
        <v>cald_general</v>
      </c>
      <c r="J1231" s="10" t="str">
        <f aca="false">"https://"&amp;B1231&amp;G1231&amp;"?utm_source="&amp;E1231&amp;"&amp;utm_medium="&amp;F1231&amp;"&amp;utm_campaign="&amp;H1231&amp;"&amp;utm_content="&amp;I1231</f>
        <v>https://eu-112.ro/?utm_source=zenodo&amp;utm_medium=referral&amp;utm_campaign=2610_ff_lansare&amp;utm_content=cald_general</v>
      </c>
    </row>
    <row r="1232" customFormat="false" ht="15" hidden="false" customHeight="false" outlineLevel="0" collapsed="false">
      <c r="A1232" s="10" t="s">
        <v>76</v>
      </c>
      <c r="B1232" s="10" t="str">
        <f aca="false">INDEX('Site-uri'!$B$2:$B$20,MATCH(A1232,'Site-uri'!$A$2:$A$20,0))</f>
        <v>eu-112.ro</v>
      </c>
      <c r="C1232" s="10" t="s">
        <v>170</v>
      </c>
      <c r="D1232" s="10" t="s">
        <v>231</v>
      </c>
      <c r="E1232" s="10" t="str">
        <f aca="false">INDEX(Canale!$C$2:$C$30,MATCH(C1232,Canale!$A$2:$A$30,0))</f>
        <v>zenodo</v>
      </c>
      <c r="F1232" s="10" t="str">
        <f aca="false">INDEX(Canale!$D$2:$D$30,MATCH(C1232,Canale!$A$2:$A$30,0))</f>
        <v>referral</v>
      </c>
      <c r="G1232" s="10" t="str">
        <f aca="false">INDEX('Site-uri'!$C$2:$C$20,MATCH(A1232,'Site-uri'!$A$2:$A$20,0))</f>
        <v>/</v>
      </c>
      <c r="H1232" s="10" t="str">
        <f aca="false">Config!$B$3</f>
        <v>2610_ff_lansare</v>
      </c>
      <c r="I1232" s="10" t="str">
        <f aca="false">D1232&amp;"_"&amp;Config!$B$4</f>
        <v>fierbinte_general</v>
      </c>
      <c r="J1232" s="10" t="str">
        <f aca="false">"https://"&amp;B1232&amp;G1232&amp;"?utm_source="&amp;E1232&amp;"&amp;utm_medium="&amp;F1232&amp;"&amp;utm_campaign="&amp;H1232&amp;"&amp;utm_content="&amp;I1232</f>
        <v>https://eu-112.ro/?utm_source=zenodo&amp;utm_medium=referral&amp;utm_campaign=2610_ff_lansare&amp;utm_content=fierbinte_general</v>
      </c>
    </row>
    <row r="1233" customFormat="false" ht="15" hidden="false" customHeight="false" outlineLevel="0" collapsed="false">
      <c r="A1233" s="10" t="s">
        <v>76</v>
      </c>
      <c r="B1233" s="10" t="str">
        <f aca="false">INDEX('Site-uri'!$B$2:$B$20,MATCH(A1233,'Site-uri'!$A$2:$A$20,0))</f>
        <v>eu-112.ro</v>
      </c>
      <c r="C1233" s="10" t="s">
        <v>170</v>
      </c>
      <c r="D1233" s="10" t="s">
        <v>237</v>
      </c>
      <c r="E1233" s="10" t="str">
        <f aca="false">INDEX(Canale!$C$2:$C$30,MATCH(C1233,Canale!$A$2:$A$30,0))</f>
        <v>zenodo</v>
      </c>
      <c r="F1233" s="10" t="str">
        <f aca="false">INDEX(Canale!$D$2:$D$30,MATCH(C1233,Canale!$A$2:$A$30,0))</f>
        <v>referral</v>
      </c>
      <c r="G1233" s="10" t="str">
        <f aca="false">INDEX('Site-uri'!$C$2:$C$20,MATCH(A1233,'Site-uri'!$A$2:$A$20,0))</f>
        <v>/</v>
      </c>
      <c r="H1233" s="10" t="str">
        <f aca="false">Config!$B$3</f>
        <v>2610_ff_lansare</v>
      </c>
      <c r="I1233" s="10" t="str">
        <f aca="false">D1233&amp;"_"&amp;Config!$B$4</f>
        <v>client_general</v>
      </c>
      <c r="J1233" s="10" t="str">
        <f aca="false">"https://"&amp;B1233&amp;G1233&amp;"?utm_source="&amp;E1233&amp;"&amp;utm_medium="&amp;F1233&amp;"&amp;utm_campaign="&amp;H1233&amp;"&amp;utm_content="&amp;I1233</f>
        <v>https://eu-112.ro/?utm_source=zenodo&amp;utm_medium=referral&amp;utm_campaign=2610_ff_lansare&amp;utm_content=client_general</v>
      </c>
    </row>
    <row r="1234" customFormat="false" ht="15" hidden="false" customHeight="false" outlineLevel="0" collapsed="false">
      <c r="A1234" s="10" t="s">
        <v>76</v>
      </c>
      <c r="B1234" s="10" t="str">
        <f aca="false">INDEX('Site-uri'!$B$2:$B$20,MATCH(A1234,'Site-uri'!$A$2:$A$20,0))</f>
        <v>eu-112.ro</v>
      </c>
      <c r="C1234" s="10" t="s">
        <v>173</v>
      </c>
      <c r="D1234" s="10" t="s">
        <v>219</v>
      </c>
      <c r="E1234" s="10" t="str">
        <f aca="false">INDEX(Canale!$C$2:$C$30,MATCH(C1234,Canale!$A$2:$A$30,0))</f>
        <v>orcid</v>
      </c>
      <c r="F1234" s="10" t="str">
        <f aca="false">INDEX(Canale!$D$2:$D$30,MATCH(C1234,Canale!$A$2:$A$30,0))</f>
        <v>referral</v>
      </c>
      <c r="G1234" s="10" t="str">
        <f aca="false">INDEX('Site-uri'!$C$2:$C$20,MATCH(A1234,'Site-uri'!$A$2:$A$20,0))</f>
        <v>/</v>
      </c>
      <c r="H1234" s="10" t="str">
        <f aca="false">Config!$B$3</f>
        <v>2610_ff_lansare</v>
      </c>
      <c r="I1234" s="10" t="str">
        <f aca="false">D1234&amp;"_"&amp;Config!$B$4</f>
        <v>rece_general</v>
      </c>
      <c r="J1234" s="10" t="str">
        <f aca="false">"https://"&amp;B1234&amp;G1234&amp;"?utm_source="&amp;E1234&amp;"&amp;utm_medium="&amp;F1234&amp;"&amp;utm_campaign="&amp;H1234&amp;"&amp;utm_content="&amp;I1234</f>
        <v>https://eu-112.ro/?utm_source=orcid&amp;utm_medium=referral&amp;utm_campaign=2610_ff_lansare&amp;utm_content=rece_general</v>
      </c>
    </row>
    <row r="1235" customFormat="false" ht="15" hidden="false" customHeight="false" outlineLevel="0" collapsed="false">
      <c r="A1235" s="10" t="s">
        <v>76</v>
      </c>
      <c r="B1235" s="10" t="str">
        <f aca="false">INDEX('Site-uri'!$B$2:$B$20,MATCH(A1235,'Site-uri'!$A$2:$A$20,0))</f>
        <v>eu-112.ro</v>
      </c>
      <c r="C1235" s="10" t="s">
        <v>173</v>
      </c>
      <c r="D1235" s="10" t="s">
        <v>225</v>
      </c>
      <c r="E1235" s="10" t="str">
        <f aca="false">INDEX(Canale!$C$2:$C$30,MATCH(C1235,Canale!$A$2:$A$30,0))</f>
        <v>orcid</v>
      </c>
      <c r="F1235" s="10" t="str">
        <f aca="false">INDEX(Canale!$D$2:$D$30,MATCH(C1235,Canale!$A$2:$A$30,0))</f>
        <v>referral</v>
      </c>
      <c r="G1235" s="10" t="str">
        <f aca="false">INDEX('Site-uri'!$C$2:$C$20,MATCH(A1235,'Site-uri'!$A$2:$A$20,0))</f>
        <v>/</v>
      </c>
      <c r="H1235" s="10" t="str">
        <f aca="false">Config!$B$3</f>
        <v>2610_ff_lansare</v>
      </c>
      <c r="I1235" s="10" t="str">
        <f aca="false">D1235&amp;"_"&amp;Config!$B$4</f>
        <v>cald_general</v>
      </c>
      <c r="J1235" s="10" t="str">
        <f aca="false">"https://"&amp;B1235&amp;G1235&amp;"?utm_source="&amp;E1235&amp;"&amp;utm_medium="&amp;F1235&amp;"&amp;utm_campaign="&amp;H1235&amp;"&amp;utm_content="&amp;I1235</f>
        <v>https://eu-112.ro/?utm_source=orcid&amp;utm_medium=referral&amp;utm_campaign=2610_ff_lansare&amp;utm_content=cald_general</v>
      </c>
    </row>
    <row r="1236" customFormat="false" ht="15" hidden="false" customHeight="false" outlineLevel="0" collapsed="false">
      <c r="A1236" s="10" t="s">
        <v>76</v>
      </c>
      <c r="B1236" s="10" t="str">
        <f aca="false">INDEX('Site-uri'!$B$2:$B$20,MATCH(A1236,'Site-uri'!$A$2:$A$20,0))</f>
        <v>eu-112.ro</v>
      </c>
      <c r="C1236" s="10" t="s">
        <v>173</v>
      </c>
      <c r="D1236" s="10" t="s">
        <v>231</v>
      </c>
      <c r="E1236" s="10" t="str">
        <f aca="false">INDEX(Canale!$C$2:$C$30,MATCH(C1236,Canale!$A$2:$A$30,0))</f>
        <v>orcid</v>
      </c>
      <c r="F1236" s="10" t="str">
        <f aca="false">INDEX(Canale!$D$2:$D$30,MATCH(C1236,Canale!$A$2:$A$30,0))</f>
        <v>referral</v>
      </c>
      <c r="G1236" s="10" t="str">
        <f aca="false">INDEX('Site-uri'!$C$2:$C$20,MATCH(A1236,'Site-uri'!$A$2:$A$20,0))</f>
        <v>/</v>
      </c>
      <c r="H1236" s="10" t="str">
        <f aca="false">Config!$B$3</f>
        <v>2610_ff_lansare</v>
      </c>
      <c r="I1236" s="10" t="str">
        <f aca="false">D1236&amp;"_"&amp;Config!$B$4</f>
        <v>fierbinte_general</v>
      </c>
      <c r="J1236" s="10" t="str">
        <f aca="false">"https://"&amp;B1236&amp;G1236&amp;"?utm_source="&amp;E1236&amp;"&amp;utm_medium="&amp;F1236&amp;"&amp;utm_campaign="&amp;H1236&amp;"&amp;utm_content="&amp;I1236</f>
        <v>https://eu-112.ro/?utm_source=orcid&amp;utm_medium=referral&amp;utm_campaign=2610_ff_lansare&amp;utm_content=fierbinte_general</v>
      </c>
    </row>
    <row r="1237" customFormat="false" ht="15" hidden="false" customHeight="false" outlineLevel="0" collapsed="false">
      <c r="A1237" s="10" t="s">
        <v>76</v>
      </c>
      <c r="B1237" s="10" t="str">
        <f aca="false">INDEX('Site-uri'!$B$2:$B$20,MATCH(A1237,'Site-uri'!$A$2:$A$20,0))</f>
        <v>eu-112.ro</v>
      </c>
      <c r="C1237" s="10" t="s">
        <v>173</v>
      </c>
      <c r="D1237" s="10" t="s">
        <v>237</v>
      </c>
      <c r="E1237" s="10" t="str">
        <f aca="false">INDEX(Canale!$C$2:$C$30,MATCH(C1237,Canale!$A$2:$A$30,0))</f>
        <v>orcid</v>
      </c>
      <c r="F1237" s="10" t="str">
        <f aca="false">INDEX(Canale!$D$2:$D$30,MATCH(C1237,Canale!$A$2:$A$30,0))</f>
        <v>referral</v>
      </c>
      <c r="G1237" s="10" t="str">
        <f aca="false">INDEX('Site-uri'!$C$2:$C$20,MATCH(A1237,'Site-uri'!$A$2:$A$20,0))</f>
        <v>/</v>
      </c>
      <c r="H1237" s="10" t="str">
        <f aca="false">Config!$B$3</f>
        <v>2610_ff_lansare</v>
      </c>
      <c r="I1237" s="10" t="str">
        <f aca="false">D1237&amp;"_"&amp;Config!$B$4</f>
        <v>client_general</v>
      </c>
      <c r="J1237" s="10" t="str">
        <f aca="false">"https://"&amp;B1237&amp;G1237&amp;"?utm_source="&amp;E1237&amp;"&amp;utm_medium="&amp;F1237&amp;"&amp;utm_campaign="&amp;H1237&amp;"&amp;utm_content="&amp;I1237</f>
        <v>https://eu-112.ro/?utm_source=orcid&amp;utm_medium=referral&amp;utm_campaign=2610_ff_lansare&amp;utm_content=client_general</v>
      </c>
    </row>
    <row r="1238" customFormat="false" ht="15" hidden="false" customHeight="false" outlineLevel="0" collapsed="false">
      <c r="A1238" s="10" t="s">
        <v>76</v>
      </c>
      <c r="B1238" s="10" t="str">
        <f aca="false">INDEX('Site-uri'!$B$2:$B$20,MATCH(A1238,'Site-uri'!$A$2:$A$20,0))</f>
        <v>eu-112.ro</v>
      </c>
      <c r="C1238" s="10" t="s">
        <v>176</v>
      </c>
      <c r="D1238" s="10" t="s">
        <v>219</v>
      </c>
      <c r="E1238" s="10" t="str">
        <f aca="false">INDEX(Canale!$C$2:$C$30,MATCH(C1238,Canale!$A$2:$A$30,0))</f>
        <v>github</v>
      </c>
      <c r="F1238" s="10" t="str">
        <f aca="false">INDEX(Canale!$D$2:$D$30,MATCH(C1238,Canale!$A$2:$A$30,0))</f>
        <v>referral</v>
      </c>
      <c r="G1238" s="10" t="str">
        <f aca="false">INDEX('Site-uri'!$C$2:$C$20,MATCH(A1238,'Site-uri'!$A$2:$A$20,0))</f>
        <v>/</v>
      </c>
      <c r="H1238" s="10" t="str">
        <f aca="false">Config!$B$3</f>
        <v>2610_ff_lansare</v>
      </c>
      <c r="I1238" s="10" t="str">
        <f aca="false">D1238&amp;"_"&amp;Config!$B$4</f>
        <v>rece_general</v>
      </c>
      <c r="J1238" s="10" t="str">
        <f aca="false">"https://"&amp;B1238&amp;G1238&amp;"?utm_source="&amp;E1238&amp;"&amp;utm_medium="&amp;F1238&amp;"&amp;utm_campaign="&amp;H1238&amp;"&amp;utm_content="&amp;I1238</f>
        <v>https://eu-112.ro/?utm_source=github&amp;utm_medium=referral&amp;utm_campaign=2610_ff_lansare&amp;utm_content=rece_general</v>
      </c>
    </row>
    <row r="1239" customFormat="false" ht="15" hidden="false" customHeight="false" outlineLevel="0" collapsed="false">
      <c r="A1239" s="10" t="s">
        <v>76</v>
      </c>
      <c r="B1239" s="10" t="str">
        <f aca="false">INDEX('Site-uri'!$B$2:$B$20,MATCH(A1239,'Site-uri'!$A$2:$A$20,0))</f>
        <v>eu-112.ro</v>
      </c>
      <c r="C1239" s="10" t="s">
        <v>176</v>
      </c>
      <c r="D1239" s="10" t="s">
        <v>225</v>
      </c>
      <c r="E1239" s="10" t="str">
        <f aca="false">INDEX(Canale!$C$2:$C$30,MATCH(C1239,Canale!$A$2:$A$30,0))</f>
        <v>github</v>
      </c>
      <c r="F1239" s="10" t="str">
        <f aca="false">INDEX(Canale!$D$2:$D$30,MATCH(C1239,Canale!$A$2:$A$30,0))</f>
        <v>referral</v>
      </c>
      <c r="G1239" s="10" t="str">
        <f aca="false">INDEX('Site-uri'!$C$2:$C$20,MATCH(A1239,'Site-uri'!$A$2:$A$20,0))</f>
        <v>/</v>
      </c>
      <c r="H1239" s="10" t="str">
        <f aca="false">Config!$B$3</f>
        <v>2610_ff_lansare</v>
      </c>
      <c r="I1239" s="10" t="str">
        <f aca="false">D1239&amp;"_"&amp;Config!$B$4</f>
        <v>cald_general</v>
      </c>
      <c r="J1239" s="10" t="str">
        <f aca="false">"https://"&amp;B1239&amp;G1239&amp;"?utm_source="&amp;E1239&amp;"&amp;utm_medium="&amp;F1239&amp;"&amp;utm_campaign="&amp;H1239&amp;"&amp;utm_content="&amp;I1239</f>
        <v>https://eu-112.ro/?utm_source=github&amp;utm_medium=referral&amp;utm_campaign=2610_ff_lansare&amp;utm_content=cald_general</v>
      </c>
    </row>
    <row r="1240" customFormat="false" ht="15" hidden="false" customHeight="false" outlineLevel="0" collapsed="false">
      <c r="A1240" s="10" t="s">
        <v>76</v>
      </c>
      <c r="B1240" s="10" t="str">
        <f aca="false">INDEX('Site-uri'!$B$2:$B$20,MATCH(A1240,'Site-uri'!$A$2:$A$20,0))</f>
        <v>eu-112.ro</v>
      </c>
      <c r="C1240" s="10" t="s">
        <v>176</v>
      </c>
      <c r="D1240" s="10" t="s">
        <v>231</v>
      </c>
      <c r="E1240" s="10" t="str">
        <f aca="false">INDEX(Canale!$C$2:$C$30,MATCH(C1240,Canale!$A$2:$A$30,0))</f>
        <v>github</v>
      </c>
      <c r="F1240" s="10" t="str">
        <f aca="false">INDEX(Canale!$D$2:$D$30,MATCH(C1240,Canale!$A$2:$A$30,0))</f>
        <v>referral</v>
      </c>
      <c r="G1240" s="10" t="str">
        <f aca="false">INDEX('Site-uri'!$C$2:$C$20,MATCH(A1240,'Site-uri'!$A$2:$A$20,0))</f>
        <v>/</v>
      </c>
      <c r="H1240" s="10" t="str">
        <f aca="false">Config!$B$3</f>
        <v>2610_ff_lansare</v>
      </c>
      <c r="I1240" s="10" t="str">
        <f aca="false">D1240&amp;"_"&amp;Config!$B$4</f>
        <v>fierbinte_general</v>
      </c>
      <c r="J1240" s="10" t="str">
        <f aca="false">"https://"&amp;B1240&amp;G1240&amp;"?utm_source="&amp;E1240&amp;"&amp;utm_medium="&amp;F1240&amp;"&amp;utm_campaign="&amp;H1240&amp;"&amp;utm_content="&amp;I1240</f>
        <v>https://eu-112.ro/?utm_source=github&amp;utm_medium=referral&amp;utm_campaign=2610_ff_lansare&amp;utm_content=fierbinte_general</v>
      </c>
    </row>
    <row r="1241" customFormat="false" ht="15" hidden="false" customHeight="false" outlineLevel="0" collapsed="false">
      <c r="A1241" s="10" t="s">
        <v>76</v>
      </c>
      <c r="B1241" s="10" t="str">
        <f aca="false">INDEX('Site-uri'!$B$2:$B$20,MATCH(A1241,'Site-uri'!$A$2:$A$20,0))</f>
        <v>eu-112.ro</v>
      </c>
      <c r="C1241" s="10" t="s">
        <v>176</v>
      </c>
      <c r="D1241" s="10" t="s">
        <v>237</v>
      </c>
      <c r="E1241" s="10" t="str">
        <f aca="false">INDEX(Canale!$C$2:$C$30,MATCH(C1241,Canale!$A$2:$A$30,0))</f>
        <v>github</v>
      </c>
      <c r="F1241" s="10" t="str">
        <f aca="false">INDEX(Canale!$D$2:$D$30,MATCH(C1241,Canale!$A$2:$A$30,0))</f>
        <v>referral</v>
      </c>
      <c r="G1241" s="10" t="str">
        <f aca="false">INDEX('Site-uri'!$C$2:$C$20,MATCH(A1241,'Site-uri'!$A$2:$A$20,0))</f>
        <v>/</v>
      </c>
      <c r="H1241" s="10" t="str">
        <f aca="false">Config!$B$3</f>
        <v>2610_ff_lansare</v>
      </c>
      <c r="I1241" s="10" t="str">
        <f aca="false">D1241&amp;"_"&amp;Config!$B$4</f>
        <v>client_general</v>
      </c>
      <c r="J1241" s="10" t="str">
        <f aca="false">"https://"&amp;B1241&amp;G1241&amp;"?utm_source="&amp;E1241&amp;"&amp;utm_medium="&amp;F1241&amp;"&amp;utm_campaign="&amp;H1241&amp;"&amp;utm_content="&amp;I1241</f>
        <v>https://eu-112.ro/?utm_source=github&amp;utm_medium=referral&amp;utm_campaign=2610_ff_lansare&amp;utm_content=client_general</v>
      </c>
    </row>
    <row r="1242" customFormat="false" ht="15" hidden="false" customHeight="false" outlineLevel="0" collapsed="false">
      <c r="A1242" s="10" t="s">
        <v>76</v>
      </c>
      <c r="B1242" s="10" t="str">
        <f aca="false">INDEX('Site-uri'!$B$2:$B$20,MATCH(A1242,'Site-uri'!$A$2:$A$20,0))</f>
        <v>eu-112.ro</v>
      </c>
      <c r="C1242" s="10" t="s">
        <v>179</v>
      </c>
      <c r="D1242" s="10" t="s">
        <v>219</v>
      </c>
      <c r="E1242" s="10" t="str">
        <f aca="false">INDEX(Canale!$C$2:$C$30,MATCH(C1242,Canale!$A$2:$A$30,0))</f>
        <v>kdp_book</v>
      </c>
      <c r="F1242" s="10" t="str">
        <f aca="false">INDEX(Canale!$D$2:$D$30,MATCH(C1242,Canale!$A$2:$A$30,0))</f>
        <v>book</v>
      </c>
      <c r="G1242" s="10" t="str">
        <f aca="false">INDEX('Site-uri'!$C$2:$C$20,MATCH(A1242,'Site-uri'!$A$2:$A$20,0))</f>
        <v>/</v>
      </c>
      <c r="H1242" s="10" t="str">
        <f aca="false">Config!$B$3</f>
        <v>2610_ff_lansare</v>
      </c>
      <c r="I1242" s="10" t="str">
        <f aca="false">D1242&amp;"_"&amp;Config!$B$4</f>
        <v>rece_general</v>
      </c>
      <c r="J1242" s="10" t="str">
        <f aca="false">"https://"&amp;B1242&amp;G1242&amp;"?utm_source="&amp;E1242&amp;"&amp;utm_medium="&amp;F1242&amp;"&amp;utm_campaign="&amp;H1242&amp;"&amp;utm_content="&amp;I1242</f>
        <v>https://eu-112.ro/?utm_source=kdp_book&amp;utm_medium=book&amp;utm_campaign=2610_ff_lansare&amp;utm_content=rece_general</v>
      </c>
    </row>
    <row r="1243" customFormat="false" ht="15" hidden="false" customHeight="false" outlineLevel="0" collapsed="false">
      <c r="A1243" s="10" t="s">
        <v>76</v>
      </c>
      <c r="B1243" s="10" t="str">
        <f aca="false">INDEX('Site-uri'!$B$2:$B$20,MATCH(A1243,'Site-uri'!$A$2:$A$20,0))</f>
        <v>eu-112.ro</v>
      </c>
      <c r="C1243" s="10" t="s">
        <v>179</v>
      </c>
      <c r="D1243" s="10" t="s">
        <v>225</v>
      </c>
      <c r="E1243" s="10" t="str">
        <f aca="false">INDEX(Canale!$C$2:$C$30,MATCH(C1243,Canale!$A$2:$A$30,0))</f>
        <v>kdp_book</v>
      </c>
      <c r="F1243" s="10" t="str">
        <f aca="false">INDEX(Canale!$D$2:$D$30,MATCH(C1243,Canale!$A$2:$A$30,0))</f>
        <v>book</v>
      </c>
      <c r="G1243" s="10" t="str">
        <f aca="false">INDEX('Site-uri'!$C$2:$C$20,MATCH(A1243,'Site-uri'!$A$2:$A$20,0))</f>
        <v>/</v>
      </c>
      <c r="H1243" s="10" t="str">
        <f aca="false">Config!$B$3</f>
        <v>2610_ff_lansare</v>
      </c>
      <c r="I1243" s="10" t="str">
        <f aca="false">D1243&amp;"_"&amp;Config!$B$4</f>
        <v>cald_general</v>
      </c>
      <c r="J1243" s="10" t="str">
        <f aca="false">"https://"&amp;B1243&amp;G1243&amp;"?utm_source="&amp;E1243&amp;"&amp;utm_medium="&amp;F1243&amp;"&amp;utm_campaign="&amp;H1243&amp;"&amp;utm_content="&amp;I1243</f>
        <v>https://eu-112.ro/?utm_source=kdp_book&amp;utm_medium=book&amp;utm_campaign=2610_ff_lansare&amp;utm_content=cald_general</v>
      </c>
    </row>
    <row r="1244" customFormat="false" ht="15" hidden="false" customHeight="false" outlineLevel="0" collapsed="false">
      <c r="A1244" s="10" t="s">
        <v>76</v>
      </c>
      <c r="B1244" s="10" t="str">
        <f aca="false">INDEX('Site-uri'!$B$2:$B$20,MATCH(A1244,'Site-uri'!$A$2:$A$20,0))</f>
        <v>eu-112.ro</v>
      </c>
      <c r="C1244" s="10" t="s">
        <v>179</v>
      </c>
      <c r="D1244" s="10" t="s">
        <v>231</v>
      </c>
      <c r="E1244" s="10" t="str">
        <f aca="false">INDEX(Canale!$C$2:$C$30,MATCH(C1244,Canale!$A$2:$A$30,0))</f>
        <v>kdp_book</v>
      </c>
      <c r="F1244" s="10" t="str">
        <f aca="false">INDEX(Canale!$D$2:$D$30,MATCH(C1244,Canale!$A$2:$A$30,0))</f>
        <v>book</v>
      </c>
      <c r="G1244" s="10" t="str">
        <f aca="false">INDEX('Site-uri'!$C$2:$C$20,MATCH(A1244,'Site-uri'!$A$2:$A$20,0))</f>
        <v>/</v>
      </c>
      <c r="H1244" s="10" t="str">
        <f aca="false">Config!$B$3</f>
        <v>2610_ff_lansare</v>
      </c>
      <c r="I1244" s="10" t="str">
        <f aca="false">D1244&amp;"_"&amp;Config!$B$4</f>
        <v>fierbinte_general</v>
      </c>
      <c r="J1244" s="10" t="str">
        <f aca="false">"https://"&amp;B1244&amp;G1244&amp;"?utm_source="&amp;E1244&amp;"&amp;utm_medium="&amp;F1244&amp;"&amp;utm_campaign="&amp;H1244&amp;"&amp;utm_content="&amp;I1244</f>
        <v>https://eu-112.ro/?utm_source=kdp_book&amp;utm_medium=book&amp;utm_campaign=2610_ff_lansare&amp;utm_content=fierbinte_general</v>
      </c>
    </row>
    <row r="1245" customFormat="false" ht="15" hidden="false" customHeight="false" outlineLevel="0" collapsed="false">
      <c r="A1245" s="10" t="s">
        <v>76</v>
      </c>
      <c r="B1245" s="10" t="str">
        <f aca="false">INDEX('Site-uri'!$B$2:$B$20,MATCH(A1245,'Site-uri'!$A$2:$A$20,0))</f>
        <v>eu-112.ro</v>
      </c>
      <c r="C1245" s="10" t="s">
        <v>179</v>
      </c>
      <c r="D1245" s="10" t="s">
        <v>237</v>
      </c>
      <c r="E1245" s="10" t="str">
        <f aca="false">INDEX(Canale!$C$2:$C$30,MATCH(C1245,Canale!$A$2:$A$30,0))</f>
        <v>kdp_book</v>
      </c>
      <c r="F1245" s="10" t="str">
        <f aca="false">INDEX(Canale!$D$2:$D$30,MATCH(C1245,Canale!$A$2:$A$30,0))</f>
        <v>book</v>
      </c>
      <c r="G1245" s="10" t="str">
        <f aca="false">INDEX('Site-uri'!$C$2:$C$20,MATCH(A1245,'Site-uri'!$A$2:$A$20,0))</f>
        <v>/</v>
      </c>
      <c r="H1245" s="10" t="str">
        <f aca="false">Config!$B$3</f>
        <v>2610_ff_lansare</v>
      </c>
      <c r="I1245" s="10" t="str">
        <f aca="false">D1245&amp;"_"&amp;Config!$B$4</f>
        <v>client_general</v>
      </c>
      <c r="J1245" s="10" t="str">
        <f aca="false">"https://"&amp;B1245&amp;G1245&amp;"?utm_source="&amp;E1245&amp;"&amp;utm_medium="&amp;F1245&amp;"&amp;utm_campaign="&amp;H1245&amp;"&amp;utm_content="&amp;I1245</f>
        <v>https://eu-112.ro/?utm_source=kdp_book&amp;utm_medium=book&amp;utm_campaign=2610_ff_lansare&amp;utm_content=client_general</v>
      </c>
    </row>
    <row r="1246" customFormat="false" ht="15" hidden="false" customHeight="false" outlineLevel="0" collapsed="false">
      <c r="A1246" s="10" t="s">
        <v>76</v>
      </c>
      <c r="B1246" s="10" t="str">
        <f aca="false">INDEX('Site-uri'!$B$2:$B$20,MATCH(A1246,'Site-uri'!$A$2:$A$20,0))</f>
        <v>eu-112.ro</v>
      </c>
      <c r="C1246" s="10" t="s">
        <v>184</v>
      </c>
      <c r="D1246" s="10" t="s">
        <v>219</v>
      </c>
      <c r="E1246" s="10" t="str">
        <f aca="false">INDEX(Canale!$C$2:$C$30,MATCH(C1246,Canale!$A$2:$A$30,0))</f>
        <v>udemy</v>
      </c>
      <c r="F1246" s="10" t="str">
        <f aca="false">INDEX(Canale!$D$2:$D$30,MATCH(C1246,Canale!$A$2:$A$30,0))</f>
        <v>course</v>
      </c>
      <c r="G1246" s="10" t="str">
        <f aca="false">INDEX('Site-uri'!$C$2:$C$20,MATCH(A1246,'Site-uri'!$A$2:$A$20,0))</f>
        <v>/</v>
      </c>
      <c r="H1246" s="10" t="str">
        <f aca="false">Config!$B$3</f>
        <v>2610_ff_lansare</v>
      </c>
      <c r="I1246" s="10" t="str">
        <f aca="false">D1246&amp;"_"&amp;Config!$B$4</f>
        <v>rece_general</v>
      </c>
      <c r="J1246" s="10" t="str">
        <f aca="false">"https://"&amp;B1246&amp;G1246&amp;"?utm_source="&amp;E1246&amp;"&amp;utm_medium="&amp;F1246&amp;"&amp;utm_campaign="&amp;H1246&amp;"&amp;utm_content="&amp;I1246</f>
        <v>https://eu-112.ro/?utm_source=udemy&amp;utm_medium=course&amp;utm_campaign=2610_ff_lansare&amp;utm_content=rece_general</v>
      </c>
    </row>
    <row r="1247" customFormat="false" ht="15" hidden="false" customHeight="false" outlineLevel="0" collapsed="false">
      <c r="A1247" s="10" t="s">
        <v>76</v>
      </c>
      <c r="B1247" s="10" t="str">
        <f aca="false">INDEX('Site-uri'!$B$2:$B$20,MATCH(A1247,'Site-uri'!$A$2:$A$20,0))</f>
        <v>eu-112.ro</v>
      </c>
      <c r="C1247" s="10" t="s">
        <v>184</v>
      </c>
      <c r="D1247" s="10" t="s">
        <v>225</v>
      </c>
      <c r="E1247" s="10" t="str">
        <f aca="false">INDEX(Canale!$C$2:$C$30,MATCH(C1247,Canale!$A$2:$A$30,0))</f>
        <v>udemy</v>
      </c>
      <c r="F1247" s="10" t="str">
        <f aca="false">INDEX(Canale!$D$2:$D$30,MATCH(C1247,Canale!$A$2:$A$30,0))</f>
        <v>course</v>
      </c>
      <c r="G1247" s="10" t="str">
        <f aca="false">INDEX('Site-uri'!$C$2:$C$20,MATCH(A1247,'Site-uri'!$A$2:$A$20,0))</f>
        <v>/</v>
      </c>
      <c r="H1247" s="10" t="str">
        <f aca="false">Config!$B$3</f>
        <v>2610_ff_lansare</v>
      </c>
      <c r="I1247" s="10" t="str">
        <f aca="false">D1247&amp;"_"&amp;Config!$B$4</f>
        <v>cald_general</v>
      </c>
      <c r="J1247" s="10" t="str">
        <f aca="false">"https://"&amp;B1247&amp;G1247&amp;"?utm_source="&amp;E1247&amp;"&amp;utm_medium="&amp;F1247&amp;"&amp;utm_campaign="&amp;H1247&amp;"&amp;utm_content="&amp;I1247</f>
        <v>https://eu-112.ro/?utm_source=udemy&amp;utm_medium=course&amp;utm_campaign=2610_ff_lansare&amp;utm_content=cald_general</v>
      </c>
    </row>
    <row r="1248" customFormat="false" ht="15" hidden="false" customHeight="false" outlineLevel="0" collapsed="false">
      <c r="A1248" s="10" t="s">
        <v>76</v>
      </c>
      <c r="B1248" s="10" t="str">
        <f aca="false">INDEX('Site-uri'!$B$2:$B$20,MATCH(A1248,'Site-uri'!$A$2:$A$20,0))</f>
        <v>eu-112.ro</v>
      </c>
      <c r="C1248" s="10" t="s">
        <v>184</v>
      </c>
      <c r="D1248" s="10" t="s">
        <v>231</v>
      </c>
      <c r="E1248" s="10" t="str">
        <f aca="false">INDEX(Canale!$C$2:$C$30,MATCH(C1248,Canale!$A$2:$A$30,0))</f>
        <v>udemy</v>
      </c>
      <c r="F1248" s="10" t="str">
        <f aca="false">INDEX(Canale!$D$2:$D$30,MATCH(C1248,Canale!$A$2:$A$30,0))</f>
        <v>course</v>
      </c>
      <c r="G1248" s="10" t="str">
        <f aca="false">INDEX('Site-uri'!$C$2:$C$20,MATCH(A1248,'Site-uri'!$A$2:$A$20,0))</f>
        <v>/</v>
      </c>
      <c r="H1248" s="10" t="str">
        <f aca="false">Config!$B$3</f>
        <v>2610_ff_lansare</v>
      </c>
      <c r="I1248" s="10" t="str">
        <f aca="false">D1248&amp;"_"&amp;Config!$B$4</f>
        <v>fierbinte_general</v>
      </c>
      <c r="J1248" s="10" t="str">
        <f aca="false">"https://"&amp;B1248&amp;G1248&amp;"?utm_source="&amp;E1248&amp;"&amp;utm_medium="&amp;F1248&amp;"&amp;utm_campaign="&amp;H1248&amp;"&amp;utm_content="&amp;I1248</f>
        <v>https://eu-112.ro/?utm_source=udemy&amp;utm_medium=course&amp;utm_campaign=2610_ff_lansare&amp;utm_content=fierbinte_general</v>
      </c>
    </row>
    <row r="1249" customFormat="false" ht="15" hidden="false" customHeight="false" outlineLevel="0" collapsed="false">
      <c r="A1249" s="10" t="s">
        <v>76</v>
      </c>
      <c r="B1249" s="10" t="str">
        <f aca="false">INDEX('Site-uri'!$B$2:$B$20,MATCH(A1249,'Site-uri'!$A$2:$A$20,0))</f>
        <v>eu-112.ro</v>
      </c>
      <c r="C1249" s="10" t="s">
        <v>184</v>
      </c>
      <c r="D1249" s="10" t="s">
        <v>237</v>
      </c>
      <c r="E1249" s="10" t="str">
        <f aca="false">INDEX(Canale!$C$2:$C$30,MATCH(C1249,Canale!$A$2:$A$30,0))</f>
        <v>udemy</v>
      </c>
      <c r="F1249" s="10" t="str">
        <f aca="false">INDEX(Canale!$D$2:$D$30,MATCH(C1249,Canale!$A$2:$A$30,0))</f>
        <v>course</v>
      </c>
      <c r="G1249" s="10" t="str">
        <f aca="false">INDEX('Site-uri'!$C$2:$C$20,MATCH(A1249,'Site-uri'!$A$2:$A$20,0))</f>
        <v>/</v>
      </c>
      <c r="H1249" s="10" t="str">
        <f aca="false">Config!$B$3</f>
        <v>2610_ff_lansare</v>
      </c>
      <c r="I1249" s="10" t="str">
        <f aca="false">D1249&amp;"_"&amp;Config!$B$4</f>
        <v>client_general</v>
      </c>
      <c r="J1249" s="10" t="str">
        <f aca="false">"https://"&amp;B1249&amp;G1249&amp;"?utm_source="&amp;E1249&amp;"&amp;utm_medium="&amp;F1249&amp;"&amp;utm_campaign="&amp;H1249&amp;"&amp;utm_content="&amp;I1249</f>
        <v>https://eu-112.ro/?utm_source=udemy&amp;utm_medium=course&amp;utm_campaign=2610_ff_lansare&amp;utm_content=client_general</v>
      </c>
    </row>
    <row r="1250" customFormat="false" ht="15" hidden="false" customHeight="false" outlineLevel="0" collapsed="false">
      <c r="A1250" s="10" t="s">
        <v>76</v>
      </c>
      <c r="B1250" s="10" t="str">
        <f aca="false">INDEX('Site-uri'!$B$2:$B$20,MATCH(A1250,'Site-uri'!$A$2:$A$20,0))</f>
        <v>eu-112.ro</v>
      </c>
      <c r="C1250" s="10" t="s">
        <v>187</v>
      </c>
      <c r="D1250" s="10" t="s">
        <v>219</v>
      </c>
      <c r="E1250" s="10" t="str">
        <f aca="false">INDEX(Canale!$C$2:$C$30,MATCH(C1250,Canale!$A$2:$A$30,0))</f>
        <v>directory</v>
      </c>
      <c r="F1250" s="10" t="str">
        <f aca="false">INDEX(Canale!$D$2:$D$30,MATCH(C1250,Canale!$A$2:$A$30,0))</f>
        <v>referral</v>
      </c>
      <c r="G1250" s="10" t="str">
        <f aca="false">INDEX('Site-uri'!$C$2:$C$20,MATCH(A1250,'Site-uri'!$A$2:$A$20,0))</f>
        <v>/</v>
      </c>
      <c r="H1250" s="10" t="str">
        <f aca="false">Config!$B$3</f>
        <v>2610_ff_lansare</v>
      </c>
      <c r="I1250" s="10" t="str">
        <f aca="false">D1250&amp;"_"&amp;Config!$B$4</f>
        <v>rece_general</v>
      </c>
      <c r="J1250" s="10" t="str">
        <f aca="false">"https://"&amp;B1250&amp;G1250&amp;"?utm_source="&amp;E1250&amp;"&amp;utm_medium="&amp;F1250&amp;"&amp;utm_campaign="&amp;H1250&amp;"&amp;utm_content="&amp;I1250</f>
        <v>https://eu-112.ro/?utm_source=directory&amp;utm_medium=referral&amp;utm_campaign=2610_ff_lansare&amp;utm_content=rece_general</v>
      </c>
    </row>
    <row r="1251" customFormat="false" ht="15" hidden="false" customHeight="false" outlineLevel="0" collapsed="false">
      <c r="A1251" s="10" t="s">
        <v>76</v>
      </c>
      <c r="B1251" s="10" t="str">
        <f aca="false">INDEX('Site-uri'!$B$2:$B$20,MATCH(A1251,'Site-uri'!$A$2:$A$20,0))</f>
        <v>eu-112.ro</v>
      </c>
      <c r="C1251" s="10" t="s">
        <v>187</v>
      </c>
      <c r="D1251" s="10" t="s">
        <v>225</v>
      </c>
      <c r="E1251" s="10" t="str">
        <f aca="false">INDEX(Canale!$C$2:$C$30,MATCH(C1251,Canale!$A$2:$A$30,0))</f>
        <v>directory</v>
      </c>
      <c r="F1251" s="10" t="str">
        <f aca="false">INDEX(Canale!$D$2:$D$30,MATCH(C1251,Canale!$A$2:$A$30,0))</f>
        <v>referral</v>
      </c>
      <c r="G1251" s="10" t="str">
        <f aca="false">INDEX('Site-uri'!$C$2:$C$20,MATCH(A1251,'Site-uri'!$A$2:$A$20,0))</f>
        <v>/</v>
      </c>
      <c r="H1251" s="10" t="str">
        <f aca="false">Config!$B$3</f>
        <v>2610_ff_lansare</v>
      </c>
      <c r="I1251" s="10" t="str">
        <f aca="false">D1251&amp;"_"&amp;Config!$B$4</f>
        <v>cald_general</v>
      </c>
      <c r="J1251" s="10" t="str">
        <f aca="false">"https://"&amp;B1251&amp;G1251&amp;"?utm_source="&amp;E1251&amp;"&amp;utm_medium="&amp;F1251&amp;"&amp;utm_campaign="&amp;H1251&amp;"&amp;utm_content="&amp;I1251</f>
        <v>https://eu-112.ro/?utm_source=directory&amp;utm_medium=referral&amp;utm_campaign=2610_ff_lansare&amp;utm_content=cald_general</v>
      </c>
    </row>
    <row r="1252" customFormat="false" ht="15" hidden="false" customHeight="false" outlineLevel="0" collapsed="false">
      <c r="A1252" s="10" t="s">
        <v>76</v>
      </c>
      <c r="B1252" s="10" t="str">
        <f aca="false">INDEX('Site-uri'!$B$2:$B$20,MATCH(A1252,'Site-uri'!$A$2:$A$20,0))</f>
        <v>eu-112.ro</v>
      </c>
      <c r="C1252" s="10" t="s">
        <v>187</v>
      </c>
      <c r="D1252" s="10" t="s">
        <v>231</v>
      </c>
      <c r="E1252" s="10" t="str">
        <f aca="false">INDEX(Canale!$C$2:$C$30,MATCH(C1252,Canale!$A$2:$A$30,0))</f>
        <v>directory</v>
      </c>
      <c r="F1252" s="10" t="str">
        <f aca="false">INDEX(Canale!$D$2:$D$30,MATCH(C1252,Canale!$A$2:$A$30,0))</f>
        <v>referral</v>
      </c>
      <c r="G1252" s="10" t="str">
        <f aca="false">INDEX('Site-uri'!$C$2:$C$20,MATCH(A1252,'Site-uri'!$A$2:$A$20,0))</f>
        <v>/</v>
      </c>
      <c r="H1252" s="10" t="str">
        <f aca="false">Config!$B$3</f>
        <v>2610_ff_lansare</v>
      </c>
      <c r="I1252" s="10" t="str">
        <f aca="false">D1252&amp;"_"&amp;Config!$B$4</f>
        <v>fierbinte_general</v>
      </c>
      <c r="J1252" s="10" t="str">
        <f aca="false">"https://"&amp;B1252&amp;G1252&amp;"?utm_source="&amp;E1252&amp;"&amp;utm_medium="&amp;F1252&amp;"&amp;utm_campaign="&amp;H1252&amp;"&amp;utm_content="&amp;I1252</f>
        <v>https://eu-112.ro/?utm_source=directory&amp;utm_medium=referral&amp;utm_campaign=2610_ff_lansare&amp;utm_content=fierbinte_general</v>
      </c>
    </row>
    <row r="1253" customFormat="false" ht="15" hidden="false" customHeight="false" outlineLevel="0" collapsed="false">
      <c r="A1253" s="10" t="s">
        <v>76</v>
      </c>
      <c r="B1253" s="10" t="str">
        <f aca="false">INDEX('Site-uri'!$B$2:$B$20,MATCH(A1253,'Site-uri'!$A$2:$A$20,0))</f>
        <v>eu-112.ro</v>
      </c>
      <c r="C1253" s="10" t="s">
        <v>187</v>
      </c>
      <c r="D1253" s="10" t="s">
        <v>237</v>
      </c>
      <c r="E1253" s="10" t="str">
        <f aca="false">INDEX(Canale!$C$2:$C$30,MATCH(C1253,Canale!$A$2:$A$30,0))</f>
        <v>directory</v>
      </c>
      <c r="F1253" s="10" t="str">
        <f aca="false">INDEX(Canale!$D$2:$D$30,MATCH(C1253,Canale!$A$2:$A$30,0))</f>
        <v>referral</v>
      </c>
      <c r="G1253" s="10" t="str">
        <f aca="false">INDEX('Site-uri'!$C$2:$C$20,MATCH(A1253,'Site-uri'!$A$2:$A$20,0))</f>
        <v>/</v>
      </c>
      <c r="H1253" s="10" t="str">
        <f aca="false">Config!$B$3</f>
        <v>2610_ff_lansare</v>
      </c>
      <c r="I1253" s="10" t="str">
        <f aca="false">D1253&amp;"_"&amp;Config!$B$4</f>
        <v>client_general</v>
      </c>
      <c r="J1253" s="10" t="str">
        <f aca="false">"https://"&amp;B1253&amp;G1253&amp;"?utm_source="&amp;E1253&amp;"&amp;utm_medium="&amp;F1253&amp;"&amp;utm_campaign="&amp;H1253&amp;"&amp;utm_content="&amp;I1253</f>
        <v>https://eu-112.ro/?utm_source=directory&amp;utm_medium=referral&amp;utm_campaign=2610_ff_lansare&amp;utm_content=client_general</v>
      </c>
    </row>
    <row r="1254" customFormat="false" ht="15" hidden="false" customHeight="false" outlineLevel="0" collapsed="false">
      <c r="A1254" s="10" t="s">
        <v>76</v>
      </c>
      <c r="B1254" s="10" t="str">
        <f aca="false">INDEX('Site-uri'!$B$2:$B$20,MATCH(A1254,'Site-uri'!$A$2:$A$20,0))</f>
        <v>eu-112.ro</v>
      </c>
      <c r="C1254" s="10" t="s">
        <v>191</v>
      </c>
      <c r="D1254" s="10" t="s">
        <v>219</v>
      </c>
      <c r="E1254" s="10" t="str">
        <f aca="false">INDEX(Canale!$C$2:$C$30,MATCH(C1254,Canale!$A$2:$A$30,0))</f>
        <v>partner</v>
      </c>
      <c r="F1254" s="10" t="str">
        <f aca="false">INDEX(Canale!$D$2:$D$30,MATCH(C1254,Canale!$A$2:$A$30,0))</f>
        <v>partner</v>
      </c>
      <c r="G1254" s="10" t="str">
        <f aca="false">INDEX('Site-uri'!$C$2:$C$20,MATCH(A1254,'Site-uri'!$A$2:$A$20,0))</f>
        <v>/</v>
      </c>
      <c r="H1254" s="10" t="str">
        <f aca="false">Config!$B$3</f>
        <v>2610_ff_lansare</v>
      </c>
      <c r="I1254" s="10" t="str">
        <f aca="false">D1254&amp;"_"&amp;Config!$B$4</f>
        <v>rece_general</v>
      </c>
      <c r="J1254" s="10" t="str">
        <f aca="false">"https://"&amp;B1254&amp;G1254&amp;"?utm_source="&amp;E1254&amp;"&amp;utm_medium="&amp;F1254&amp;"&amp;utm_campaign="&amp;H1254&amp;"&amp;utm_content="&amp;I1254</f>
        <v>https://eu-112.ro/?utm_source=partner&amp;utm_medium=partner&amp;utm_campaign=2610_ff_lansare&amp;utm_content=rece_general</v>
      </c>
    </row>
    <row r="1255" customFormat="false" ht="15" hidden="false" customHeight="false" outlineLevel="0" collapsed="false">
      <c r="A1255" s="10" t="s">
        <v>76</v>
      </c>
      <c r="B1255" s="10" t="str">
        <f aca="false">INDEX('Site-uri'!$B$2:$B$20,MATCH(A1255,'Site-uri'!$A$2:$A$20,0))</f>
        <v>eu-112.ro</v>
      </c>
      <c r="C1255" s="10" t="s">
        <v>191</v>
      </c>
      <c r="D1255" s="10" t="s">
        <v>225</v>
      </c>
      <c r="E1255" s="10" t="str">
        <f aca="false">INDEX(Canale!$C$2:$C$30,MATCH(C1255,Canale!$A$2:$A$30,0))</f>
        <v>partner</v>
      </c>
      <c r="F1255" s="10" t="str">
        <f aca="false">INDEX(Canale!$D$2:$D$30,MATCH(C1255,Canale!$A$2:$A$30,0))</f>
        <v>partner</v>
      </c>
      <c r="G1255" s="10" t="str">
        <f aca="false">INDEX('Site-uri'!$C$2:$C$20,MATCH(A1255,'Site-uri'!$A$2:$A$20,0))</f>
        <v>/</v>
      </c>
      <c r="H1255" s="10" t="str">
        <f aca="false">Config!$B$3</f>
        <v>2610_ff_lansare</v>
      </c>
      <c r="I1255" s="10" t="str">
        <f aca="false">D1255&amp;"_"&amp;Config!$B$4</f>
        <v>cald_general</v>
      </c>
      <c r="J1255" s="10" t="str">
        <f aca="false">"https://"&amp;B1255&amp;G1255&amp;"?utm_source="&amp;E1255&amp;"&amp;utm_medium="&amp;F1255&amp;"&amp;utm_campaign="&amp;H1255&amp;"&amp;utm_content="&amp;I1255</f>
        <v>https://eu-112.ro/?utm_source=partner&amp;utm_medium=partner&amp;utm_campaign=2610_ff_lansare&amp;utm_content=cald_general</v>
      </c>
    </row>
    <row r="1256" customFormat="false" ht="15" hidden="false" customHeight="false" outlineLevel="0" collapsed="false">
      <c r="A1256" s="10" t="s">
        <v>76</v>
      </c>
      <c r="B1256" s="10" t="str">
        <f aca="false">INDEX('Site-uri'!$B$2:$B$20,MATCH(A1256,'Site-uri'!$A$2:$A$20,0))</f>
        <v>eu-112.ro</v>
      </c>
      <c r="C1256" s="10" t="s">
        <v>191</v>
      </c>
      <c r="D1256" s="10" t="s">
        <v>231</v>
      </c>
      <c r="E1256" s="10" t="str">
        <f aca="false">INDEX(Canale!$C$2:$C$30,MATCH(C1256,Canale!$A$2:$A$30,0))</f>
        <v>partner</v>
      </c>
      <c r="F1256" s="10" t="str">
        <f aca="false">INDEX(Canale!$D$2:$D$30,MATCH(C1256,Canale!$A$2:$A$30,0))</f>
        <v>partner</v>
      </c>
      <c r="G1256" s="10" t="str">
        <f aca="false">INDEX('Site-uri'!$C$2:$C$20,MATCH(A1256,'Site-uri'!$A$2:$A$20,0))</f>
        <v>/</v>
      </c>
      <c r="H1256" s="10" t="str">
        <f aca="false">Config!$B$3</f>
        <v>2610_ff_lansare</v>
      </c>
      <c r="I1256" s="10" t="str">
        <f aca="false">D1256&amp;"_"&amp;Config!$B$4</f>
        <v>fierbinte_general</v>
      </c>
      <c r="J1256" s="10" t="str">
        <f aca="false">"https://"&amp;B1256&amp;G1256&amp;"?utm_source="&amp;E1256&amp;"&amp;utm_medium="&amp;F1256&amp;"&amp;utm_campaign="&amp;H1256&amp;"&amp;utm_content="&amp;I1256</f>
        <v>https://eu-112.ro/?utm_source=partner&amp;utm_medium=partner&amp;utm_campaign=2610_ff_lansare&amp;utm_content=fierbinte_general</v>
      </c>
    </row>
    <row r="1257" customFormat="false" ht="15" hidden="false" customHeight="false" outlineLevel="0" collapsed="false">
      <c r="A1257" s="10" t="s">
        <v>76</v>
      </c>
      <c r="B1257" s="10" t="str">
        <f aca="false">INDEX('Site-uri'!$B$2:$B$20,MATCH(A1257,'Site-uri'!$A$2:$A$20,0))</f>
        <v>eu-112.ro</v>
      </c>
      <c r="C1257" s="10" t="s">
        <v>191</v>
      </c>
      <c r="D1257" s="10" t="s">
        <v>237</v>
      </c>
      <c r="E1257" s="10" t="str">
        <f aca="false">INDEX(Canale!$C$2:$C$30,MATCH(C1257,Canale!$A$2:$A$30,0))</f>
        <v>partner</v>
      </c>
      <c r="F1257" s="10" t="str">
        <f aca="false">INDEX(Canale!$D$2:$D$30,MATCH(C1257,Canale!$A$2:$A$30,0))</f>
        <v>partner</v>
      </c>
      <c r="G1257" s="10" t="str">
        <f aca="false">INDEX('Site-uri'!$C$2:$C$20,MATCH(A1257,'Site-uri'!$A$2:$A$20,0))</f>
        <v>/</v>
      </c>
      <c r="H1257" s="10" t="str">
        <f aca="false">Config!$B$3</f>
        <v>2610_ff_lansare</v>
      </c>
      <c r="I1257" s="10" t="str">
        <f aca="false">D1257&amp;"_"&amp;Config!$B$4</f>
        <v>client_general</v>
      </c>
      <c r="J1257" s="10" t="str">
        <f aca="false">"https://"&amp;B1257&amp;G1257&amp;"?utm_source="&amp;E1257&amp;"&amp;utm_medium="&amp;F1257&amp;"&amp;utm_campaign="&amp;H1257&amp;"&amp;utm_content="&amp;I1257</f>
        <v>https://eu-112.ro/?utm_source=partner&amp;utm_medium=partner&amp;utm_campaign=2610_ff_lansare&amp;utm_content=client_general</v>
      </c>
    </row>
    <row r="1258" customFormat="false" ht="15" hidden="false" customHeight="false" outlineLevel="0" collapsed="false">
      <c r="A1258" s="10" t="s">
        <v>76</v>
      </c>
      <c r="B1258" s="10" t="str">
        <f aca="false">INDEX('Site-uri'!$B$2:$B$20,MATCH(A1258,'Site-uri'!$A$2:$A$20,0))</f>
        <v>eu-112.ro</v>
      </c>
      <c r="C1258" s="10" t="s">
        <v>193</v>
      </c>
      <c r="D1258" s="10" t="s">
        <v>219</v>
      </c>
      <c r="E1258" s="10" t="str">
        <f aca="false">INDEX(Canale!$C$2:$C$30,MATCH(C1258,Canale!$A$2:$A$30,0))</f>
        <v>pdf_proposal</v>
      </c>
      <c r="F1258" s="10" t="str">
        <f aca="false">INDEX(Canale!$D$2:$D$30,MATCH(C1258,Canale!$A$2:$A$30,0))</f>
        <v>document</v>
      </c>
      <c r="G1258" s="10" t="str">
        <f aca="false">INDEX('Site-uri'!$C$2:$C$20,MATCH(A1258,'Site-uri'!$A$2:$A$20,0))</f>
        <v>/</v>
      </c>
      <c r="H1258" s="10" t="str">
        <f aca="false">Config!$B$3</f>
        <v>2610_ff_lansare</v>
      </c>
      <c r="I1258" s="10" t="str">
        <f aca="false">D1258&amp;"_"&amp;Config!$B$4</f>
        <v>rece_general</v>
      </c>
      <c r="J1258" s="10" t="str">
        <f aca="false">"https://"&amp;B1258&amp;G1258&amp;"?utm_source="&amp;E1258&amp;"&amp;utm_medium="&amp;F1258&amp;"&amp;utm_campaign="&amp;H1258&amp;"&amp;utm_content="&amp;I1258</f>
        <v>https://eu-112.ro/?utm_source=pdf_proposal&amp;utm_medium=document&amp;utm_campaign=2610_ff_lansare&amp;utm_content=rece_general</v>
      </c>
    </row>
    <row r="1259" customFormat="false" ht="15" hidden="false" customHeight="false" outlineLevel="0" collapsed="false">
      <c r="A1259" s="10" t="s">
        <v>76</v>
      </c>
      <c r="B1259" s="10" t="str">
        <f aca="false">INDEX('Site-uri'!$B$2:$B$20,MATCH(A1259,'Site-uri'!$A$2:$A$20,0))</f>
        <v>eu-112.ro</v>
      </c>
      <c r="C1259" s="10" t="s">
        <v>193</v>
      </c>
      <c r="D1259" s="10" t="s">
        <v>225</v>
      </c>
      <c r="E1259" s="10" t="str">
        <f aca="false">INDEX(Canale!$C$2:$C$30,MATCH(C1259,Canale!$A$2:$A$30,0))</f>
        <v>pdf_proposal</v>
      </c>
      <c r="F1259" s="10" t="str">
        <f aca="false">INDEX(Canale!$D$2:$D$30,MATCH(C1259,Canale!$A$2:$A$30,0))</f>
        <v>document</v>
      </c>
      <c r="G1259" s="10" t="str">
        <f aca="false">INDEX('Site-uri'!$C$2:$C$20,MATCH(A1259,'Site-uri'!$A$2:$A$20,0))</f>
        <v>/</v>
      </c>
      <c r="H1259" s="10" t="str">
        <f aca="false">Config!$B$3</f>
        <v>2610_ff_lansare</v>
      </c>
      <c r="I1259" s="10" t="str">
        <f aca="false">D1259&amp;"_"&amp;Config!$B$4</f>
        <v>cald_general</v>
      </c>
      <c r="J1259" s="10" t="str">
        <f aca="false">"https://"&amp;B1259&amp;G1259&amp;"?utm_source="&amp;E1259&amp;"&amp;utm_medium="&amp;F1259&amp;"&amp;utm_campaign="&amp;H1259&amp;"&amp;utm_content="&amp;I1259</f>
        <v>https://eu-112.ro/?utm_source=pdf_proposal&amp;utm_medium=document&amp;utm_campaign=2610_ff_lansare&amp;utm_content=cald_general</v>
      </c>
    </row>
    <row r="1260" customFormat="false" ht="15" hidden="false" customHeight="false" outlineLevel="0" collapsed="false">
      <c r="A1260" s="10" t="s">
        <v>76</v>
      </c>
      <c r="B1260" s="10" t="str">
        <f aca="false">INDEX('Site-uri'!$B$2:$B$20,MATCH(A1260,'Site-uri'!$A$2:$A$20,0))</f>
        <v>eu-112.ro</v>
      </c>
      <c r="C1260" s="10" t="s">
        <v>193</v>
      </c>
      <c r="D1260" s="10" t="s">
        <v>231</v>
      </c>
      <c r="E1260" s="10" t="str">
        <f aca="false">INDEX(Canale!$C$2:$C$30,MATCH(C1260,Canale!$A$2:$A$30,0))</f>
        <v>pdf_proposal</v>
      </c>
      <c r="F1260" s="10" t="str">
        <f aca="false">INDEX(Canale!$D$2:$D$30,MATCH(C1260,Canale!$A$2:$A$30,0))</f>
        <v>document</v>
      </c>
      <c r="G1260" s="10" t="str">
        <f aca="false">INDEX('Site-uri'!$C$2:$C$20,MATCH(A1260,'Site-uri'!$A$2:$A$20,0))</f>
        <v>/</v>
      </c>
      <c r="H1260" s="10" t="str">
        <f aca="false">Config!$B$3</f>
        <v>2610_ff_lansare</v>
      </c>
      <c r="I1260" s="10" t="str">
        <f aca="false">D1260&amp;"_"&amp;Config!$B$4</f>
        <v>fierbinte_general</v>
      </c>
      <c r="J1260" s="10" t="str">
        <f aca="false">"https://"&amp;B1260&amp;G1260&amp;"?utm_source="&amp;E1260&amp;"&amp;utm_medium="&amp;F1260&amp;"&amp;utm_campaign="&amp;H1260&amp;"&amp;utm_content="&amp;I1260</f>
        <v>https://eu-112.ro/?utm_source=pdf_proposal&amp;utm_medium=document&amp;utm_campaign=2610_ff_lansare&amp;utm_content=fierbinte_general</v>
      </c>
    </row>
    <row r="1261" customFormat="false" ht="15" hidden="false" customHeight="false" outlineLevel="0" collapsed="false">
      <c r="A1261" s="10" t="s">
        <v>76</v>
      </c>
      <c r="B1261" s="10" t="str">
        <f aca="false">INDEX('Site-uri'!$B$2:$B$20,MATCH(A1261,'Site-uri'!$A$2:$A$20,0))</f>
        <v>eu-112.ro</v>
      </c>
      <c r="C1261" s="10" t="s">
        <v>193</v>
      </c>
      <c r="D1261" s="10" t="s">
        <v>237</v>
      </c>
      <c r="E1261" s="10" t="str">
        <f aca="false">INDEX(Canale!$C$2:$C$30,MATCH(C1261,Canale!$A$2:$A$30,0))</f>
        <v>pdf_proposal</v>
      </c>
      <c r="F1261" s="10" t="str">
        <f aca="false">INDEX(Canale!$D$2:$D$30,MATCH(C1261,Canale!$A$2:$A$30,0))</f>
        <v>document</v>
      </c>
      <c r="G1261" s="10" t="str">
        <f aca="false">INDEX('Site-uri'!$C$2:$C$20,MATCH(A1261,'Site-uri'!$A$2:$A$20,0))</f>
        <v>/</v>
      </c>
      <c r="H1261" s="10" t="str">
        <f aca="false">Config!$B$3</f>
        <v>2610_ff_lansare</v>
      </c>
      <c r="I1261" s="10" t="str">
        <f aca="false">D1261&amp;"_"&amp;Config!$B$4</f>
        <v>client_general</v>
      </c>
      <c r="J1261" s="10" t="str">
        <f aca="false">"https://"&amp;B1261&amp;G1261&amp;"?utm_source="&amp;E1261&amp;"&amp;utm_medium="&amp;F1261&amp;"&amp;utm_campaign="&amp;H1261&amp;"&amp;utm_content="&amp;I1261</f>
        <v>https://eu-112.ro/?utm_source=pdf_proposal&amp;utm_medium=document&amp;utm_campaign=2610_ff_lansare&amp;utm_content=client_general</v>
      </c>
    </row>
    <row r="1262" customFormat="false" ht="15" hidden="false" customHeight="false" outlineLevel="0" collapsed="false">
      <c r="A1262" s="10" t="s">
        <v>76</v>
      </c>
      <c r="B1262" s="10" t="str">
        <f aca="false">INDEX('Site-uri'!$B$2:$B$20,MATCH(A1262,'Site-uri'!$A$2:$A$20,0))</f>
        <v>eu-112.ro</v>
      </c>
      <c r="C1262" s="10" t="s">
        <v>198</v>
      </c>
      <c r="D1262" s="10" t="s">
        <v>219</v>
      </c>
      <c r="E1262" s="10" t="str">
        <f aca="false">INDEX(Canale!$C$2:$C$30,MATCH(C1262,Canale!$A$2:$A$30,0))</f>
        <v>qr_print</v>
      </c>
      <c r="F1262" s="10" t="str">
        <f aca="false">INDEX(Canale!$D$2:$D$30,MATCH(C1262,Canale!$A$2:$A$30,0))</f>
        <v>qr</v>
      </c>
      <c r="G1262" s="10" t="str">
        <f aca="false">INDEX('Site-uri'!$C$2:$C$20,MATCH(A1262,'Site-uri'!$A$2:$A$20,0))</f>
        <v>/</v>
      </c>
      <c r="H1262" s="10" t="str">
        <f aca="false">Config!$B$3</f>
        <v>2610_ff_lansare</v>
      </c>
      <c r="I1262" s="10" t="str">
        <f aca="false">D1262&amp;"_"&amp;Config!$B$4</f>
        <v>rece_general</v>
      </c>
      <c r="J1262" s="10" t="str">
        <f aca="false">"https://"&amp;B1262&amp;G1262&amp;"?utm_source="&amp;E1262&amp;"&amp;utm_medium="&amp;F1262&amp;"&amp;utm_campaign="&amp;H1262&amp;"&amp;utm_content="&amp;I1262</f>
        <v>https://eu-112.ro/?utm_source=qr_print&amp;utm_medium=qr&amp;utm_campaign=2610_ff_lansare&amp;utm_content=rece_general</v>
      </c>
    </row>
    <row r="1263" customFormat="false" ht="15" hidden="false" customHeight="false" outlineLevel="0" collapsed="false">
      <c r="A1263" s="10" t="s">
        <v>76</v>
      </c>
      <c r="B1263" s="10" t="str">
        <f aca="false">INDEX('Site-uri'!$B$2:$B$20,MATCH(A1263,'Site-uri'!$A$2:$A$20,0))</f>
        <v>eu-112.ro</v>
      </c>
      <c r="C1263" s="10" t="s">
        <v>198</v>
      </c>
      <c r="D1263" s="10" t="s">
        <v>225</v>
      </c>
      <c r="E1263" s="10" t="str">
        <f aca="false">INDEX(Canale!$C$2:$C$30,MATCH(C1263,Canale!$A$2:$A$30,0))</f>
        <v>qr_print</v>
      </c>
      <c r="F1263" s="10" t="str">
        <f aca="false">INDEX(Canale!$D$2:$D$30,MATCH(C1263,Canale!$A$2:$A$30,0))</f>
        <v>qr</v>
      </c>
      <c r="G1263" s="10" t="str">
        <f aca="false">INDEX('Site-uri'!$C$2:$C$20,MATCH(A1263,'Site-uri'!$A$2:$A$20,0))</f>
        <v>/</v>
      </c>
      <c r="H1263" s="10" t="str">
        <f aca="false">Config!$B$3</f>
        <v>2610_ff_lansare</v>
      </c>
      <c r="I1263" s="10" t="str">
        <f aca="false">D1263&amp;"_"&amp;Config!$B$4</f>
        <v>cald_general</v>
      </c>
      <c r="J1263" s="10" t="str">
        <f aca="false">"https://"&amp;B1263&amp;G1263&amp;"?utm_source="&amp;E1263&amp;"&amp;utm_medium="&amp;F1263&amp;"&amp;utm_campaign="&amp;H1263&amp;"&amp;utm_content="&amp;I1263</f>
        <v>https://eu-112.ro/?utm_source=qr_print&amp;utm_medium=qr&amp;utm_campaign=2610_ff_lansare&amp;utm_content=cald_general</v>
      </c>
    </row>
    <row r="1264" customFormat="false" ht="15" hidden="false" customHeight="false" outlineLevel="0" collapsed="false">
      <c r="A1264" s="10" t="s">
        <v>76</v>
      </c>
      <c r="B1264" s="10" t="str">
        <f aca="false">INDEX('Site-uri'!$B$2:$B$20,MATCH(A1264,'Site-uri'!$A$2:$A$20,0))</f>
        <v>eu-112.ro</v>
      </c>
      <c r="C1264" s="10" t="s">
        <v>198</v>
      </c>
      <c r="D1264" s="10" t="s">
        <v>231</v>
      </c>
      <c r="E1264" s="10" t="str">
        <f aca="false">INDEX(Canale!$C$2:$C$30,MATCH(C1264,Canale!$A$2:$A$30,0))</f>
        <v>qr_print</v>
      </c>
      <c r="F1264" s="10" t="str">
        <f aca="false">INDEX(Canale!$D$2:$D$30,MATCH(C1264,Canale!$A$2:$A$30,0))</f>
        <v>qr</v>
      </c>
      <c r="G1264" s="10" t="str">
        <f aca="false">INDEX('Site-uri'!$C$2:$C$20,MATCH(A1264,'Site-uri'!$A$2:$A$20,0))</f>
        <v>/</v>
      </c>
      <c r="H1264" s="10" t="str">
        <f aca="false">Config!$B$3</f>
        <v>2610_ff_lansare</v>
      </c>
      <c r="I1264" s="10" t="str">
        <f aca="false">D1264&amp;"_"&amp;Config!$B$4</f>
        <v>fierbinte_general</v>
      </c>
      <c r="J1264" s="10" t="str">
        <f aca="false">"https://"&amp;B1264&amp;G1264&amp;"?utm_source="&amp;E1264&amp;"&amp;utm_medium="&amp;F1264&amp;"&amp;utm_campaign="&amp;H1264&amp;"&amp;utm_content="&amp;I1264</f>
        <v>https://eu-112.ro/?utm_source=qr_print&amp;utm_medium=qr&amp;utm_campaign=2610_ff_lansare&amp;utm_content=fierbinte_general</v>
      </c>
    </row>
    <row r="1265" customFormat="false" ht="15" hidden="false" customHeight="false" outlineLevel="0" collapsed="false">
      <c r="A1265" s="10" t="s">
        <v>76</v>
      </c>
      <c r="B1265" s="10" t="str">
        <f aca="false">INDEX('Site-uri'!$B$2:$B$20,MATCH(A1265,'Site-uri'!$A$2:$A$20,0))</f>
        <v>eu-112.ro</v>
      </c>
      <c r="C1265" s="10" t="s">
        <v>198</v>
      </c>
      <c r="D1265" s="10" t="s">
        <v>237</v>
      </c>
      <c r="E1265" s="10" t="str">
        <f aca="false">INDEX(Canale!$C$2:$C$30,MATCH(C1265,Canale!$A$2:$A$30,0))</f>
        <v>qr_print</v>
      </c>
      <c r="F1265" s="10" t="str">
        <f aca="false">INDEX(Canale!$D$2:$D$30,MATCH(C1265,Canale!$A$2:$A$30,0))</f>
        <v>qr</v>
      </c>
      <c r="G1265" s="10" t="str">
        <f aca="false">INDEX('Site-uri'!$C$2:$C$20,MATCH(A1265,'Site-uri'!$A$2:$A$20,0))</f>
        <v>/</v>
      </c>
      <c r="H1265" s="10" t="str">
        <f aca="false">Config!$B$3</f>
        <v>2610_ff_lansare</v>
      </c>
      <c r="I1265" s="10" t="str">
        <f aca="false">D1265&amp;"_"&amp;Config!$B$4</f>
        <v>client_general</v>
      </c>
      <c r="J1265" s="10" t="str">
        <f aca="false">"https://"&amp;B1265&amp;G1265&amp;"?utm_source="&amp;E1265&amp;"&amp;utm_medium="&amp;F1265&amp;"&amp;utm_campaign="&amp;H1265&amp;"&amp;utm_content="&amp;I1265</f>
        <v>https://eu-112.ro/?utm_source=qr_print&amp;utm_medium=qr&amp;utm_campaign=2610_ff_lansare&amp;utm_content=client_general</v>
      </c>
    </row>
    <row r="1266" customFormat="false" ht="15" hidden="false" customHeight="false" outlineLevel="0" collapsed="false">
      <c r="A1266" s="10" t="s">
        <v>76</v>
      </c>
      <c r="B1266" s="10" t="str">
        <f aca="false">INDEX('Site-uri'!$B$2:$B$20,MATCH(A1266,'Site-uri'!$A$2:$A$20,0))</f>
        <v>eu-112.ro</v>
      </c>
      <c r="C1266" s="10" t="s">
        <v>202</v>
      </c>
      <c r="D1266" s="10" t="s">
        <v>219</v>
      </c>
      <c r="E1266" s="10" t="str">
        <f aca="false">INDEX(Canale!$C$2:$C$30,MATCH(C1266,Canale!$A$2:$A$30,0))</f>
        <v>event</v>
      </c>
      <c r="F1266" s="10" t="str">
        <f aca="false">INDEX(Canale!$D$2:$D$30,MATCH(C1266,Canale!$A$2:$A$30,0))</f>
        <v>event</v>
      </c>
      <c r="G1266" s="10" t="str">
        <f aca="false">INDEX('Site-uri'!$C$2:$C$20,MATCH(A1266,'Site-uri'!$A$2:$A$20,0))</f>
        <v>/</v>
      </c>
      <c r="H1266" s="10" t="str">
        <f aca="false">Config!$B$3</f>
        <v>2610_ff_lansare</v>
      </c>
      <c r="I1266" s="10" t="str">
        <f aca="false">D1266&amp;"_"&amp;Config!$B$4</f>
        <v>rece_general</v>
      </c>
      <c r="J1266" s="10" t="str">
        <f aca="false">"https://"&amp;B1266&amp;G1266&amp;"?utm_source="&amp;E1266&amp;"&amp;utm_medium="&amp;F1266&amp;"&amp;utm_campaign="&amp;H1266&amp;"&amp;utm_content="&amp;I1266</f>
        <v>https://eu-112.ro/?utm_source=event&amp;utm_medium=event&amp;utm_campaign=2610_ff_lansare&amp;utm_content=rece_general</v>
      </c>
    </row>
    <row r="1267" customFormat="false" ht="15" hidden="false" customHeight="false" outlineLevel="0" collapsed="false">
      <c r="A1267" s="10" t="s">
        <v>76</v>
      </c>
      <c r="B1267" s="10" t="str">
        <f aca="false">INDEX('Site-uri'!$B$2:$B$20,MATCH(A1267,'Site-uri'!$A$2:$A$20,0))</f>
        <v>eu-112.ro</v>
      </c>
      <c r="C1267" s="10" t="s">
        <v>202</v>
      </c>
      <c r="D1267" s="10" t="s">
        <v>225</v>
      </c>
      <c r="E1267" s="10" t="str">
        <f aca="false">INDEX(Canale!$C$2:$C$30,MATCH(C1267,Canale!$A$2:$A$30,0))</f>
        <v>event</v>
      </c>
      <c r="F1267" s="10" t="str">
        <f aca="false">INDEX(Canale!$D$2:$D$30,MATCH(C1267,Canale!$A$2:$A$30,0))</f>
        <v>event</v>
      </c>
      <c r="G1267" s="10" t="str">
        <f aca="false">INDEX('Site-uri'!$C$2:$C$20,MATCH(A1267,'Site-uri'!$A$2:$A$20,0))</f>
        <v>/</v>
      </c>
      <c r="H1267" s="10" t="str">
        <f aca="false">Config!$B$3</f>
        <v>2610_ff_lansare</v>
      </c>
      <c r="I1267" s="10" t="str">
        <f aca="false">D1267&amp;"_"&amp;Config!$B$4</f>
        <v>cald_general</v>
      </c>
      <c r="J1267" s="10" t="str">
        <f aca="false">"https://"&amp;B1267&amp;G1267&amp;"?utm_source="&amp;E1267&amp;"&amp;utm_medium="&amp;F1267&amp;"&amp;utm_campaign="&amp;H1267&amp;"&amp;utm_content="&amp;I1267</f>
        <v>https://eu-112.ro/?utm_source=event&amp;utm_medium=event&amp;utm_campaign=2610_ff_lansare&amp;utm_content=cald_general</v>
      </c>
    </row>
    <row r="1268" customFormat="false" ht="15" hidden="false" customHeight="false" outlineLevel="0" collapsed="false">
      <c r="A1268" s="10" t="s">
        <v>76</v>
      </c>
      <c r="B1268" s="10" t="str">
        <f aca="false">INDEX('Site-uri'!$B$2:$B$20,MATCH(A1268,'Site-uri'!$A$2:$A$20,0))</f>
        <v>eu-112.ro</v>
      </c>
      <c r="C1268" s="10" t="s">
        <v>202</v>
      </c>
      <c r="D1268" s="10" t="s">
        <v>231</v>
      </c>
      <c r="E1268" s="10" t="str">
        <f aca="false">INDEX(Canale!$C$2:$C$30,MATCH(C1268,Canale!$A$2:$A$30,0))</f>
        <v>event</v>
      </c>
      <c r="F1268" s="10" t="str">
        <f aca="false">INDEX(Canale!$D$2:$D$30,MATCH(C1268,Canale!$A$2:$A$30,0))</f>
        <v>event</v>
      </c>
      <c r="G1268" s="10" t="str">
        <f aca="false">INDEX('Site-uri'!$C$2:$C$20,MATCH(A1268,'Site-uri'!$A$2:$A$20,0))</f>
        <v>/</v>
      </c>
      <c r="H1268" s="10" t="str">
        <f aca="false">Config!$B$3</f>
        <v>2610_ff_lansare</v>
      </c>
      <c r="I1268" s="10" t="str">
        <f aca="false">D1268&amp;"_"&amp;Config!$B$4</f>
        <v>fierbinte_general</v>
      </c>
      <c r="J1268" s="10" t="str">
        <f aca="false">"https://"&amp;B1268&amp;G1268&amp;"?utm_source="&amp;E1268&amp;"&amp;utm_medium="&amp;F1268&amp;"&amp;utm_campaign="&amp;H1268&amp;"&amp;utm_content="&amp;I1268</f>
        <v>https://eu-112.ro/?utm_source=event&amp;utm_medium=event&amp;utm_campaign=2610_ff_lansare&amp;utm_content=fierbinte_general</v>
      </c>
    </row>
    <row r="1269" customFormat="false" ht="15" hidden="false" customHeight="false" outlineLevel="0" collapsed="false">
      <c r="A1269" s="10" t="s">
        <v>76</v>
      </c>
      <c r="B1269" s="10" t="str">
        <f aca="false">INDEX('Site-uri'!$B$2:$B$20,MATCH(A1269,'Site-uri'!$A$2:$A$20,0))</f>
        <v>eu-112.ro</v>
      </c>
      <c r="C1269" s="10" t="s">
        <v>202</v>
      </c>
      <c r="D1269" s="10" t="s">
        <v>237</v>
      </c>
      <c r="E1269" s="10" t="str">
        <f aca="false">INDEX(Canale!$C$2:$C$30,MATCH(C1269,Canale!$A$2:$A$30,0))</f>
        <v>event</v>
      </c>
      <c r="F1269" s="10" t="str">
        <f aca="false">INDEX(Canale!$D$2:$D$30,MATCH(C1269,Canale!$A$2:$A$30,0))</f>
        <v>event</v>
      </c>
      <c r="G1269" s="10" t="str">
        <f aca="false">INDEX('Site-uri'!$C$2:$C$20,MATCH(A1269,'Site-uri'!$A$2:$A$20,0))</f>
        <v>/</v>
      </c>
      <c r="H1269" s="10" t="str">
        <f aca="false">Config!$B$3</f>
        <v>2610_ff_lansare</v>
      </c>
      <c r="I1269" s="10" t="str">
        <f aca="false">D1269&amp;"_"&amp;Config!$B$4</f>
        <v>client_general</v>
      </c>
      <c r="J1269" s="10" t="str">
        <f aca="false">"https://"&amp;B1269&amp;G1269&amp;"?utm_source="&amp;E1269&amp;"&amp;utm_medium="&amp;F1269&amp;"&amp;utm_campaign="&amp;H1269&amp;"&amp;utm_content="&amp;I1269</f>
        <v>https://eu-112.ro/?utm_source=event&amp;utm_medium=event&amp;utm_campaign=2610_ff_lansare&amp;utm_content=client_general</v>
      </c>
    </row>
    <row r="1270" customFormat="false" ht="15" hidden="false" customHeight="false" outlineLevel="0" collapsed="false">
      <c r="A1270" s="10" t="s">
        <v>76</v>
      </c>
      <c r="B1270" s="10" t="str">
        <f aca="false">INDEX('Site-uri'!$B$2:$B$20,MATCH(A1270,'Site-uri'!$A$2:$A$20,0))</f>
        <v>eu-112.ro</v>
      </c>
      <c r="C1270" s="10" t="s">
        <v>204</v>
      </c>
      <c r="D1270" s="10" t="s">
        <v>219</v>
      </c>
      <c r="E1270" s="10" t="str">
        <f aca="false">INDEX(Canale!$C$2:$C$30,MATCH(C1270,Canale!$A$2:$A$30,0))</f>
        <v>a2a_agent_card</v>
      </c>
      <c r="F1270" s="10" t="str">
        <f aca="false">INDEX(Canale!$D$2:$D$30,MATCH(C1270,Canale!$A$2:$A$30,0))</f>
        <v>agent</v>
      </c>
      <c r="G1270" s="10" t="str">
        <f aca="false">INDEX('Site-uri'!$C$2:$C$20,MATCH(A1270,'Site-uri'!$A$2:$A$20,0))</f>
        <v>/</v>
      </c>
      <c r="H1270" s="10" t="str">
        <f aca="false">Config!$B$3</f>
        <v>2610_ff_lansare</v>
      </c>
      <c r="I1270" s="10" t="str">
        <f aca="false">D1270&amp;"_"&amp;Config!$B$4</f>
        <v>rece_general</v>
      </c>
      <c r="J1270" s="10" t="str">
        <f aca="false">"https://"&amp;B1270&amp;G1270&amp;"?utm_source="&amp;E1270&amp;"&amp;utm_medium="&amp;F1270&amp;"&amp;utm_campaign="&amp;H1270&amp;"&amp;utm_content="&amp;I1270</f>
        <v>https://eu-112.ro/?utm_source=a2a_agent_card&amp;utm_medium=agent&amp;utm_campaign=2610_ff_lansare&amp;utm_content=rece_general</v>
      </c>
    </row>
    <row r="1271" customFormat="false" ht="15" hidden="false" customHeight="false" outlineLevel="0" collapsed="false">
      <c r="A1271" s="10" t="s">
        <v>76</v>
      </c>
      <c r="B1271" s="10" t="str">
        <f aca="false">INDEX('Site-uri'!$B$2:$B$20,MATCH(A1271,'Site-uri'!$A$2:$A$20,0))</f>
        <v>eu-112.ro</v>
      </c>
      <c r="C1271" s="10" t="s">
        <v>204</v>
      </c>
      <c r="D1271" s="10" t="s">
        <v>225</v>
      </c>
      <c r="E1271" s="10" t="str">
        <f aca="false">INDEX(Canale!$C$2:$C$30,MATCH(C1271,Canale!$A$2:$A$30,0))</f>
        <v>a2a_agent_card</v>
      </c>
      <c r="F1271" s="10" t="str">
        <f aca="false">INDEX(Canale!$D$2:$D$30,MATCH(C1271,Canale!$A$2:$A$30,0))</f>
        <v>agent</v>
      </c>
      <c r="G1271" s="10" t="str">
        <f aca="false">INDEX('Site-uri'!$C$2:$C$20,MATCH(A1271,'Site-uri'!$A$2:$A$20,0))</f>
        <v>/</v>
      </c>
      <c r="H1271" s="10" t="str">
        <f aca="false">Config!$B$3</f>
        <v>2610_ff_lansare</v>
      </c>
      <c r="I1271" s="10" t="str">
        <f aca="false">D1271&amp;"_"&amp;Config!$B$4</f>
        <v>cald_general</v>
      </c>
      <c r="J1271" s="10" t="str">
        <f aca="false">"https://"&amp;B1271&amp;G1271&amp;"?utm_source="&amp;E1271&amp;"&amp;utm_medium="&amp;F1271&amp;"&amp;utm_campaign="&amp;H1271&amp;"&amp;utm_content="&amp;I1271</f>
        <v>https://eu-112.ro/?utm_source=a2a_agent_card&amp;utm_medium=agent&amp;utm_campaign=2610_ff_lansare&amp;utm_content=cald_general</v>
      </c>
    </row>
    <row r="1272" customFormat="false" ht="15" hidden="false" customHeight="false" outlineLevel="0" collapsed="false">
      <c r="A1272" s="10" t="s">
        <v>76</v>
      </c>
      <c r="B1272" s="10" t="str">
        <f aca="false">INDEX('Site-uri'!$B$2:$B$20,MATCH(A1272,'Site-uri'!$A$2:$A$20,0))</f>
        <v>eu-112.ro</v>
      </c>
      <c r="C1272" s="10" t="s">
        <v>204</v>
      </c>
      <c r="D1272" s="10" t="s">
        <v>231</v>
      </c>
      <c r="E1272" s="10" t="str">
        <f aca="false">INDEX(Canale!$C$2:$C$30,MATCH(C1272,Canale!$A$2:$A$30,0))</f>
        <v>a2a_agent_card</v>
      </c>
      <c r="F1272" s="10" t="str">
        <f aca="false">INDEX(Canale!$D$2:$D$30,MATCH(C1272,Canale!$A$2:$A$30,0))</f>
        <v>agent</v>
      </c>
      <c r="G1272" s="10" t="str">
        <f aca="false">INDEX('Site-uri'!$C$2:$C$20,MATCH(A1272,'Site-uri'!$A$2:$A$20,0))</f>
        <v>/</v>
      </c>
      <c r="H1272" s="10" t="str">
        <f aca="false">Config!$B$3</f>
        <v>2610_ff_lansare</v>
      </c>
      <c r="I1272" s="10" t="str">
        <f aca="false">D1272&amp;"_"&amp;Config!$B$4</f>
        <v>fierbinte_general</v>
      </c>
      <c r="J1272" s="10" t="str">
        <f aca="false">"https://"&amp;B1272&amp;G1272&amp;"?utm_source="&amp;E1272&amp;"&amp;utm_medium="&amp;F1272&amp;"&amp;utm_campaign="&amp;H1272&amp;"&amp;utm_content="&amp;I1272</f>
        <v>https://eu-112.ro/?utm_source=a2a_agent_card&amp;utm_medium=agent&amp;utm_campaign=2610_ff_lansare&amp;utm_content=fierbinte_general</v>
      </c>
    </row>
    <row r="1273" customFormat="false" ht="15" hidden="false" customHeight="false" outlineLevel="0" collapsed="false">
      <c r="A1273" s="10" t="s">
        <v>76</v>
      </c>
      <c r="B1273" s="10" t="str">
        <f aca="false">INDEX('Site-uri'!$B$2:$B$20,MATCH(A1273,'Site-uri'!$A$2:$A$20,0))</f>
        <v>eu-112.ro</v>
      </c>
      <c r="C1273" s="10" t="s">
        <v>204</v>
      </c>
      <c r="D1273" s="10" t="s">
        <v>237</v>
      </c>
      <c r="E1273" s="10" t="str">
        <f aca="false">INDEX(Canale!$C$2:$C$30,MATCH(C1273,Canale!$A$2:$A$30,0))</f>
        <v>a2a_agent_card</v>
      </c>
      <c r="F1273" s="10" t="str">
        <f aca="false">INDEX(Canale!$D$2:$D$30,MATCH(C1273,Canale!$A$2:$A$30,0))</f>
        <v>agent</v>
      </c>
      <c r="G1273" s="10" t="str">
        <f aca="false">INDEX('Site-uri'!$C$2:$C$20,MATCH(A1273,'Site-uri'!$A$2:$A$20,0))</f>
        <v>/</v>
      </c>
      <c r="H1273" s="10" t="str">
        <f aca="false">Config!$B$3</f>
        <v>2610_ff_lansare</v>
      </c>
      <c r="I1273" s="10" t="str">
        <f aca="false">D1273&amp;"_"&amp;Config!$B$4</f>
        <v>client_general</v>
      </c>
      <c r="J1273" s="10" t="str">
        <f aca="false">"https://"&amp;B1273&amp;G1273&amp;"?utm_source="&amp;E1273&amp;"&amp;utm_medium="&amp;F1273&amp;"&amp;utm_campaign="&amp;H1273&amp;"&amp;utm_content="&amp;I1273</f>
        <v>https://eu-112.ro/?utm_source=a2a_agent_card&amp;utm_medium=agent&amp;utm_campaign=2610_ff_lansare&amp;utm_content=client_general</v>
      </c>
    </row>
    <row r="1274" customFormat="false" ht="15" hidden="false" customHeight="false" outlineLevel="0" collapsed="false">
      <c r="A1274" s="10" t="s">
        <v>76</v>
      </c>
      <c r="B1274" s="10" t="str">
        <f aca="false">INDEX('Site-uri'!$B$2:$B$20,MATCH(A1274,'Site-uri'!$A$2:$A$20,0))</f>
        <v>eu-112.ro</v>
      </c>
      <c r="C1274" s="10" t="s">
        <v>209</v>
      </c>
      <c r="D1274" s="10" t="s">
        <v>219</v>
      </c>
      <c r="E1274" s="10" t="str">
        <f aca="false">INDEX(Canale!$C$2:$C$30,MATCH(C1274,Canale!$A$2:$A$30,0))</f>
        <v>llms_txt</v>
      </c>
      <c r="F1274" s="10" t="str">
        <f aca="false">INDEX(Canale!$D$2:$D$30,MATCH(C1274,Canale!$A$2:$A$30,0))</f>
        <v>ai_web</v>
      </c>
      <c r="G1274" s="10" t="str">
        <f aca="false">INDEX('Site-uri'!$C$2:$C$20,MATCH(A1274,'Site-uri'!$A$2:$A$20,0))</f>
        <v>/</v>
      </c>
      <c r="H1274" s="10" t="str">
        <f aca="false">Config!$B$3</f>
        <v>2610_ff_lansare</v>
      </c>
      <c r="I1274" s="10" t="str">
        <f aca="false">D1274&amp;"_"&amp;Config!$B$4</f>
        <v>rece_general</v>
      </c>
      <c r="J1274" s="10" t="str">
        <f aca="false">"https://"&amp;B1274&amp;G1274&amp;"?utm_source="&amp;E1274&amp;"&amp;utm_medium="&amp;F1274&amp;"&amp;utm_campaign="&amp;H1274&amp;"&amp;utm_content="&amp;I1274</f>
        <v>https://eu-112.ro/?utm_source=llms_txt&amp;utm_medium=ai_web&amp;utm_campaign=2610_ff_lansare&amp;utm_content=rece_general</v>
      </c>
    </row>
    <row r="1275" customFormat="false" ht="15" hidden="false" customHeight="false" outlineLevel="0" collapsed="false">
      <c r="A1275" s="10" t="s">
        <v>76</v>
      </c>
      <c r="B1275" s="10" t="str">
        <f aca="false">INDEX('Site-uri'!$B$2:$B$20,MATCH(A1275,'Site-uri'!$A$2:$A$20,0))</f>
        <v>eu-112.ro</v>
      </c>
      <c r="C1275" s="10" t="s">
        <v>209</v>
      </c>
      <c r="D1275" s="10" t="s">
        <v>225</v>
      </c>
      <c r="E1275" s="10" t="str">
        <f aca="false">INDEX(Canale!$C$2:$C$30,MATCH(C1275,Canale!$A$2:$A$30,0))</f>
        <v>llms_txt</v>
      </c>
      <c r="F1275" s="10" t="str">
        <f aca="false">INDEX(Canale!$D$2:$D$30,MATCH(C1275,Canale!$A$2:$A$30,0))</f>
        <v>ai_web</v>
      </c>
      <c r="G1275" s="10" t="str">
        <f aca="false">INDEX('Site-uri'!$C$2:$C$20,MATCH(A1275,'Site-uri'!$A$2:$A$20,0))</f>
        <v>/</v>
      </c>
      <c r="H1275" s="10" t="str">
        <f aca="false">Config!$B$3</f>
        <v>2610_ff_lansare</v>
      </c>
      <c r="I1275" s="10" t="str">
        <f aca="false">D1275&amp;"_"&amp;Config!$B$4</f>
        <v>cald_general</v>
      </c>
      <c r="J1275" s="10" t="str">
        <f aca="false">"https://"&amp;B1275&amp;G1275&amp;"?utm_source="&amp;E1275&amp;"&amp;utm_medium="&amp;F1275&amp;"&amp;utm_campaign="&amp;H1275&amp;"&amp;utm_content="&amp;I1275</f>
        <v>https://eu-112.ro/?utm_source=llms_txt&amp;utm_medium=ai_web&amp;utm_campaign=2610_ff_lansare&amp;utm_content=cald_general</v>
      </c>
    </row>
    <row r="1276" customFormat="false" ht="15" hidden="false" customHeight="false" outlineLevel="0" collapsed="false">
      <c r="A1276" s="10" t="s">
        <v>76</v>
      </c>
      <c r="B1276" s="10" t="str">
        <f aca="false">INDEX('Site-uri'!$B$2:$B$20,MATCH(A1276,'Site-uri'!$A$2:$A$20,0))</f>
        <v>eu-112.ro</v>
      </c>
      <c r="C1276" s="10" t="s">
        <v>209</v>
      </c>
      <c r="D1276" s="10" t="s">
        <v>231</v>
      </c>
      <c r="E1276" s="10" t="str">
        <f aca="false">INDEX(Canale!$C$2:$C$30,MATCH(C1276,Canale!$A$2:$A$30,0))</f>
        <v>llms_txt</v>
      </c>
      <c r="F1276" s="10" t="str">
        <f aca="false">INDEX(Canale!$D$2:$D$30,MATCH(C1276,Canale!$A$2:$A$30,0))</f>
        <v>ai_web</v>
      </c>
      <c r="G1276" s="10" t="str">
        <f aca="false">INDEX('Site-uri'!$C$2:$C$20,MATCH(A1276,'Site-uri'!$A$2:$A$20,0))</f>
        <v>/</v>
      </c>
      <c r="H1276" s="10" t="str">
        <f aca="false">Config!$B$3</f>
        <v>2610_ff_lansare</v>
      </c>
      <c r="I1276" s="10" t="str">
        <f aca="false">D1276&amp;"_"&amp;Config!$B$4</f>
        <v>fierbinte_general</v>
      </c>
      <c r="J1276" s="10" t="str">
        <f aca="false">"https://"&amp;B1276&amp;G1276&amp;"?utm_source="&amp;E1276&amp;"&amp;utm_medium="&amp;F1276&amp;"&amp;utm_campaign="&amp;H1276&amp;"&amp;utm_content="&amp;I1276</f>
        <v>https://eu-112.ro/?utm_source=llms_txt&amp;utm_medium=ai_web&amp;utm_campaign=2610_ff_lansare&amp;utm_content=fierbinte_general</v>
      </c>
    </row>
    <row r="1277" customFormat="false" ht="15" hidden="false" customHeight="false" outlineLevel="0" collapsed="false">
      <c r="A1277" s="10" t="s">
        <v>76</v>
      </c>
      <c r="B1277" s="10" t="str">
        <f aca="false">INDEX('Site-uri'!$B$2:$B$20,MATCH(A1277,'Site-uri'!$A$2:$A$20,0))</f>
        <v>eu-112.ro</v>
      </c>
      <c r="C1277" s="10" t="s">
        <v>209</v>
      </c>
      <c r="D1277" s="10" t="s">
        <v>237</v>
      </c>
      <c r="E1277" s="10" t="str">
        <f aca="false">INDEX(Canale!$C$2:$C$30,MATCH(C1277,Canale!$A$2:$A$30,0))</f>
        <v>llms_txt</v>
      </c>
      <c r="F1277" s="10" t="str">
        <f aca="false">INDEX(Canale!$D$2:$D$30,MATCH(C1277,Canale!$A$2:$A$30,0))</f>
        <v>ai_web</v>
      </c>
      <c r="G1277" s="10" t="str">
        <f aca="false">INDEX('Site-uri'!$C$2:$C$20,MATCH(A1277,'Site-uri'!$A$2:$A$20,0))</f>
        <v>/</v>
      </c>
      <c r="H1277" s="10" t="str">
        <f aca="false">Config!$B$3</f>
        <v>2610_ff_lansare</v>
      </c>
      <c r="I1277" s="10" t="str">
        <f aca="false">D1277&amp;"_"&amp;Config!$B$4</f>
        <v>client_general</v>
      </c>
      <c r="J1277" s="10" t="str">
        <f aca="false">"https://"&amp;B1277&amp;G1277&amp;"?utm_source="&amp;E1277&amp;"&amp;utm_medium="&amp;F1277&amp;"&amp;utm_campaign="&amp;H1277&amp;"&amp;utm_content="&amp;I1277</f>
        <v>https://eu-112.ro/?utm_source=llms_txt&amp;utm_medium=ai_web&amp;utm_campaign=2610_ff_lansare&amp;utm_content=client_general</v>
      </c>
    </row>
    <row r="1278" customFormat="false" ht="15" hidden="false" customHeight="false" outlineLevel="0" collapsed="false">
      <c r="A1278" s="10" t="s">
        <v>79</v>
      </c>
      <c r="B1278" s="10" t="str">
        <f aca="false">INDEX('Site-uri'!$B$2:$B$20,MATCH(A1278,'Site-uri'!$A$2:$A$20,0))</f>
        <v>eu-112.eu</v>
      </c>
      <c r="C1278" s="10" t="s">
        <v>104</v>
      </c>
      <c r="D1278" s="10" t="s">
        <v>219</v>
      </c>
      <c r="E1278" s="10" t="str">
        <f aca="false">INDEX(Canale!$C$2:$C$30,MATCH(C1278,Canale!$A$2:$A$30,0))</f>
        <v>linkedin_personal</v>
      </c>
      <c r="F1278" s="10" t="str">
        <f aca="false">INDEX(Canale!$D$2:$D$30,MATCH(C1278,Canale!$A$2:$A$30,0))</f>
        <v>social</v>
      </c>
      <c r="G1278" s="10" t="str">
        <f aca="false">INDEX('Site-uri'!$C$2:$C$20,MATCH(A1278,'Site-uri'!$A$2:$A$20,0))</f>
        <v>/</v>
      </c>
      <c r="H1278" s="10" t="str">
        <f aca="false">Config!$B$3</f>
        <v>2610_ff_lansare</v>
      </c>
      <c r="I1278" s="10" t="str">
        <f aca="false">D1278&amp;"_"&amp;Config!$B$4</f>
        <v>rece_general</v>
      </c>
      <c r="J1278" s="10" t="str">
        <f aca="false">"https://"&amp;B1278&amp;G1278&amp;"?utm_source="&amp;E1278&amp;"&amp;utm_medium="&amp;F1278&amp;"&amp;utm_campaign="&amp;H1278&amp;"&amp;utm_content="&amp;I1278</f>
        <v>https://eu-112.eu/?utm_source=linkedin_personal&amp;utm_medium=social&amp;utm_campaign=2610_ff_lansare&amp;utm_content=rece_general</v>
      </c>
    </row>
    <row r="1279" customFormat="false" ht="15" hidden="false" customHeight="false" outlineLevel="0" collapsed="false">
      <c r="A1279" s="10" t="s">
        <v>79</v>
      </c>
      <c r="B1279" s="10" t="str">
        <f aca="false">INDEX('Site-uri'!$B$2:$B$20,MATCH(A1279,'Site-uri'!$A$2:$A$20,0))</f>
        <v>eu-112.eu</v>
      </c>
      <c r="C1279" s="10" t="s">
        <v>104</v>
      </c>
      <c r="D1279" s="10" t="s">
        <v>225</v>
      </c>
      <c r="E1279" s="10" t="str">
        <f aca="false">INDEX(Canale!$C$2:$C$30,MATCH(C1279,Canale!$A$2:$A$30,0))</f>
        <v>linkedin_personal</v>
      </c>
      <c r="F1279" s="10" t="str">
        <f aca="false">INDEX(Canale!$D$2:$D$30,MATCH(C1279,Canale!$A$2:$A$30,0))</f>
        <v>social</v>
      </c>
      <c r="G1279" s="10" t="str">
        <f aca="false">INDEX('Site-uri'!$C$2:$C$20,MATCH(A1279,'Site-uri'!$A$2:$A$20,0))</f>
        <v>/</v>
      </c>
      <c r="H1279" s="10" t="str">
        <f aca="false">Config!$B$3</f>
        <v>2610_ff_lansare</v>
      </c>
      <c r="I1279" s="10" t="str">
        <f aca="false">D1279&amp;"_"&amp;Config!$B$4</f>
        <v>cald_general</v>
      </c>
      <c r="J1279" s="10" t="str">
        <f aca="false">"https://"&amp;B1279&amp;G1279&amp;"?utm_source="&amp;E1279&amp;"&amp;utm_medium="&amp;F1279&amp;"&amp;utm_campaign="&amp;H1279&amp;"&amp;utm_content="&amp;I1279</f>
        <v>https://eu-112.eu/?utm_source=linkedin_personal&amp;utm_medium=social&amp;utm_campaign=2610_ff_lansare&amp;utm_content=cald_general</v>
      </c>
    </row>
    <row r="1280" customFormat="false" ht="15" hidden="false" customHeight="false" outlineLevel="0" collapsed="false">
      <c r="A1280" s="10" t="s">
        <v>79</v>
      </c>
      <c r="B1280" s="10" t="str">
        <f aca="false">INDEX('Site-uri'!$B$2:$B$20,MATCH(A1280,'Site-uri'!$A$2:$A$20,0))</f>
        <v>eu-112.eu</v>
      </c>
      <c r="C1280" s="10" t="s">
        <v>104</v>
      </c>
      <c r="D1280" s="10" t="s">
        <v>231</v>
      </c>
      <c r="E1280" s="10" t="str">
        <f aca="false">INDEX(Canale!$C$2:$C$30,MATCH(C1280,Canale!$A$2:$A$30,0))</f>
        <v>linkedin_personal</v>
      </c>
      <c r="F1280" s="10" t="str">
        <f aca="false">INDEX(Canale!$D$2:$D$30,MATCH(C1280,Canale!$A$2:$A$30,0))</f>
        <v>social</v>
      </c>
      <c r="G1280" s="10" t="str">
        <f aca="false">INDEX('Site-uri'!$C$2:$C$20,MATCH(A1280,'Site-uri'!$A$2:$A$20,0))</f>
        <v>/</v>
      </c>
      <c r="H1280" s="10" t="str">
        <f aca="false">Config!$B$3</f>
        <v>2610_ff_lansare</v>
      </c>
      <c r="I1280" s="10" t="str">
        <f aca="false">D1280&amp;"_"&amp;Config!$B$4</f>
        <v>fierbinte_general</v>
      </c>
      <c r="J1280" s="10" t="str">
        <f aca="false">"https://"&amp;B1280&amp;G1280&amp;"?utm_source="&amp;E1280&amp;"&amp;utm_medium="&amp;F1280&amp;"&amp;utm_campaign="&amp;H1280&amp;"&amp;utm_content="&amp;I1280</f>
        <v>https://eu-112.eu/?utm_source=linkedin_personal&amp;utm_medium=social&amp;utm_campaign=2610_ff_lansare&amp;utm_content=fierbinte_general</v>
      </c>
    </row>
    <row r="1281" customFormat="false" ht="15" hidden="false" customHeight="false" outlineLevel="0" collapsed="false">
      <c r="A1281" s="10" t="s">
        <v>79</v>
      </c>
      <c r="B1281" s="10" t="str">
        <f aca="false">INDEX('Site-uri'!$B$2:$B$20,MATCH(A1281,'Site-uri'!$A$2:$A$20,0))</f>
        <v>eu-112.eu</v>
      </c>
      <c r="C1281" s="10" t="s">
        <v>104</v>
      </c>
      <c r="D1281" s="10" t="s">
        <v>237</v>
      </c>
      <c r="E1281" s="10" t="str">
        <f aca="false">INDEX(Canale!$C$2:$C$30,MATCH(C1281,Canale!$A$2:$A$30,0))</f>
        <v>linkedin_personal</v>
      </c>
      <c r="F1281" s="10" t="str">
        <f aca="false">INDEX(Canale!$D$2:$D$30,MATCH(C1281,Canale!$A$2:$A$30,0))</f>
        <v>social</v>
      </c>
      <c r="G1281" s="10" t="str">
        <f aca="false">INDEX('Site-uri'!$C$2:$C$20,MATCH(A1281,'Site-uri'!$A$2:$A$20,0))</f>
        <v>/</v>
      </c>
      <c r="H1281" s="10" t="str">
        <f aca="false">Config!$B$3</f>
        <v>2610_ff_lansare</v>
      </c>
      <c r="I1281" s="10" t="str">
        <f aca="false">D1281&amp;"_"&amp;Config!$B$4</f>
        <v>client_general</v>
      </c>
      <c r="J1281" s="10" t="str">
        <f aca="false">"https://"&amp;B1281&amp;G1281&amp;"?utm_source="&amp;E1281&amp;"&amp;utm_medium="&amp;F1281&amp;"&amp;utm_campaign="&amp;H1281&amp;"&amp;utm_content="&amp;I1281</f>
        <v>https://eu-112.eu/?utm_source=linkedin_personal&amp;utm_medium=social&amp;utm_campaign=2610_ff_lansare&amp;utm_content=client_general</v>
      </c>
    </row>
    <row r="1282" customFormat="false" ht="15" hidden="false" customHeight="false" outlineLevel="0" collapsed="false">
      <c r="A1282" s="10" t="s">
        <v>79</v>
      </c>
      <c r="B1282" s="10" t="str">
        <f aca="false">INDEX('Site-uri'!$B$2:$B$20,MATCH(A1282,'Site-uri'!$A$2:$A$20,0))</f>
        <v>eu-112.eu</v>
      </c>
      <c r="C1282" s="10" t="s">
        <v>109</v>
      </c>
      <c r="D1282" s="10" t="s">
        <v>219</v>
      </c>
      <c r="E1282" s="10" t="str">
        <f aca="false">INDEX(Canale!$C$2:$C$30,MATCH(C1282,Canale!$A$2:$A$30,0))</f>
        <v>linkedin_company</v>
      </c>
      <c r="F1282" s="10" t="str">
        <f aca="false">INDEX(Canale!$D$2:$D$30,MATCH(C1282,Canale!$A$2:$A$30,0))</f>
        <v>social</v>
      </c>
      <c r="G1282" s="10" t="str">
        <f aca="false">INDEX('Site-uri'!$C$2:$C$20,MATCH(A1282,'Site-uri'!$A$2:$A$20,0))</f>
        <v>/</v>
      </c>
      <c r="H1282" s="10" t="str">
        <f aca="false">Config!$B$3</f>
        <v>2610_ff_lansare</v>
      </c>
      <c r="I1282" s="10" t="str">
        <f aca="false">D1282&amp;"_"&amp;Config!$B$4</f>
        <v>rece_general</v>
      </c>
      <c r="J1282" s="10" t="str">
        <f aca="false">"https://"&amp;B1282&amp;G1282&amp;"?utm_source="&amp;E1282&amp;"&amp;utm_medium="&amp;F1282&amp;"&amp;utm_campaign="&amp;H1282&amp;"&amp;utm_content="&amp;I1282</f>
        <v>https://eu-112.eu/?utm_source=linkedin_company&amp;utm_medium=social&amp;utm_campaign=2610_ff_lansare&amp;utm_content=rece_general</v>
      </c>
    </row>
    <row r="1283" customFormat="false" ht="15" hidden="false" customHeight="false" outlineLevel="0" collapsed="false">
      <c r="A1283" s="10" t="s">
        <v>79</v>
      </c>
      <c r="B1283" s="10" t="str">
        <f aca="false">INDEX('Site-uri'!$B$2:$B$20,MATCH(A1283,'Site-uri'!$A$2:$A$20,0))</f>
        <v>eu-112.eu</v>
      </c>
      <c r="C1283" s="10" t="s">
        <v>109</v>
      </c>
      <c r="D1283" s="10" t="s">
        <v>225</v>
      </c>
      <c r="E1283" s="10" t="str">
        <f aca="false">INDEX(Canale!$C$2:$C$30,MATCH(C1283,Canale!$A$2:$A$30,0))</f>
        <v>linkedin_company</v>
      </c>
      <c r="F1283" s="10" t="str">
        <f aca="false">INDEX(Canale!$D$2:$D$30,MATCH(C1283,Canale!$A$2:$A$30,0))</f>
        <v>social</v>
      </c>
      <c r="G1283" s="10" t="str">
        <f aca="false">INDEX('Site-uri'!$C$2:$C$20,MATCH(A1283,'Site-uri'!$A$2:$A$20,0))</f>
        <v>/</v>
      </c>
      <c r="H1283" s="10" t="str">
        <f aca="false">Config!$B$3</f>
        <v>2610_ff_lansare</v>
      </c>
      <c r="I1283" s="10" t="str">
        <f aca="false">D1283&amp;"_"&amp;Config!$B$4</f>
        <v>cald_general</v>
      </c>
      <c r="J1283" s="10" t="str">
        <f aca="false">"https://"&amp;B1283&amp;G1283&amp;"?utm_source="&amp;E1283&amp;"&amp;utm_medium="&amp;F1283&amp;"&amp;utm_campaign="&amp;H1283&amp;"&amp;utm_content="&amp;I1283</f>
        <v>https://eu-112.eu/?utm_source=linkedin_company&amp;utm_medium=social&amp;utm_campaign=2610_ff_lansare&amp;utm_content=cald_general</v>
      </c>
    </row>
    <row r="1284" customFormat="false" ht="15" hidden="false" customHeight="false" outlineLevel="0" collapsed="false">
      <c r="A1284" s="10" t="s">
        <v>79</v>
      </c>
      <c r="B1284" s="10" t="str">
        <f aca="false">INDEX('Site-uri'!$B$2:$B$20,MATCH(A1284,'Site-uri'!$A$2:$A$20,0))</f>
        <v>eu-112.eu</v>
      </c>
      <c r="C1284" s="10" t="s">
        <v>109</v>
      </c>
      <c r="D1284" s="10" t="s">
        <v>231</v>
      </c>
      <c r="E1284" s="10" t="str">
        <f aca="false">INDEX(Canale!$C$2:$C$30,MATCH(C1284,Canale!$A$2:$A$30,0))</f>
        <v>linkedin_company</v>
      </c>
      <c r="F1284" s="10" t="str">
        <f aca="false">INDEX(Canale!$D$2:$D$30,MATCH(C1284,Canale!$A$2:$A$30,0))</f>
        <v>social</v>
      </c>
      <c r="G1284" s="10" t="str">
        <f aca="false">INDEX('Site-uri'!$C$2:$C$20,MATCH(A1284,'Site-uri'!$A$2:$A$20,0))</f>
        <v>/</v>
      </c>
      <c r="H1284" s="10" t="str">
        <f aca="false">Config!$B$3</f>
        <v>2610_ff_lansare</v>
      </c>
      <c r="I1284" s="10" t="str">
        <f aca="false">D1284&amp;"_"&amp;Config!$B$4</f>
        <v>fierbinte_general</v>
      </c>
      <c r="J1284" s="10" t="str">
        <f aca="false">"https://"&amp;B1284&amp;G1284&amp;"?utm_source="&amp;E1284&amp;"&amp;utm_medium="&amp;F1284&amp;"&amp;utm_campaign="&amp;H1284&amp;"&amp;utm_content="&amp;I1284</f>
        <v>https://eu-112.eu/?utm_source=linkedin_company&amp;utm_medium=social&amp;utm_campaign=2610_ff_lansare&amp;utm_content=fierbinte_general</v>
      </c>
    </row>
    <row r="1285" customFormat="false" ht="15" hidden="false" customHeight="false" outlineLevel="0" collapsed="false">
      <c r="A1285" s="10" t="s">
        <v>79</v>
      </c>
      <c r="B1285" s="10" t="str">
        <f aca="false">INDEX('Site-uri'!$B$2:$B$20,MATCH(A1285,'Site-uri'!$A$2:$A$20,0))</f>
        <v>eu-112.eu</v>
      </c>
      <c r="C1285" s="10" t="s">
        <v>109</v>
      </c>
      <c r="D1285" s="10" t="s">
        <v>237</v>
      </c>
      <c r="E1285" s="10" t="str">
        <f aca="false">INDEX(Canale!$C$2:$C$30,MATCH(C1285,Canale!$A$2:$A$30,0))</f>
        <v>linkedin_company</v>
      </c>
      <c r="F1285" s="10" t="str">
        <f aca="false">INDEX(Canale!$D$2:$D$30,MATCH(C1285,Canale!$A$2:$A$30,0))</f>
        <v>social</v>
      </c>
      <c r="G1285" s="10" t="str">
        <f aca="false">INDEX('Site-uri'!$C$2:$C$20,MATCH(A1285,'Site-uri'!$A$2:$A$20,0))</f>
        <v>/</v>
      </c>
      <c r="H1285" s="10" t="str">
        <f aca="false">Config!$B$3</f>
        <v>2610_ff_lansare</v>
      </c>
      <c r="I1285" s="10" t="str">
        <f aca="false">D1285&amp;"_"&amp;Config!$B$4</f>
        <v>client_general</v>
      </c>
      <c r="J1285" s="10" t="str">
        <f aca="false">"https://"&amp;B1285&amp;G1285&amp;"?utm_source="&amp;E1285&amp;"&amp;utm_medium="&amp;F1285&amp;"&amp;utm_campaign="&amp;H1285&amp;"&amp;utm_content="&amp;I1285</f>
        <v>https://eu-112.eu/?utm_source=linkedin_company&amp;utm_medium=social&amp;utm_campaign=2610_ff_lansare&amp;utm_content=client_general</v>
      </c>
    </row>
    <row r="1286" customFormat="false" ht="15" hidden="false" customHeight="false" outlineLevel="0" collapsed="false">
      <c r="A1286" s="10" t="s">
        <v>79</v>
      </c>
      <c r="B1286" s="10" t="str">
        <f aca="false">INDEX('Site-uri'!$B$2:$B$20,MATCH(A1286,'Site-uri'!$A$2:$A$20,0))</f>
        <v>eu-112.eu</v>
      </c>
      <c r="C1286" s="10" t="s">
        <v>112</v>
      </c>
      <c r="D1286" s="10" t="s">
        <v>219</v>
      </c>
      <c r="E1286" s="10" t="str">
        <f aca="false">INDEX(Canale!$C$2:$C$30,MATCH(C1286,Canale!$A$2:$A$30,0))</f>
        <v>linkedin_showcase</v>
      </c>
      <c r="F1286" s="10" t="str">
        <f aca="false">INDEX(Canale!$D$2:$D$30,MATCH(C1286,Canale!$A$2:$A$30,0))</f>
        <v>social</v>
      </c>
      <c r="G1286" s="10" t="str">
        <f aca="false">INDEX('Site-uri'!$C$2:$C$20,MATCH(A1286,'Site-uri'!$A$2:$A$20,0))</f>
        <v>/</v>
      </c>
      <c r="H1286" s="10" t="str">
        <f aca="false">Config!$B$3</f>
        <v>2610_ff_lansare</v>
      </c>
      <c r="I1286" s="10" t="str">
        <f aca="false">D1286&amp;"_"&amp;Config!$B$4</f>
        <v>rece_general</v>
      </c>
      <c r="J1286" s="10" t="str">
        <f aca="false">"https://"&amp;B1286&amp;G1286&amp;"?utm_source="&amp;E1286&amp;"&amp;utm_medium="&amp;F1286&amp;"&amp;utm_campaign="&amp;H1286&amp;"&amp;utm_content="&amp;I1286</f>
        <v>https://eu-112.eu/?utm_source=linkedin_showcase&amp;utm_medium=social&amp;utm_campaign=2610_ff_lansare&amp;utm_content=rece_general</v>
      </c>
    </row>
    <row r="1287" customFormat="false" ht="15" hidden="false" customHeight="false" outlineLevel="0" collapsed="false">
      <c r="A1287" s="10" t="s">
        <v>79</v>
      </c>
      <c r="B1287" s="10" t="str">
        <f aca="false">INDEX('Site-uri'!$B$2:$B$20,MATCH(A1287,'Site-uri'!$A$2:$A$20,0))</f>
        <v>eu-112.eu</v>
      </c>
      <c r="C1287" s="10" t="s">
        <v>112</v>
      </c>
      <c r="D1287" s="10" t="s">
        <v>225</v>
      </c>
      <c r="E1287" s="10" t="str">
        <f aca="false">INDEX(Canale!$C$2:$C$30,MATCH(C1287,Canale!$A$2:$A$30,0))</f>
        <v>linkedin_showcase</v>
      </c>
      <c r="F1287" s="10" t="str">
        <f aca="false">INDEX(Canale!$D$2:$D$30,MATCH(C1287,Canale!$A$2:$A$30,0))</f>
        <v>social</v>
      </c>
      <c r="G1287" s="10" t="str">
        <f aca="false">INDEX('Site-uri'!$C$2:$C$20,MATCH(A1287,'Site-uri'!$A$2:$A$20,0))</f>
        <v>/</v>
      </c>
      <c r="H1287" s="10" t="str">
        <f aca="false">Config!$B$3</f>
        <v>2610_ff_lansare</v>
      </c>
      <c r="I1287" s="10" t="str">
        <f aca="false">D1287&amp;"_"&amp;Config!$B$4</f>
        <v>cald_general</v>
      </c>
      <c r="J1287" s="10" t="str">
        <f aca="false">"https://"&amp;B1287&amp;G1287&amp;"?utm_source="&amp;E1287&amp;"&amp;utm_medium="&amp;F1287&amp;"&amp;utm_campaign="&amp;H1287&amp;"&amp;utm_content="&amp;I1287</f>
        <v>https://eu-112.eu/?utm_source=linkedin_showcase&amp;utm_medium=social&amp;utm_campaign=2610_ff_lansare&amp;utm_content=cald_general</v>
      </c>
    </row>
    <row r="1288" customFormat="false" ht="15" hidden="false" customHeight="false" outlineLevel="0" collapsed="false">
      <c r="A1288" s="10" t="s">
        <v>79</v>
      </c>
      <c r="B1288" s="10" t="str">
        <f aca="false">INDEX('Site-uri'!$B$2:$B$20,MATCH(A1288,'Site-uri'!$A$2:$A$20,0))</f>
        <v>eu-112.eu</v>
      </c>
      <c r="C1288" s="10" t="s">
        <v>112</v>
      </c>
      <c r="D1288" s="10" t="s">
        <v>231</v>
      </c>
      <c r="E1288" s="10" t="str">
        <f aca="false">INDEX(Canale!$C$2:$C$30,MATCH(C1288,Canale!$A$2:$A$30,0))</f>
        <v>linkedin_showcase</v>
      </c>
      <c r="F1288" s="10" t="str">
        <f aca="false">INDEX(Canale!$D$2:$D$30,MATCH(C1288,Canale!$A$2:$A$30,0))</f>
        <v>social</v>
      </c>
      <c r="G1288" s="10" t="str">
        <f aca="false">INDEX('Site-uri'!$C$2:$C$20,MATCH(A1288,'Site-uri'!$A$2:$A$20,0))</f>
        <v>/</v>
      </c>
      <c r="H1288" s="10" t="str">
        <f aca="false">Config!$B$3</f>
        <v>2610_ff_lansare</v>
      </c>
      <c r="I1288" s="10" t="str">
        <f aca="false">D1288&amp;"_"&amp;Config!$B$4</f>
        <v>fierbinte_general</v>
      </c>
      <c r="J1288" s="10" t="str">
        <f aca="false">"https://"&amp;B1288&amp;G1288&amp;"?utm_source="&amp;E1288&amp;"&amp;utm_medium="&amp;F1288&amp;"&amp;utm_campaign="&amp;H1288&amp;"&amp;utm_content="&amp;I1288</f>
        <v>https://eu-112.eu/?utm_source=linkedin_showcase&amp;utm_medium=social&amp;utm_campaign=2610_ff_lansare&amp;utm_content=fierbinte_general</v>
      </c>
    </row>
    <row r="1289" customFormat="false" ht="15" hidden="false" customHeight="false" outlineLevel="0" collapsed="false">
      <c r="A1289" s="10" t="s">
        <v>79</v>
      </c>
      <c r="B1289" s="10" t="str">
        <f aca="false">INDEX('Site-uri'!$B$2:$B$20,MATCH(A1289,'Site-uri'!$A$2:$A$20,0))</f>
        <v>eu-112.eu</v>
      </c>
      <c r="C1289" s="10" t="s">
        <v>112</v>
      </c>
      <c r="D1289" s="10" t="s">
        <v>237</v>
      </c>
      <c r="E1289" s="10" t="str">
        <f aca="false">INDEX(Canale!$C$2:$C$30,MATCH(C1289,Canale!$A$2:$A$30,0))</f>
        <v>linkedin_showcase</v>
      </c>
      <c r="F1289" s="10" t="str">
        <f aca="false">INDEX(Canale!$D$2:$D$30,MATCH(C1289,Canale!$A$2:$A$30,0))</f>
        <v>social</v>
      </c>
      <c r="G1289" s="10" t="str">
        <f aca="false">INDEX('Site-uri'!$C$2:$C$20,MATCH(A1289,'Site-uri'!$A$2:$A$20,0))</f>
        <v>/</v>
      </c>
      <c r="H1289" s="10" t="str">
        <f aca="false">Config!$B$3</f>
        <v>2610_ff_lansare</v>
      </c>
      <c r="I1289" s="10" t="str">
        <f aca="false">D1289&amp;"_"&amp;Config!$B$4</f>
        <v>client_general</v>
      </c>
      <c r="J1289" s="10" t="str">
        <f aca="false">"https://"&amp;B1289&amp;G1289&amp;"?utm_source="&amp;E1289&amp;"&amp;utm_medium="&amp;F1289&amp;"&amp;utm_campaign="&amp;H1289&amp;"&amp;utm_content="&amp;I1289</f>
        <v>https://eu-112.eu/?utm_source=linkedin_showcase&amp;utm_medium=social&amp;utm_campaign=2610_ff_lansare&amp;utm_content=client_general</v>
      </c>
    </row>
    <row r="1290" customFormat="false" ht="15" hidden="false" customHeight="false" outlineLevel="0" collapsed="false">
      <c r="A1290" s="10" t="s">
        <v>79</v>
      </c>
      <c r="B1290" s="10" t="str">
        <f aca="false">INDEX('Site-uri'!$B$2:$B$20,MATCH(A1290,'Site-uri'!$A$2:$A$20,0))</f>
        <v>eu-112.eu</v>
      </c>
      <c r="C1290" s="10" t="s">
        <v>115</v>
      </c>
      <c r="D1290" s="10" t="s">
        <v>219</v>
      </c>
      <c r="E1290" s="10" t="str">
        <f aca="false">INDEX(Canale!$C$2:$C$30,MATCH(C1290,Canale!$A$2:$A$30,0))</f>
        <v>linkedin_newsletter</v>
      </c>
      <c r="F1290" s="10" t="str">
        <f aca="false">INDEX(Canale!$D$2:$D$30,MATCH(C1290,Canale!$A$2:$A$30,0))</f>
        <v>social</v>
      </c>
      <c r="G1290" s="10" t="str">
        <f aca="false">INDEX('Site-uri'!$C$2:$C$20,MATCH(A1290,'Site-uri'!$A$2:$A$20,0))</f>
        <v>/</v>
      </c>
      <c r="H1290" s="10" t="str">
        <f aca="false">Config!$B$3</f>
        <v>2610_ff_lansare</v>
      </c>
      <c r="I1290" s="10" t="str">
        <f aca="false">D1290&amp;"_"&amp;Config!$B$4</f>
        <v>rece_general</v>
      </c>
      <c r="J1290" s="10" t="str">
        <f aca="false">"https://"&amp;B1290&amp;G1290&amp;"?utm_source="&amp;E1290&amp;"&amp;utm_medium="&amp;F1290&amp;"&amp;utm_campaign="&amp;H1290&amp;"&amp;utm_content="&amp;I1290</f>
        <v>https://eu-112.eu/?utm_source=linkedin_newsletter&amp;utm_medium=social&amp;utm_campaign=2610_ff_lansare&amp;utm_content=rece_general</v>
      </c>
    </row>
    <row r="1291" customFormat="false" ht="15" hidden="false" customHeight="false" outlineLevel="0" collapsed="false">
      <c r="A1291" s="10" t="s">
        <v>79</v>
      </c>
      <c r="B1291" s="10" t="str">
        <f aca="false">INDEX('Site-uri'!$B$2:$B$20,MATCH(A1291,'Site-uri'!$A$2:$A$20,0))</f>
        <v>eu-112.eu</v>
      </c>
      <c r="C1291" s="10" t="s">
        <v>115</v>
      </c>
      <c r="D1291" s="10" t="s">
        <v>225</v>
      </c>
      <c r="E1291" s="10" t="str">
        <f aca="false">INDEX(Canale!$C$2:$C$30,MATCH(C1291,Canale!$A$2:$A$30,0))</f>
        <v>linkedin_newsletter</v>
      </c>
      <c r="F1291" s="10" t="str">
        <f aca="false">INDEX(Canale!$D$2:$D$30,MATCH(C1291,Canale!$A$2:$A$30,0))</f>
        <v>social</v>
      </c>
      <c r="G1291" s="10" t="str">
        <f aca="false">INDEX('Site-uri'!$C$2:$C$20,MATCH(A1291,'Site-uri'!$A$2:$A$20,0))</f>
        <v>/</v>
      </c>
      <c r="H1291" s="10" t="str">
        <f aca="false">Config!$B$3</f>
        <v>2610_ff_lansare</v>
      </c>
      <c r="I1291" s="10" t="str">
        <f aca="false">D1291&amp;"_"&amp;Config!$B$4</f>
        <v>cald_general</v>
      </c>
      <c r="J1291" s="10" t="str">
        <f aca="false">"https://"&amp;B1291&amp;G1291&amp;"?utm_source="&amp;E1291&amp;"&amp;utm_medium="&amp;F1291&amp;"&amp;utm_campaign="&amp;H1291&amp;"&amp;utm_content="&amp;I1291</f>
        <v>https://eu-112.eu/?utm_source=linkedin_newsletter&amp;utm_medium=social&amp;utm_campaign=2610_ff_lansare&amp;utm_content=cald_general</v>
      </c>
    </row>
    <row r="1292" customFormat="false" ht="15" hidden="false" customHeight="false" outlineLevel="0" collapsed="false">
      <c r="A1292" s="10" t="s">
        <v>79</v>
      </c>
      <c r="B1292" s="10" t="str">
        <f aca="false">INDEX('Site-uri'!$B$2:$B$20,MATCH(A1292,'Site-uri'!$A$2:$A$20,0))</f>
        <v>eu-112.eu</v>
      </c>
      <c r="C1292" s="10" t="s">
        <v>115</v>
      </c>
      <c r="D1292" s="10" t="s">
        <v>231</v>
      </c>
      <c r="E1292" s="10" t="str">
        <f aca="false">INDEX(Canale!$C$2:$C$30,MATCH(C1292,Canale!$A$2:$A$30,0))</f>
        <v>linkedin_newsletter</v>
      </c>
      <c r="F1292" s="10" t="str">
        <f aca="false">INDEX(Canale!$D$2:$D$30,MATCH(C1292,Canale!$A$2:$A$30,0))</f>
        <v>social</v>
      </c>
      <c r="G1292" s="10" t="str">
        <f aca="false">INDEX('Site-uri'!$C$2:$C$20,MATCH(A1292,'Site-uri'!$A$2:$A$20,0))</f>
        <v>/</v>
      </c>
      <c r="H1292" s="10" t="str">
        <f aca="false">Config!$B$3</f>
        <v>2610_ff_lansare</v>
      </c>
      <c r="I1292" s="10" t="str">
        <f aca="false">D1292&amp;"_"&amp;Config!$B$4</f>
        <v>fierbinte_general</v>
      </c>
      <c r="J1292" s="10" t="str">
        <f aca="false">"https://"&amp;B1292&amp;G1292&amp;"?utm_source="&amp;E1292&amp;"&amp;utm_medium="&amp;F1292&amp;"&amp;utm_campaign="&amp;H1292&amp;"&amp;utm_content="&amp;I1292</f>
        <v>https://eu-112.eu/?utm_source=linkedin_newsletter&amp;utm_medium=social&amp;utm_campaign=2610_ff_lansare&amp;utm_content=fierbinte_general</v>
      </c>
    </row>
    <row r="1293" customFormat="false" ht="15" hidden="false" customHeight="false" outlineLevel="0" collapsed="false">
      <c r="A1293" s="10" t="s">
        <v>79</v>
      </c>
      <c r="B1293" s="10" t="str">
        <f aca="false">INDEX('Site-uri'!$B$2:$B$20,MATCH(A1293,'Site-uri'!$A$2:$A$20,0))</f>
        <v>eu-112.eu</v>
      </c>
      <c r="C1293" s="10" t="s">
        <v>115</v>
      </c>
      <c r="D1293" s="10" t="s">
        <v>237</v>
      </c>
      <c r="E1293" s="10" t="str">
        <f aca="false">INDEX(Canale!$C$2:$C$30,MATCH(C1293,Canale!$A$2:$A$30,0))</f>
        <v>linkedin_newsletter</v>
      </c>
      <c r="F1293" s="10" t="str">
        <f aca="false">INDEX(Canale!$D$2:$D$30,MATCH(C1293,Canale!$A$2:$A$30,0))</f>
        <v>social</v>
      </c>
      <c r="G1293" s="10" t="str">
        <f aca="false">INDEX('Site-uri'!$C$2:$C$20,MATCH(A1293,'Site-uri'!$A$2:$A$20,0))</f>
        <v>/</v>
      </c>
      <c r="H1293" s="10" t="str">
        <f aca="false">Config!$B$3</f>
        <v>2610_ff_lansare</v>
      </c>
      <c r="I1293" s="10" t="str">
        <f aca="false">D1293&amp;"_"&amp;Config!$B$4</f>
        <v>client_general</v>
      </c>
      <c r="J1293" s="10" t="str">
        <f aca="false">"https://"&amp;B1293&amp;G1293&amp;"?utm_source="&amp;E1293&amp;"&amp;utm_medium="&amp;F1293&amp;"&amp;utm_campaign="&amp;H1293&amp;"&amp;utm_content="&amp;I1293</f>
        <v>https://eu-112.eu/?utm_source=linkedin_newsletter&amp;utm_medium=social&amp;utm_campaign=2610_ff_lansare&amp;utm_content=client_general</v>
      </c>
    </row>
    <row r="1294" customFormat="false" ht="15" hidden="false" customHeight="false" outlineLevel="0" collapsed="false">
      <c r="A1294" s="10" t="s">
        <v>79</v>
      </c>
      <c r="B1294" s="10" t="str">
        <f aca="false">INDEX('Site-uri'!$B$2:$B$20,MATCH(A1294,'Site-uri'!$A$2:$A$20,0))</f>
        <v>eu-112.eu</v>
      </c>
      <c r="C1294" s="10" t="s">
        <v>118</v>
      </c>
      <c r="D1294" s="10" t="s">
        <v>219</v>
      </c>
      <c r="E1294" s="10" t="str">
        <f aca="false">INDEX(Canale!$C$2:$C$30,MATCH(C1294,Canale!$A$2:$A$30,0))</f>
        <v>linkedin_ads</v>
      </c>
      <c r="F1294" s="10" t="str">
        <f aca="false">INDEX(Canale!$D$2:$D$30,MATCH(C1294,Canale!$A$2:$A$30,0))</f>
        <v>paid_social</v>
      </c>
      <c r="G1294" s="10" t="str">
        <f aca="false">INDEX('Site-uri'!$C$2:$C$20,MATCH(A1294,'Site-uri'!$A$2:$A$20,0))</f>
        <v>/</v>
      </c>
      <c r="H1294" s="10" t="str">
        <f aca="false">Config!$B$3</f>
        <v>2610_ff_lansare</v>
      </c>
      <c r="I1294" s="10" t="str">
        <f aca="false">D1294&amp;"_"&amp;Config!$B$4</f>
        <v>rece_general</v>
      </c>
      <c r="J1294" s="10" t="str">
        <f aca="false">"https://"&amp;B1294&amp;G1294&amp;"?utm_source="&amp;E1294&amp;"&amp;utm_medium="&amp;F1294&amp;"&amp;utm_campaign="&amp;H1294&amp;"&amp;utm_content="&amp;I1294</f>
        <v>https://eu-112.eu/?utm_source=linkedin_ads&amp;utm_medium=paid_social&amp;utm_campaign=2610_ff_lansare&amp;utm_content=rece_general</v>
      </c>
    </row>
    <row r="1295" customFormat="false" ht="15" hidden="false" customHeight="false" outlineLevel="0" collapsed="false">
      <c r="A1295" s="10" t="s">
        <v>79</v>
      </c>
      <c r="B1295" s="10" t="str">
        <f aca="false">INDEX('Site-uri'!$B$2:$B$20,MATCH(A1295,'Site-uri'!$A$2:$A$20,0))</f>
        <v>eu-112.eu</v>
      </c>
      <c r="C1295" s="10" t="s">
        <v>118</v>
      </c>
      <c r="D1295" s="10" t="s">
        <v>225</v>
      </c>
      <c r="E1295" s="10" t="str">
        <f aca="false">INDEX(Canale!$C$2:$C$30,MATCH(C1295,Canale!$A$2:$A$30,0))</f>
        <v>linkedin_ads</v>
      </c>
      <c r="F1295" s="10" t="str">
        <f aca="false">INDEX(Canale!$D$2:$D$30,MATCH(C1295,Canale!$A$2:$A$30,0))</f>
        <v>paid_social</v>
      </c>
      <c r="G1295" s="10" t="str">
        <f aca="false">INDEX('Site-uri'!$C$2:$C$20,MATCH(A1295,'Site-uri'!$A$2:$A$20,0))</f>
        <v>/</v>
      </c>
      <c r="H1295" s="10" t="str">
        <f aca="false">Config!$B$3</f>
        <v>2610_ff_lansare</v>
      </c>
      <c r="I1295" s="10" t="str">
        <f aca="false">D1295&amp;"_"&amp;Config!$B$4</f>
        <v>cald_general</v>
      </c>
      <c r="J1295" s="10" t="str">
        <f aca="false">"https://"&amp;B1295&amp;G1295&amp;"?utm_source="&amp;E1295&amp;"&amp;utm_medium="&amp;F1295&amp;"&amp;utm_campaign="&amp;H1295&amp;"&amp;utm_content="&amp;I1295</f>
        <v>https://eu-112.eu/?utm_source=linkedin_ads&amp;utm_medium=paid_social&amp;utm_campaign=2610_ff_lansare&amp;utm_content=cald_general</v>
      </c>
    </row>
    <row r="1296" customFormat="false" ht="15" hidden="false" customHeight="false" outlineLevel="0" collapsed="false">
      <c r="A1296" s="10" t="s">
        <v>79</v>
      </c>
      <c r="B1296" s="10" t="str">
        <f aca="false">INDEX('Site-uri'!$B$2:$B$20,MATCH(A1296,'Site-uri'!$A$2:$A$20,0))</f>
        <v>eu-112.eu</v>
      </c>
      <c r="C1296" s="10" t="s">
        <v>118</v>
      </c>
      <c r="D1296" s="10" t="s">
        <v>231</v>
      </c>
      <c r="E1296" s="10" t="str">
        <f aca="false">INDEX(Canale!$C$2:$C$30,MATCH(C1296,Canale!$A$2:$A$30,0))</f>
        <v>linkedin_ads</v>
      </c>
      <c r="F1296" s="10" t="str">
        <f aca="false">INDEX(Canale!$D$2:$D$30,MATCH(C1296,Canale!$A$2:$A$30,0))</f>
        <v>paid_social</v>
      </c>
      <c r="G1296" s="10" t="str">
        <f aca="false">INDEX('Site-uri'!$C$2:$C$20,MATCH(A1296,'Site-uri'!$A$2:$A$20,0))</f>
        <v>/</v>
      </c>
      <c r="H1296" s="10" t="str">
        <f aca="false">Config!$B$3</f>
        <v>2610_ff_lansare</v>
      </c>
      <c r="I1296" s="10" t="str">
        <f aca="false">D1296&amp;"_"&amp;Config!$B$4</f>
        <v>fierbinte_general</v>
      </c>
      <c r="J1296" s="10" t="str">
        <f aca="false">"https://"&amp;B1296&amp;G1296&amp;"?utm_source="&amp;E1296&amp;"&amp;utm_medium="&amp;F1296&amp;"&amp;utm_campaign="&amp;H1296&amp;"&amp;utm_content="&amp;I1296</f>
        <v>https://eu-112.eu/?utm_source=linkedin_ads&amp;utm_medium=paid_social&amp;utm_campaign=2610_ff_lansare&amp;utm_content=fierbinte_general</v>
      </c>
    </row>
    <row r="1297" customFormat="false" ht="15" hidden="false" customHeight="false" outlineLevel="0" collapsed="false">
      <c r="A1297" s="10" t="s">
        <v>79</v>
      </c>
      <c r="B1297" s="10" t="str">
        <f aca="false">INDEX('Site-uri'!$B$2:$B$20,MATCH(A1297,'Site-uri'!$A$2:$A$20,0))</f>
        <v>eu-112.eu</v>
      </c>
      <c r="C1297" s="10" t="s">
        <v>118</v>
      </c>
      <c r="D1297" s="10" t="s">
        <v>237</v>
      </c>
      <c r="E1297" s="10" t="str">
        <f aca="false">INDEX(Canale!$C$2:$C$30,MATCH(C1297,Canale!$A$2:$A$30,0))</f>
        <v>linkedin_ads</v>
      </c>
      <c r="F1297" s="10" t="str">
        <f aca="false">INDEX(Canale!$D$2:$D$30,MATCH(C1297,Canale!$A$2:$A$30,0))</f>
        <v>paid_social</v>
      </c>
      <c r="G1297" s="10" t="str">
        <f aca="false">INDEX('Site-uri'!$C$2:$C$20,MATCH(A1297,'Site-uri'!$A$2:$A$20,0))</f>
        <v>/</v>
      </c>
      <c r="H1297" s="10" t="str">
        <f aca="false">Config!$B$3</f>
        <v>2610_ff_lansare</v>
      </c>
      <c r="I1297" s="10" t="str">
        <f aca="false">D1297&amp;"_"&amp;Config!$B$4</f>
        <v>client_general</v>
      </c>
      <c r="J1297" s="10" t="str">
        <f aca="false">"https://"&amp;B1297&amp;G1297&amp;"?utm_source="&amp;E1297&amp;"&amp;utm_medium="&amp;F1297&amp;"&amp;utm_campaign="&amp;H1297&amp;"&amp;utm_content="&amp;I1297</f>
        <v>https://eu-112.eu/?utm_source=linkedin_ads&amp;utm_medium=paid_social&amp;utm_campaign=2610_ff_lansare&amp;utm_content=client_general</v>
      </c>
    </row>
    <row r="1298" customFormat="false" ht="15" hidden="false" customHeight="false" outlineLevel="0" collapsed="false">
      <c r="A1298" s="10" t="s">
        <v>79</v>
      </c>
      <c r="B1298" s="10" t="str">
        <f aca="false">INDEX('Site-uri'!$B$2:$B$20,MATCH(A1298,'Site-uri'!$A$2:$A$20,0))</f>
        <v>eu-112.eu</v>
      </c>
      <c r="C1298" s="10" t="s">
        <v>122</v>
      </c>
      <c r="D1298" s="10" t="s">
        <v>219</v>
      </c>
      <c r="E1298" s="10" t="str">
        <f aca="false">INDEX(Canale!$C$2:$C$30,MATCH(C1298,Canale!$A$2:$A$30,0))</f>
        <v>linkedin_dm</v>
      </c>
      <c r="F1298" s="10" t="str">
        <f aca="false">INDEX(Canale!$D$2:$D$30,MATCH(C1298,Canale!$A$2:$A$30,0))</f>
        <v>dm</v>
      </c>
      <c r="G1298" s="10" t="str">
        <f aca="false">INDEX('Site-uri'!$C$2:$C$20,MATCH(A1298,'Site-uri'!$A$2:$A$20,0))</f>
        <v>/</v>
      </c>
      <c r="H1298" s="10" t="str">
        <f aca="false">Config!$B$3</f>
        <v>2610_ff_lansare</v>
      </c>
      <c r="I1298" s="10" t="str">
        <f aca="false">D1298&amp;"_"&amp;Config!$B$4</f>
        <v>rece_general</v>
      </c>
      <c r="J1298" s="10" t="str">
        <f aca="false">"https://"&amp;B1298&amp;G1298&amp;"?utm_source="&amp;E1298&amp;"&amp;utm_medium="&amp;F1298&amp;"&amp;utm_campaign="&amp;H1298&amp;"&amp;utm_content="&amp;I1298</f>
        <v>https://eu-112.eu/?utm_source=linkedin_dm&amp;utm_medium=dm&amp;utm_campaign=2610_ff_lansare&amp;utm_content=rece_general</v>
      </c>
    </row>
    <row r="1299" customFormat="false" ht="15" hidden="false" customHeight="false" outlineLevel="0" collapsed="false">
      <c r="A1299" s="10" t="s">
        <v>79</v>
      </c>
      <c r="B1299" s="10" t="str">
        <f aca="false">INDEX('Site-uri'!$B$2:$B$20,MATCH(A1299,'Site-uri'!$A$2:$A$20,0))</f>
        <v>eu-112.eu</v>
      </c>
      <c r="C1299" s="10" t="s">
        <v>122</v>
      </c>
      <c r="D1299" s="10" t="s">
        <v>225</v>
      </c>
      <c r="E1299" s="10" t="str">
        <f aca="false">INDEX(Canale!$C$2:$C$30,MATCH(C1299,Canale!$A$2:$A$30,0))</f>
        <v>linkedin_dm</v>
      </c>
      <c r="F1299" s="10" t="str">
        <f aca="false">INDEX(Canale!$D$2:$D$30,MATCH(C1299,Canale!$A$2:$A$30,0))</f>
        <v>dm</v>
      </c>
      <c r="G1299" s="10" t="str">
        <f aca="false">INDEX('Site-uri'!$C$2:$C$20,MATCH(A1299,'Site-uri'!$A$2:$A$20,0))</f>
        <v>/</v>
      </c>
      <c r="H1299" s="10" t="str">
        <f aca="false">Config!$B$3</f>
        <v>2610_ff_lansare</v>
      </c>
      <c r="I1299" s="10" t="str">
        <f aca="false">D1299&amp;"_"&amp;Config!$B$4</f>
        <v>cald_general</v>
      </c>
      <c r="J1299" s="10" t="str">
        <f aca="false">"https://"&amp;B1299&amp;G1299&amp;"?utm_source="&amp;E1299&amp;"&amp;utm_medium="&amp;F1299&amp;"&amp;utm_campaign="&amp;H1299&amp;"&amp;utm_content="&amp;I1299</f>
        <v>https://eu-112.eu/?utm_source=linkedin_dm&amp;utm_medium=dm&amp;utm_campaign=2610_ff_lansare&amp;utm_content=cald_general</v>
      </c>
    </row>
    <row r="1300" customFormat="false" ht="15" hidden="false" customHeight="false" outlineLevel="0" collapsed="false">
      <c r="A1300" s="10" t="s">
        <v>79</v>
      </c>
      <c r="B1300" s="10" t="str">
        <f aca="false">INDEX('Site-uri'!$B$2:$B$20,MATCH(A1300,'Site-uri'!$A$2:$A$20,0))</f>
        <v>eu-112.eu</v>
      </c>
      <c r="C1300" s="10" t="s">
        <v>122</v>
      </c>
      <c r="D1300" s="10" t="s">
        <v>231</v>
      </c>
      <c r="E1300" s="10" t="str">
        <f aca="false">INDEX(Canale!$C$2:$C$30,MATCH(C1300,Canale!$A$2:$A$30,0))</f>
        <v>linkedin_dm</v>
      </c>
      <c r="F1300" s="10" t="str">
        <f aca="false">INDEX(Canale!$D$2:$D$30,MATCH(C1300,Canale!$A$2:$A$30,0))</f>
        <v>dm</v>
      </c>
      <c r="G1300" s="10" t="str">
        <f aca="false">INDEX('Site-uri'!$C$2:$C$20,MATCH(A1300,'Site-uri'!$A$2:$A$20,0))</f>
        <v>/</v>
      </c>
      <c r="H1300" s="10" t="str">
        <f aca="false">Config!$B$3</f>
        <v>2610_ff_lansare</v>
      </c>
      <c r="I1300" s="10" t="str">
        <f aca="false">D1300&amp;"_"&amp;Config!$B$4</f>
        <v>fierbinte_general</v>
      </c>
      <c r="J1300" s="10" t="str">
        <f aca="false">"https://"&amp;B1300&amp;G1300&amp;"?utm_source="&amp;E1300&amp;"&amp;utm_medium="&amp;F1300&amp;"&amp;utm_campaign="&amp;H1300&amp;"&amp;utm_content="&amp;I1300</f>
        <v>https://eu-112.eu/?utm_source=linkedin_dm&amp;utm_medium=dm&amp;utm_campaign=2610_ff_lansare&amp;utm_content=fierbinte_general</v>
      </c>
    </row>
    <row r="1301" customFormat="false" ht="15" hidden="false" customHeight="false" outlineLevel="0" collapsed="false">
      <c r="A1301" s="10" t="s">
        <v>79</v>
      </c>
      <c r="B1301" s="10" t="str">
        <f aca="false">INDEX('Site-uri'!$B$2:$B$20,MATCH(A1301,'Site-uri'!$A$2:$A$20,0))</f>
        <v>eu-112.eu</v>
      </c>
      <c r="C1301" s="10" t="s">
        <v>122</v>
      </c>
      <c r="D1301" s="10" t="s">
        <v>237</v>
      </c>
      <c r="E1301" s="10" t="str">
        <f aca="false">INDEX(Canale!$C$2:$C$30,MATCH(C1301,Canale!$A$2:$A$30,0))</f>
        <v>linkedin_dm</v>
      </c>
      <c r="F1301" s="10" t="str">
        <f aca="false">INDEX(Canale!$D$2:$D$30,MATCH(C1301,Canale!$A$2:$A$30,0))</f>
        <v>dm</v>
      </c>
      <c r="G1301" s="10" t="str">
        <f aca="false">INDEX('Site-uri'!$C$2:$C$20,MATCH(A1301,'Site-uri'!$A$2:$A$20,0))</f>
        <v>/</v>
      </c>
      <c r="H1301" s="10" t="str">
        <f aca="false">Config!$B$3</f>
        <v>2610_ff_lansare</v>
      </c>
      <c r="I1301" s="10" t="str">
        <f aca="false">D1301&amp;"_"&amp;Config!$B$4</f>
        <v>client_general</v>
      </c>
      <c r="J1301" s="10" t="str">
        <f aca="false">"https://"&amp;B1301&amp;G1301&amp;"?utm_source="&amp;E1301&amp;"&amp;utm_medium="&amp;F1301&amp;"&amp;utm_campaign="&amp;H1301&amp;"&amp;utm_content="&amp;I1301</f>
        <v>https://eu-112.eu/?utm_source=linkedin_dm&amp;utm_medium=dm&amp;utm_campaign=2610_ff_lansare&amp;utm_content=client_general</v>
      </c>
    </row>
    <row r="1302" customFormat="false" ht="15" hidden="false" customHeight="false" outlineLevel="0" collapsed="false">
      <c r="A1302" s="10" t="s">
        <v>79</v>
      </c>
      <c r="B1302" s="10" t="str">
        <f aca="false">INDEX('Site-uri'!$B$2:$B$20,MATCH(A1302,'Site-uri'!$A$2:$A$20,0))</f>
        <v>eu-112.eu</v>
      </c>
      <c r="C1302" s="10" t="s">
        <v>126</v>
      </c>
      <c r="D1302" s="10" t="s">
        <v>219</v>
      </c>
      <c r="E1302" s="10" t="str">
        <f aca="false">INDEX(Canale!$C$2:$C$30,MATCH(C1302,Canale!$A$2:$A$30,0))</f>
        <v>email_outreach</v>
      </c>
      <c r="F1302" s="10" t="str">
        <f aca="false">INDEX(Canale!$D$2:$D$30,MATCH(C1302,Canale!$A$2:$A$30,0))</f>
        <v>email</v>
      </c>
      <c r="G1302" s="10" t="str">
        <f aca="false">INDEX('Site-uri'!$C$2:$C$20,MATCH(A1302,'Site-uri'!$A$2:$A$20,0))</f>
        <v>/</v>
      </c>
      <c r="H1302" s="10" t="str">
        <f aca="false">Config!$B$3</f>
        <v>2610_ff_lansare</v>
      </c>
      <c r="I1302" s="10" t="str">
        <f aca="false">D1302&amp;"_"&amp;Config!$B$4</f>
        <v>rece_general</v>
      </c>
      <c r="J1302" s="10" t="str">
        <f aca="false">"https://"&amp;B1302&amp;G1302&amp;"?utm_source="&amp;E1302&amp;"&amp;utm_medium="&amp;F1302&amp;"&amp;utm_campaign="&amp;H1302&amp;"&amp;utm_content="&amp;I1302</f>
        <v>https://eu-112.eu/?utm_source=email_outreach&amp;utm_medium=email&amp;utm_campaign=2610_ff_lansare&amp;utm_content=rece_general</v>
      </c>
    </row>
    <row r="1303" customFormat="false" ht="15" hidden="false" customHeight="false" outlineLevel="0" collapsed="false">
      <c r="A1303" s="10" t="s">
        <v>79</v>
      </c>
      <c r="B1303" s="10" t="str">
        <f aca="false">INDEX('Site-uri'!$B$2:$B$20,MATCH(A1303,'Site-uri'!$A$2:$A$20,0))</f>
        <v>eu-112.eu</v>
      </c>
      <c r="C1303" s="10" t="s">
        <v>126</v>
      </c>
      <c r="D1303" s="10" t="s">
        <v>225</v>
      </c>
      <c r="E1303" s="10" t="str">
        <f aca="false">INDEX(Canale!$C$2:$C$30,MATCH(C1303,Canale!$A$2:$A$30,0))</f>
        <v>email_outreach</v>
      </c>
      <c r="F1303" s="10" t="str">
        <f aca="false">INDEX(Canale!$D$2:$D$30,MATCH(C1303,Canale!$A$2:$A$30,0))</f>
        <v>email</v>
      </c>
      <c r="G1303" s="10" t="str">
        <f aca="false">INDEX('Site-uri'!$C$2:$C$20,MATCH(A1303,'Site-uri'!$A$2:$A$20,0))</f>
        <v>/</v>
      </c>
      <c r="H1303" s="10" t="str">
        <f aca="false">Config!$B$3</f>
        <v>2610_ff_lansare</v>
      </c>
      <c r="I1303" s="10" t="str">
        <f aca="false">D1303&amp;"_"&amp;Config!$B$4</f>
        <v>cald_general</v>
      </c>
      <c r="J1303" s="10" t="str">
        <f aca="false">"https://"&amp;B1303&amp;G1303&amp;"?utm_source="&amp;E1303&amp;"&amp;utm_medium="&amp;F1303&amp;"&amp;utm_campaign="&amp;H1303&amp;"&amp;utm_content="&amp;I1303</f>
        <v>https://eu-112.eu/?utm_source=email_outreach&amp;utm_medium=email&amp;utm_campaign=2610_ff_lansare&amp;utm_content=cald_general</v>
      </c>
    </row>
    <row r="1304" customFormat="false" ht="15" hidden="false" customHeight="false" outlineLevel="0" collapsed="false">
      <c r="A1304" s="10" t="s">
        <v>79</v>
      </c>
      <c r="B1304" s="10" t="str">
        <f aca="false">INDEX('Site-uri'!$B$2:$B$20,MATCH(A1304,'Site-uri'!$A$2:$A$20,0))</f>
        <v>eu-112.eu</v>
      </c>
      <c r="C1304" s="10" t="s">
        <v>126</v>
      </c>
      <c r="D1304" s="10" t="s">
        <v>231</v>
      </c>
      <c r="E1304" s="10" t="str">
        <f aca="false">INDEX(Canale!$C$2:$C$30,MATCH(C1304,Canale!$A$2:$A$30,0))</f>
        <v>email_outreach</v>
      </c>
      <c r="F1304" s="10" t="str">
        <f aca="false">INDEX(Canale!$D$2:$D$30,MATCH(C1304,Canale!$A$2:$A$30,0))</f>
        <v>email</v>
      </c>
      <c r="G1304" s="10" t="str">
        <f aca="false">INDEX('Site-uri'!$C$2:$C$20,MATCH(A1304,'Site-uri'!$A$2:$A$20,0))</f>
        <v>/</v>
      </c>
      <c r="H1304" s="10" t="str">
        <f aca="false">Config!$B$3</f>
        <v>2610_ff_lansare</v>
      </c>
      <c r="I1304" s="10" t="str">
        <f aca="false">D1304&amp;"_"&amp;Config!$B$4</f>
        <v>fierbinte_general</v>
      </c>
      <c r="J1304" s="10" t="str">
        <f aca="false">"https://"&amp;B1304&amp;G1304&amp;"?utm_source="&amp;E1304&amp;"&amp;utm_medium="&amp;F1304&amp;"&amp;utm_campaign="&amp;H1304&amp;"&amp;utm_content="&amp;I1304</f>
        <v>https://eu-112.eu/?utm_source=email_outreach&amp;utm_medium=email&amp;utm_campaign=2610_ff_lansare&amp;utm_content=fierbinte_general</v>
      </c>
    </row>
    <row r="1305" customFormat="false" ht="15" hidden="false" customHeight="false" outlineLevel="0" collapsed="false">
      <c r="A1305" s="10" t="s">
        <v>79</v>
      </c>
      <c r="B1305" s="10" t="str">
        <f aca="false">INDEX('Site-uri'!$B$2:$B$20,MATCH(A1305,'Site-uri'!$A$2:$A$20,0))</f>
        <v>eu-112.eu</v>
      </c>
      <c r="C1305" s="10" t="s">
        <v>126</v>
      </c>
      <c r="D1305" s="10" t="s">
        <v>237</v>
      </c>
      <c r="E1305" s="10" t="str">
        <f aca="false">INDEX(Canale!$C$2:$C$30,MATCH(C1305,Canale!$A$2:$A$30,0))</f>
        <v>email_outreach</v>
      </c>
      <c r="F1305" s="10" t="str">
        <f aca="false">INDEX(Canale!$D$2:$D$30,MATCH(C1305,Canale!$A$2:$A$30,0))</f>
        <v>email</v>
      </c>
      <c r="G1305" s="10" t="str">
        <f aca="false">INDEX('Site-uri'!$C$2:$C$20,MATCH(A1305,'Site-uri'!$A$2:$A$20,0))</f>
        <v>/</v>
      </c>
      <c r="H1305" s="10" t="str">
        <f aca="false">Config!$B$3</f>
        <v>2610_ff_lansare</v>
      </c>
      <c r="I1305" s="10" t="str">
        <f aca="false">D1305&amp;"_"&amp;Config!$B$4</f>
        <v>client_general</v>
      </c>
      <c r="J1305" s="10" t="str">
        <f aca="false">"https://"&amp;B1305&amp;G1305&amp;"?utm_source="&amp;E1305&amp;"&amp;utm_medium="&amp;F1305&amp;"&amp;utm_campaign="&amp;H1305&amp;"&amp;utm_content="&amp;I1305</f>
        <v>https://eu-112.eu/?utm_source=email_outreach&amp;utm_medium=email&amp;utm_campaign=2610_ff_lansare&amp;utm_content=client_general</v>
      </c>
    </row>
    <row r="1306" customFormat="false" ht="15" hidden="false" customHeight="false" outlineLevel="0" collapsed="false">
      <c r="A1306" s="10" t="s">
        <v>79</v>
      </c>
      <c r="B1306" s="10" t="str">
        <f aca="false">INDEX('Site-uri'!$B$2:$B$20,MATCH(A1306,'Site-uri'!$A$2:$A$20,0))</f>
        <v>eu-112.eu</v>
      </c>
      <c r="C1306" s="10" t="s">
        <v>131</v>
      </c>
      <c r="D1306" s="10" t="s">
        <v>219</v>
      </c>
      <c r="E1306" s="10" t="str">
        <f aca="false">INDEX(Canale!$C$2:$C$30,MATCH(C1306,Canale!$A$2:$A$30,0))</f>
        <v>newsletter</v>
      </c>
      <c r="F1306" s="10" t="str">
        <f aca="false">INDEX(Canale!$D$2:$D$30,MATCH(C1306,Canale!$A$2:$A$30,0))</f>
        <v>email</v>
      </c>
      <c r="G1306" s="10" t="str">
        <f aca="false">INDEX('Site-uri'!$C$2:$C$20,MATCH(A1306,'Site-uri'!$A$2:$A$20,0))</f>
        <v>/</v>
      </c>
      <c r="H1306" s="10" t="str">
        <f aca="false">Config!$B$3</f>
        <v>2610_ff_lansare</v>
      </c>
      <c r="I1306" s="10" t="str">
        <f aca="false">D1306&amp;"_"&amp;Config!$B$4</f>
        <v>rece_general</v>
      </c>
      <c r="J1306" s="10" t="str">
        <f aca="false">"https://"&amp;B1306&amp;G1306&amp;"?utm_source="&amp;E1306&amp;"&amp;utm_medium="&amp;F1306&amp;"&amp;utm_campaign="&amp;H1306&amp;"&amp;utm_content="&amp;I1306</f>
        <v>https://eu-112.eu/?utm_source=newsletter&amp;utm_medium=email&amp;utm_campaign=2610_ff_lansare&amp;utm_content=rece_general</v>
      </c>
    </row>
    <row r="1307" customFormat="false" ht="15" hidden="false" customHeight="false" outlineLevel="0" collapsed="false">
      <c r="A1307" s="10" t="s">
        <v>79</v>
      </c>
      <c r="B1307" s="10" t="str">
        <f aca="false">INDEX('Site-uri'!$B$2:$B$20,MATCH(A1307,'Site-uri'!$A$2:$A$20,0))</f>
        <v>eu-112.eu</v>
      </c>
      <c r="C1307" s="10" t="s">
        <v>131</v>
      </c>
      <c r="D1307" s="10" t="s">
        <v>225</v>
      </c>
      <c r="E1307" s="10" t="str">
        <f aca="false">INDEX(Canale!$C$2:$C$30,MATCH(C1307,Canale!$A$2:$A$30,0))</f>
        <v>newsletter</v>
      </c>
      <c r="F1307" s="10" t="str">
        <f aca="false">INDEX(Canale!$D$2:$D$30,MATCH(C1307,Canale!$A$2:$A$30,0))</f>
        <v>email</v>
      </c>
      <c r="G1307" s="10" t="str">
        <f aca="false">INDEX('Site-uri'!$C$2:$C$20,MATCH(A1307,'Site-uri'!$A$2:$A$20,0))</f>
        <v>/</v>
      </c>
      <c r="H1307" s="10" t="str">
        <f aca="false">Config!$B$3</f>
        <v>2610_ff_lansare</v>
      </c>
      <c r="I1307" s="10" t="str">
        <f aca="false">D1307&amp;"_"&amp;Config!$B$4</f>
        <v>cald_general</v>
      </c>
      <c r="J1307" s="10" t="str">
        <f aca="false">"https://"&amp;B1307&amp;G1307&amp;"?utm_source="&amp;E1307&amp;"&amp;utm_medium="&amp;F1307&amp;"&amp;utm_campaign="&amp;H1307&amp;"&amp;utm_content="&amp;I1307</f>
        <v>https://eu-112.eu/?utm_source=newsletter&amp;utm_medium=email&amp;utm_campaign=2610_ff_lansare&amp;utm_content=cald_general</v>
      </c>
    </row>
    <row r="1308" customFormat="false" ht="15" hidden="false" customHeight="false" outlineLevel="0" collapsed="false">
      <c r="A1308" s="10" t="s">
        <v>79</v>
      </c>
      <c r="B1308" s="10" t="str">
        <f aca="false">INDEX('Site-uri'!$B$2:$B$20,MATCH(A1308,'Site-uri'!$A$2:$A$20,0))</f>
        <v>eu-112.eu</v>
      </c>
      <c r="C1308" s="10" t="s">
        <v>131</v>
      </c>
      <c r="D1308" s="10" t="s">
        <v>231</v>
      </c>
      <c r="E1308" s="10" t="str">
        <f aca="false">INDEX(Canale!$C$2:$C$30,MATCH(C1308,Canale!$A$2:$A$30,0))</f>
        <v>newsletter</v>
      </c>
      <c r="F1308" s="10" t="str">
        <f aca="false">INDEX(Canale!$D$2:$D$30,MATCH(C1308,Canale!$A$2:$A$30,0))</f>
        <v>email</v>
      </c>
      <c r="G1308" s="10" t="str">
        <f aca="false">INDEX('Site-uri'!$C$2:$C$20,MATCH(A1308,'Site-uri'!$A$2:$A$20,0))</f>
        <v>/</v>
      </c>
      <c r="H1308" s="10" t="str">
        <f aca="false">Config!$B$3</f>
        <v>2610_ff_lansare</v>
      </c>
      <c r="I1308" s="10" t="str">
        <f aca="false">D1308&amp;"_"&amp;Config!$B$4</f>
        <v>fierbinte_general</v>
      </c>
      <c r="J1308" s="10" t="str">
        <f aca="false">"https://"&amp;B1308&amp;G1308&amp;"?utm_source="&amp;E1308&amp;"&amp;utm_medium="&amp;F1308&amp;"&amp;utm_campaign="&amp;H1308&amp;"&amp;utm_content="&amp;I1308</f>
        <v>https://eu-112.eu/?utm_source=newsletter&amp;utm_medium=email&amp;utm_campaign=2610_ff_lansare&amp;utm_content=fierbinte_general</v>
      </c>
    </row>
    <row r="1309" customFormat="false" ht="15" hidden="false" customHeight="false" outlineLevel="0" collapsed="false">
      <c r="A1309" s="10" t="s">
        <v>79</v>
      </c>
      <c r="B1309" s="10" t="str">
        <f aca="false">INDEX('Site-uri'!$B$2:$B$20,MATCH(A1309,'Site-uri'!$A$2:$A$20,0))</f>
        <v>eu-112.eu</v>
      </c>
      <c r="C1309" s="10" t="s">
        <v>131</v>
      </c>
      <c r="D1309" s="10" t="s">
        <v>237</v>
      </c>
      <c r="E1309" s="10" t="str">
        <f aca="false">INDEX(Canale!$C$2:$C$30,MATCH(C1309,Canale!$A$2:$A$30,0))</f>
        <v>newsletter</v>
      </c>
      <c r="F1309" s="10" t="str">
        <f aca="false">INDEX(Canale!$D$2:$D$30,MATCH(C1309,Canale!$A$2:$A$30,0))</f>
        <v>email</v>
      </c>
      <c r="G1309" s="10" t="str">
        <f aca="false">INDEX('Site-uri'!$C$2:$C$20,MATCH(A1309,'Site-uri'!$A$2:$A$20,0))</f>
        <v>/</v>
      </c>
      <c r="H1309" s="10" t="str">
        <f aca="false">Config!$B$3</f>
        <v>2610_ff_lansare</v>
      </c>
      <c r="I1309" s="10" t="str">
        <f aca="false">D1309&amp;"_"&amp;Config!$B$4</f>
        <v>client_general</v>
      </c>
      <c r="J1309" s="10" t="str">
        <f aca="false">"https://"&amp;B1309&amp;G1309&amp;"?utm_source="&amp;E1309&amp;"&amp;utm_medium="&amp;F1309&amp;"&amp;utm_campaign="&amp;H1309&amp;"&amp;utm_content="&amp;I1309</f>
        <v>https://eu-112.eu/?utm_source=newsletter&amp;utm_medium=email&amp;utm_campaign=2610_ff_lansare&amp;utm_content=client_general</v>
      </c>
    </row>
    <row r="1310" customFormat="false" ht="15" hidden="false" customHeight="false" outlineLevel="0" collapsed="false">
      <c r="A1310" s="10" t="s">
        <v>79</v>
      </c>
      <c r="B1310" s="10" t="str">
        <f aca="false">INDEX('Site-uri'!$B$2:$B$20,MATCH(A1310,'Site-uri'!$A$2:$A$20,0))</f>
        <v>eu-112.eu</v>
      </c>
      <c r="C1310" s="10" t="s">
        <v>134</v>
      </c>
      <c r="D1310" s="10" t="s">
        <v>219</v>
      </c>
      <c r="E1310" s="10" t="str">
        <f aca="false">INDEX(Canale!$C$2:$C$30,MATCH(C1310,Canale!$A$2:$A$30,0))</f>
        <v>email_signature</v>
      </c>
      <c r="F1310" s="10" t="str">
        <f aca="false">INDEX(Canale!$D$2:$D$30,MATCH(C1310,Canale!$A$2:$A$30,0))</f>
        <v>email</v>
      </c>
      <c r="G1310" s="10" t="str">
        <f aca="false">INDEX('Site-uri'!$C$2:$C$20,MATCH(A1310,'Site-uri'!$A$2:$A$20,0))</f>
        <v>/</v>
      </c>
      <c r="H1310" s="10" t="str">
        <f aca="false">Config!$B$3</f>
        <v>2610_ff_lansare</v>
      </c>
      <c r="I1310" s="10" t="str">
        <f aca="false">D1310&amp;"_"&amp;Config!$B$4</f>
        <v>rece_general</v>
      </c>
      <c r="J1310" s="10" t="str">
        <f aca="false">"https://"&amp;B1310&amp;G1310&amp;"?utm_source="&amp;E1310&amp;"&amp;utm_medium="&amp;F1310&amp;"&amp;utm_campaign="&amp;H1310&amp;"&amp;utm_content="&amp;I1310</f>
        <v>https://eu-112.eu/?utm_source=email_signature&amp;utm_medium=email&amp;utm_campaign=2610_ff_lansare&amp;utm_content=rece_general</v>
      </c>
    </row>
    <row r="1311" customFormat="false" ht="15" hidden="false" customHeight="false" outlineLevel="0" collapsed="false">
      <c r="A1311" s="10" t="s">
        <v>79</v>
      </c>
      <c r="B1311" s="10" t="str">
        <f aca="false">INDEX('Site-uri'!$B$2:$B$20,MATCH(A1311,'Site-uri'!$A$2:$A$20,0))</f>
        <v>eu-112.eu</v>
      </c>
      <c r="C1311" s="10" t="s">
        <v>134</v>
      </c>
      <c r="D1311" s="10" t="s">
        <v>225</v>
      </c>
      <c r="E1311" s="10" t="str">
        <f aca="false">INDEX(Canale!$C$2:$C$30,MATCH(C1311,Canale!$A$2:$A$30,0))</f>
        <v>email_signature</v>
      </c>
      <c r="F1311" s="10" t="str">
        <f aca="false">INDEX(Canale!$D$2:$D$30,MATCH(C1311,Canale!$A$2:$A$30,0))</f>
        <v>email</v>
      </c>
      <c r="G1311" s="10" t="str">
        <f aca="false">INDEX('Site-uri'!$C$2:$C$20,MATCH(A1311,'Site-uri'!$A$2:$A$20,0))</f>
        <v>/</v>
      </c>
      <c r="H1311" s="10" t="str">
        <f aca="false">Config!$B$3</f>
        <v>2610_ff_lansare</v>
      </c>
      <c r="I1311" s="10" t="str">
        <f aca="false">D1311&amp;"_"&amp;Config!$B$4</f>
        <v>cald_general</v>
      </c>
      <c r="J1311" s="10" t="str">
        <f aca="false">"https://"&amp;B1311&amp;G1311&amp;"?utm_source="&amp;E1311&amp;"&amp;utm_medium="&amp;F1311&amp;"&amp;utm_campaign="&amp;H1311&amp;"&amp;utm_content="&amp;I1311</f>
        <v>https://eu-112.eu/?utm_source=email_signature&amp;utm_medium=email&amp;utm_campaign=2610_ff_lansare&amp;utm_content=cald_general</v>
      </c>
    </row>
    <row r="1312" customFormat="false" ht="15" hidden="false" customHeight="false" outlineLevel="0" collapsed="false">
      <c r="A1312" s="10" t="s">
        <v>79</v>
      </c>
      <c r="B1312" s="10" t="str">
        <f aca="false">INDEX('Site-uri'!$B$2:$B$20,MATCH(A1312,'Site-uri'!$A$2:$A$20,0))</f>
        <v>eu-112.eu</v>
      </c>
      <c r="C1312" s="10" t="s">
        <v>134</v>
      </c>
      <c r="D1312" s="10" t="s">
        <v>231</v>
      </c>
      <c r="E1312" s="10" t="str">
        <f aca="false">INDEX(Canale!$C$2:$C$30,MATCH(C1312,Canale!$A$2:$A$30,0))</f>
        <v>email_signature</v>
      </c>
      <c r="F1312" s="10" t="str">
        <f aca="false">INDEX(Canale!$D$2:$D$30,MATCH(C1312,Canale!$A$2:$A$30,0))</f>
        <v>email</v>
      </c>
      <c r="G1312" s="10" t="str">
        <f aca="false">INDEX('Site-uri'!$C$2:$C$20,MATCH(A1312,'Site-uri'!$A$2:$A$20,0))</f>
        <v>/</v>
      </c>
      <c r="H1312" s="10" t="str">
        <f aca="false">Config!$B$3</f>
        <v>2610_ff_lansare</v>
      </c>
      <c r="I1312" s="10" t="str">
        <f aca="false">D1312&amp;"_"&amp;Config!$B$4</f>
        <v>fierbinte_general</v>
      </c>
      <c r="J1312" s="10" t="str">
        <f aca="false">"https://"&amp;B1312&amp;G1312&amp;"?utm_source="&amp;E1312&amp;"&amp;utm_medium="&amp;F1312&amp;"&amp;utm_campaign="&amp;H1312&amp;"&amp;utm_content="&amp;I1312</f>
        <v>https://eu-112.eu/?utm_source=email_signature&amp;utm_medium=email&amp;utm_campaign=2610_ff_lansare&amp;utm_content=fierbinte_general</v>
      </c>
    </row>
    <row r="1313" customFormat="false" ht="15" hidden="false" customHeight="false" outlineLevel="0" collapsed="false">
      <c r="A1313" s="10" t="s">
        <v>79</v>
      </c>
      <c r="B1313" s="10" t="str">
        <f aca="false">INDEX('Site-uri'!$B$2:$B$20,MATCH(A1313,'Site-uri'!$A$2:$A$20,0))</f>
        <v>eu-112.eu</v>
      </c>
      <c r="C1313" s="10" t="s">
        <v>134</v>
      </c>
      <c r="D1313" s="10" t="s">
        <v>237</v>
      </c>
      <c r="E1313" s="10" t="str">
        <f aca="false">INDEX(Canale!$C$2:$C$30,MATCH(C1313,Canale!$A$2:$A$30,0))</f>
        <v>email_signature</v>
      </c>
      <c r="F1313" s="10" t="str">
        <f aca="false">INDEX(Canale!$D$2:$D$30,MATCH(C1313,Canale!$A$2:$A$30,0))</f>
        <v>email</v>
      </c>
      <c r="G1313" s="10" t="str">
        <f aca="false">INDEX('Site-uri'!$C$2:$C$20,MATCH(A1313,'Site-uri'!$A$2:$A$20,0))</f>
        <v>/</v>
      </c>
      <c r="H1313" s="10" t="str">
        <f aca="false">Config!$B$3</f>
        <v>2610_ff_lansare</v>
      </c>
      <c r="I1313" s="10" t="str">
        <f aca="false">D1313&amp;"_"&amp;Config!$B$4</f>
        <v>client_general</v>
      </c>
      <c r="J1313" s="10" t="str">
        <f aca="false">"https://"&amp;B1313&amp;G1313&amp;"?utm_source="&amp;E1313&amp;"&amp;utm_medium="&amp;F1313&amp;"&amp;utm_campaign="&amp;H1313&amp;"&amp;utm_content="&amp;I1313</f>
        <v>https://eu-112.eu/?utm_source=email_signature&amp;utm_medium=email&amp;utm_campaign=2610_ff_lansare&amp;utm_content=client_general</v>
      </c>
    </row>
    <row r="1314" customFormat="false" ht="15" hidden="false" customHeight="false" outlineLevel="0" collapsed="false">
      <c r="A1314" s="10" t="s">
        <v>79</v>
      </c>
      <c r="B1314" s="10" t="str">
        <f aca="false">INDEX('Site-uri'!$B$2:$B$20,MATCH(A1314,'Site-uri'!$A$2:$A$20,0))</f>
        <v>eu-112.eu</v>
      </c>
      <c r="C1314" s="10" t="s">
        <v>137</v>
      </c>
      <c r="D1314" s="10" t="s">
        <v>219</v>
      </c>
      <c r="E1314" s="10" t="str">
        <f aca="false">INDEX(Canale!$C$2:$C$30,MATCH(C1314,Canale!$A$2:$A$30,0))</f>
        <v>whatsapp</v>
      </c>
      <c r="F1314" s="10" t="str">
        <f aca="false">INDEX(Canale!$D$2:$D$30,MATCH(C1314,Canale!$A$2:$A$30,0))</f>
        <v>dm</v>
      </c>
      <c r="G1314" s="10" t="str">
        <f aca="false">INDEX('Site-uri'!$C$2:$C$20,MATCH(A1314,'Site-uri'!$A$2:$A$20,0))</f>
        <v>/</v>
      </c>
      <c r="H1314" s="10" t="str">
        <f aca="false">Config!$B$3</f>
        <v>2610_ff_lansare</v>
      </c>
      <c r="I1314" s="10" t="str">
        <f aca="false">D1314&amp;"_"&amp;Config!$B$4</f>
        <v>rece_general</v>
      </c>
      <c r="J1314" s="10" t="str">
        <f aca="false">"https://"&amp;B1314&amp;G1314&amp;"?utm_source="&amp;E1314&amp;"&amp;utm_medium="&amp;F1314&amp;"&amp;utm_campaign="&amp;H1314&amp;"&amp;utm_content="&amp;I1314</f>
        <v>https://eu-112.eu/?utm_source=whatsapp&amp;utm_medium=dm&amp;utm_campaign=2610_ff_lansare&amp;utm_content=rece_general</v>
      </c>
    </row>
    <row r="1315" customFormat="false" ht="15" hidden="false" customHeight="false" outlineLevel="0" collapsed="false">
      <c r="A1315" s="10" t="s">
        <v>79</v>
      </c>
      <c r="B1315" s="10" t="str">
        <f aca="false">INDEX('Site-uri'!$B$2:$B$20,MATCH(A1315,'Site-uri'!$A$2:$A$20,0))</f>
        <v>eu-112.eu</v>
      </c>
      <c r="C1315" s="10" t="s">
        <v>137</v>
      </c>
      <c r="D1315" s="10" t="s">
        <v>225</v>
      </c>
      <c r="E1315" s="10" t="str">
        <f aca="false">INDEX(Canale!$C$2:$C$30,MATCH(C1315,Canale!$A$2:$A$30,0))</f>
        <v>whatsapp</v>
      </c>
      <c r="F1315" s="10" t="str">
        <f aca="false">INDEX(Canale!$D$2:$D$30,MATCH(C1315,Canale!$A$2:$A$30,0))</f>
        <v>dm</v>
      </c>
      <c r="G1315" s="10" t="str">
        <f aca="false">INDEX('Site-uri'!$C$2:$C$20,MATCH(A1315,'Site-uri'!$A$2:$A$20,0))</f>
        <v>/</v>
      </c>
      <c r="H1315" s="10" t="str">
        <f aca="false">Config!$B$3</f>
        <v>2610_ff_lansare</v>
      </c>
      <c r="I1315" s="10" t="str">
        <f aca="false">D1315&amp;"_"&amp;Config!$B$4</f>
        <v>cald_general</v>
      </c>
      <c r="J1315" s="10" t="str">
        <f aca="false">"https://"&amp;B1315&amp;G1315&amp;"?utm_source="&amp;E1315&amp;"&amp;utm_medium="&amp;F1315&amp;"&amp;utm_campaign="&amp;H1315&amp;"&amp;utm_content="&amp;I1315</f>
        <v>https://eu-112.eu/?utm_source=whatsapp&amp;utm_medium=dm&amp;utm_campaign=2610_ff_lansare&amp;utm_content=cald_general</v>
      </c>
    </row>
    <row r="1316" customFormat="false" ht="15" hidden="false" customHeight="false" outlineLevel="0" collapsed="false">
      <c r="A1316" s="10" t="s">
        <v>79</v>
      </c>
      <c r="B1316" s="10" t="str">
        <f aca="false">INDEX('Site-uri'!$B$2:$B$20,MATCH(A1316,'Site-uri'!$A$2:$A$20,0))</f>
        <v>eu-112.eu</v>
      </c>
      <c r="C1316" s="10" t="s">
        <v>137</v>
      </c>
      <c r="D1316" s="10" t="s">
        <v>231</v>
      </c>
      <c r="E1316" s="10" t="str">
        <f aca="false">INDEX(Canale!$C$2:$C$30,MATCH(C1316,Canale!$A$2:$A$30,0))</f>
        <v>whatsapp</v>
      </c>
      <c r="F1316" s="10" t="str">
        <f aca="false">INDEX(Canale!$D$2:$D$30,MATCH(C1316,Canale!$A$2:$A$30,0))</f>
        <v>dm</v>
      </c>
      <c r="G1316" s="10" t="str">
        <f aca="false">INDEX('Site-uri'!$C$2:$C$20,MATCH(A1316,'Site-uri'!$A$2:$A$20,0))</f>
        <v>/</v>
      </c>
      <c r="H1316" s="10" t="str">
        <f aca="false">Config!$B$3</f>
        <v>2610_ff_lansare</v>
      </c>
      <c r="I1316" s="10" t="str">
        <f aca="false">D1316&amp;"_"&amp;Config!$B$4</f>
        <v>fierbinte_general</v>
      </c>
      <c r="J1316" s="10" t="str">
        <f aca="false">"https://"&amp;B1316&amp;G1316&amp;"?utm_source="&amp;E1316&amp;"&amp;utm_medium="&amp;F1316&amp;"&amp;utm_campaign="&amp;H1316&amp;"&amp;utm_content="&amp;I1316</f>
        <v>https://eu-112.eu/?utm_source=whatsapp&amp;utm_medium=dm&amp;utm_campaign=2610_ff_lansare&amp;utm_content=fierbinte_general</v>
      </c>
    </row>
    <row r="1317" customFormat="false" ht="15" hidden="false" customHeight="false" outlineLevel="0" collapsed="false">
      <c r="A1317" s="10" t="s">
        <v>79</v>
      </c>
      <c r="B1317" s="10" t="str">
        <f aca="false">INDEX('Site-uri'!$B$2:$B$20,MATCH(A1317,'Site-uri'!$A$2:$A$20,0))</f>
        <v>eu-112.eu</v>
      </c>
      <c r="C1317" s="10" t="s">
        <v>137</v>
      </c>
      <c r="D1317" s="10" t="s">
        <v>237</v>
      </c>
      <c r="E1317" s="10" t="str">
        <f aca="false">INDEX(Canale!$C$2:$C$30,MATCH(C1317,Canale!$A$2:$A$30,0))</f>
        <v>whatsapp</v>
      </c>
      <c r="F1317" s="10" t="str">
        <f aca="false">INDEX(Canale!$D$2:$D$30,MATCH(C1317,Canale!$A$2:$A$30,0))</f>
        <v>dm</v>
      </c>
      <c r="G1317" s="10" t="str">
        <f aca="false">INDEX('Site-uri'!$C$2:$C$20,MATCH(A1317,'Site-uri'!$A$2:$A$20,0))</f>
        <v>/</v>
      </c>
      <c r="H1317" s="10" t="str">
        <f aca="false">Config!$B$3</f>
        <v>2610_ff_lansare</v>
      </c>
      <c r="I1317" s="10" t="str">
        <f aca="false">D1317&amp;"_"&amp;Config!$B$4</f>
        <v>client_general</v>
      </c>
      <c r="J1317" s="10" t="str">
        <f aca="false">"https://"&amp;B1317&amp;G1317&amp;"?utm_source="&amp;E1317&amp;"&amp;utm_medium="&amp;F1317&amp;"&amp;utm_campaign="&amp;H1317&amp;"&amp;utm_content="&amp;I1317</f>
        <v>https://eu-112.eu/?utm_source=whatsapp&amp;utm_medium=dm&amp;utm_campaign=2610_ff_lansare&amp;utm_content=client_general</v>
      </c>
    </row>
    <row r="1318" customFormat="false" ht="15" hidden="false" customHeight="false" outlineLevel="0" collapsed="false">
      <c r="A1318" s="10" t="s">
        <v>79</v>
      </c>
      <c r="B1318" s="10" t="str">
        <f aca="false">INDEX('Site-uri'!$B$2:$B$20,MATCH(A1318,'Site-uri'!$A$2:$A$20,0))</f>
        <v>eu-112.eu</v>
      </c>
      <c r="C1318" s="10" t="s">
        <v>141</v>
      </c>
      <c r="D1318" s="10" t="s">
        <v>219</v>
      </c>
      <c r="E1318" s="10" t="str">
        <f aca="false">INDEX(Canale!$C$2:$C$30,MATCH(C1318,Canale!$A$2:$A$30,0))</f>
        <v>google</v>
      </c>
      <c r="F1318" s="10" t="str">
        <f aca="false">INDEX(Canale!$D$2:$D$30,MATCH(C1318,Canale!$A$2:$A$30,0))</f>
        <v>cpc</v>
      </c>
      <c r="G1318" s="10" t="str">
        <f aca="false">INDEX('Site-uri'!$C$2:$C$20,MATCH(A1318,'Site-uri'!$A$2:$A$20,0))</f>
        <v>/</v>
      </c>
      <c r="H1318" s="10" t="str">
        <f aca="false">Config!$B$3</f>
        <v>2610_ff_lansare</v>
      </c>
      <c r="I1318" s="10" t="str">
        <f aca="false">D1318&amp;"_"&amp;Config!$B$4</f>
        <v>rece_general</v>
      </c>
      <c r="J1318" s="10" t="str">
        <f aca="false">"https://"&amp;B1318&amp;G1318&amp;"?utm_source="&amp;E1318&amp;"&amp;utm_medium="&amp;F1318&amp;"&amp;utm_campaign="&amp;H1318&amp;"&amp;utm_content="&amp;I1318</f>
        <v>https://eu-112.eu/?utm_source=google&amp;utm_medium=cpc&amp;utm_campaign=2610_ff_lansare&amp;utm_content=rece_general</v>
      </c>
    </row>
    <row r="1319" customFormat="false" ht="15" hidden="false" customHeight="false" outlineLevel="0" collapsed="false">
      <c r="A1319" s="10" t="s">
        <v>79</v>
      </c>
      <c r="B1319" s="10" t="str">
        <f aca="false">INDEX('Site-uri'!$B$2:$B$20,MATCH(A1319,'Site-uri'!$A$2:$A$20,0))</f>
        <v>eu-112.eu</v>
      </c>
      <c r="C1319" s="10" t="s">
        <v>141</v>
      </c>
      <c r="D1319" s="10" t="s">
        <v>225</v>
      </c>
      <c r="E1319" s="10" t="str">
        <f aca="false">INDEX(Canale!$C$2:$C$30,MATCH(C1319,Canale!$A$2:$A$30,0))</f>
        <v>google</v>
      </c>
      <c r="F1319" s="10" t="str">
        <f aca="false">INDEX(Canale!$D$2:$D$30,MATCH(C1319,Canale!$A$2:$A$30,0))</f>
        <v>cpc</v>
      </c>
      <c r="G1319" s="10" t="str">
        <f aca="false">INDEX('Site-uri'!$C$2:$C$20,MATCH(A1319,'Site-uri'!$A$2:$A$20,0))</f>
        <v>/</v>
      </c>
      <c r="H1319" s="10" t="str">
        <f aca="false">Config!$B$3</f>
        <v>2610_ff_lansare</v>
      </c>
      <c r="I1319" s="10" t="str">
        <f aca="false">D1319&amp;"_"&amp;Config!$B$4</f>
        <v>cald_general</v>
      </c>
      <c r="J1319" s="10" t="str">
        <f aca="false">"https://"&amp;B1319&amp;G1319&amp;"?utm_source="&amp;E1319&amp;"&amp;utm_medium="&amp;F1319&amp;"&amp;utm_campaign="&amp;H1319&amp;"&amp;utm_content="&amp;I1319</f>
        <v>https://eu-112.eu/?utm_source=google&amp;utm_medium=cpc&amp;utm_campaign=2610_ff_lansare&amp;utm_content=cald_general</v>
      </c>
    </row>
    <row r="1320" customFormat="false" ht="15" hidden="false" customHeight="false" outlineLevel="0" collapsed="false">
      <c r="A1320" s="10" t="s">
        <v>79</v>
      </c>
      <c r="B1320" s="10" t="str">
        <f aca="false">INDEX('Site-uri'!$B$2:$B$20,MATCH(A1320,'Site-uri'!$A$2:$A$20,0))</f>
        <v>eu-112.eu</v>
      </c>
      <c r="C1320" s="10" t="s">
        <v>141</v>
      </c>
      <c r="D1320" s="10" t="s">
        <v>231</v>
      </c>
      <c r="E1320" s="10" t="str">
        <f aca="false">INDEX(Canale!$C$2:$C$30,MATCH(C1320,Canale!$A$2:$A$30,0))</f>
        <v>google</v>
      </c>
      <c r="F1320" s="10" t="str">
        <f aca="false">INDEX(Canale!$D$2:$D$30,MATCH(C1320,Canale!$A$2:$A$30,0))</f>
        <v>cpc</v>
      </c>
      <c r="G1320" s="10" t="str">
        <f aca="false">INDEX('Site-uri'!$C$2:$C$20,MATCH(A1320,'Site-uri'!$A$2:$A$20,0))</f>
        <v>/</v>
      </c>
      <c r="H1320" s="10" t="str">
        <f aca="false">Config!$B$3</f>
        <v>2610_ff_lansare</v>
      </c>
      <c r="I1320" s="10" t="str">
        <f aca="false">D1320&amp;"_"&amp;Config!$B$4</f>
        <v>fierbinte_general</v>
      </c>
      <c r="J1320" s="10" t="str">
        <f aca="false">"https://"&amp;B1320&amp;G1320&amp;"?utm_source="&amp;E1320&amp;"&amp;utm_medium="&amp;F1320&amp;"&amp;utm_campaign="&amp;H1320&amp;"&amp;utm_content="&amp;I1320</f>
        <v>https://eu-112.eu/?utm_source=google&amp;utm_medium=cpc&amp;utm_campaign=2610_ff_lansare&amp;utm_content=fierbinte_general</v>
      </c>
    </row>
    <row r="1321" customFormat="false" ht="15" hidden="false" customHeight="false" outlineLevel="0" collapsed="false">
      <c r="A1321" s="10" t="s">
        <v>79</v>
      </c>
      <c r="B1321" s="10" t="str">
        <f aca="false">INDEX('Site-uri'!$B$2:$B$20,MATCH(A1321,'Site-uri'!$A$2:$A$20,0))</f>
        <v>eu-112.eu</v>
      </c>
      <c r="C1321" s="10" t="s">
        <v>141</v>
      </c>
      <c r="D1321" s="10" t="s">
        <v>237</v>
      </c>
      <c r="E1321" s="10" t="str">
        <f aca="false">INDEX(Canale!$C$2:$C$30,MATCH(C1321,Canale!$A$2:$A$30,0))</f>
        <v>google</v>
      </c>
      <c r="F1321" s="10" t="str">
        <f aca="false">INDEX(Canale!$D$2:$D$30,MATCH(C1321,Canale!$A$2:$A$30,0))</f>
        <v>cpc</v>
      </c>
      <c r="G1321" s="10" t="str">
        <f aca="false">INDEX('Site-uri'!$C$2:$C$20,MATCH(A1321,'Site-uri'!$A$2:$A$20,0))</f>
        <v>/</v>
      </c>
      <c r="H1321" s="10" t="str">
        <f aca="false">Config!$B$3</f>
        <v>2610_ff_lansare</v>
      </c>
      <c r="I1321" s="10" t="str">
        <f aca="false">D1321&amp;"_"&amp;Config!$B$4</f>
        <v>client_general</v>
      </c>
      <c r="J1321" s="10" t="str">
        <f aca="false">"https://"&amp;B1321&amp;G1321&amp;"?utm_source="&amp;E1321&amp;"&amp;utm_medium="&amp;F1321&amp;"&amp;utm_campaign="&amp;H1321&amp;"&amp;utm_content="&amp;I1321</f>
        <v>https://eu-112.eu/?utm_source=google&amp;utm_medium=cpc&amp;utm_campaign=2610_ff_lansare&amp;utm_content=client_general</v>
      </c>
    </row>
    <row r="1322" customFormat="false" ht="15" hidden="false" customHeight="false" outlineLevel="0" collapsed="false">
      <c r="A1322" s="10" t="s">
        <v>79</v>
      </c>
      <c r="B1322" s="10" t="str">
        <f aca="false">INDEX('Site-uri'!$B$2:$B$20,MATCH(A1322,'Site-uri'!$A$2:$A$20,0))</f>
        <v>eu-112.eu</v>
      </c>
      <c r="C1322" s="10" t="s">
        <v>146</v>
      </c>
      <c r="D1322" s="10" t="s">
        <v>219</v>
      </c>
      <c r="E1322" s="10" t="str">
        <f aca="false">INDEX(Canale!$C$2:$C$30,MATCH(C1322,Canale!$A$2:$A$30,0))</f>
        <v>bing</v>
      </c>
      <c r="F1322" s="10" t="str">
        <f aca="false">INDEX(Canale!$D$2:$D$30,MATCH(C1322,Canale!$A$2:$A$30,0))</f>
        <v>cpc</v>
      </c>
      <c r="G1322" s="10" t="str">
        <f aca="false">INDEX('Site-uri'!$C$2:$C$20,MATCH(A1322,'Site-uri'!$A$2:$A$20,0))</f>
        <v>/</v>
      </c>
      <c r="H1322" s="10" t="str">
        <f aca="false">Config!$B$3</f>
        <v>2610_ff_lansare</v>
      </c>
      <c r="I1322" s="10" t="str">
        <f aca="false">D1322&amp;"_"&amp;Config!$B$4</f>
        <v>rece_general</v>
      </c>
      <c r="J1322" s="10" t="str">
        <f aca="false">"https://"&amp;B1322&amp;G1322&amp;"?utm_source="&amp;E1322&amp;"&amp;utm_medium="&amp;F1322&amp;"&amp;utm_campaign="&amp;H1322&amp;"&amp;utm_content="&amp;I1322</f>
        <v>https://eu-112.eu/?utm_source=bing&amp;utm_medium=cpc&amp;utm_campaign=2610_ff_lansare&amp;utm_content=rece_general</v>
      </c>
    </row>
    <row r="1323" customFormat="false" ht="15" hidden="false" customHeight="false" outlineLevel="0" collapsed="false">
      <c r="A1323" s="10" t="s">
        <v>79</v>
      </c>
      <c r="B1323" s="10" t="str">
        <f aca="false">INDEX('Site-uri'!$B$2:$B$20,MATCH(A1323,'Site-uri'!$A$2:$A$20,0))</f>
        <v>eu-112.eu</v>
      </c>
      <c r="C1323" s="10" t="s">
        <v>146</v>
      </c>
      <c r="D1323" s="10" t="s">
        <v>225</v>
      </c>
      <c r="E1323" s="10" t="str">
        <f aca="false">INDEX(Canale!$C$2:$C$30,MATCH(C1323,Canale!$A$2:$A$30,0))</f>
        <v>bing</v>
      </c>
      <c r="F1323" s="10" t="str">
        <f aca="false">INDEX(Canale!$D$2:$D$30,MATCH(C1323,Canale!$A$2:$A$30,0))</f>
        <v>cpc</v>
      </c>
      <c r="G1323" s="10" t="str">
        <f aca="false">INDEX('Site-uri'!$C$2:$C$20,MATCH(A1323,'Site-uri'!$A$2:$A$20,0))</f>
        <v>/</v>
      </c>
      <c r="H1323" s="10" t="str">
        <f aca="false">Config!$B$3</f>
        <v>2610_ff_lansare</v>
      </c>
      <c r="I1323" s="10" t="str">
        <f aca="false">D1323&amp;"_"&amp;Config!$B$4</f>
        <v>cald_general</v>
      </c>
      <c r="J1323" s="10" t="str">
        <f aca="false">"https://"&amp;B1323&amp;G1323&amp;"?utm_source="&amp;E1323&amp;"&amp;utm_medium="&amp;F1323&amp;"&amp;utm_campaign="&amp;H1323&amp;"&amp;utm_content="&amp;I1323</f>
        <v>https://eu-112.eu/?utm_source=bing&amp;utm_medium=cpc&amp;utm_campaign=2610_ff_lansare&amp;utm_content=cald_general</v>
      </c>
    </row>
    <row r="1324" customFormat="false" ht="15" hidden="false" customHeight="false" outlineLevel="0" collapsed="false">
      <c r="A1324" s="10" t="s">
        <v>79</v>
      </c>
      <c r="B1324" s="10" t="str">
        <f aca="false">INDEX('Site-uri'!$B$2:$B$20,MATCH(A1324,'Site-uri'!$A$2:$A$20,0))</f>
        <v>eu-112.eu</v>
      </c>
      <c r="C1324" s="10" t="s">
        <v>146</v>
      </c>
      <c r="D1324" s="10" t="s">
        <v>231</v>
      </c>
      <c r="E1324" s="10" t="str">
        <f aca="false">INDEX(Canale!$C$2:$C$30,MATCH(C1324,Canale!$A$2:$A$30,0))</f>
        <v>bing</v>
      </c>
      <c r="F1324" s="10" t="str">
        <f aca="false">INDEX(Canale!$D$2:$D$30,MATCH(C1324,Canale!$A$2:$A$30,0))</f>
        <v>cpc</v>
      </c>
      <c r="G1324" s="10" t="str">
        <f aca="false">INDEX('Site-uri'!$C$2:$C$20,MATCH(A1324,'Site-uri'!$A$2:$A$20,0))</f>
        <v>/</v>
      </c>
      <c r="H1324" s="10" t="str">
        <f aca="false">Config!$B$3</f>
        <v>2610_ff_lansare</v>
      </c>
      <c r="I1324" s="10" t="str">
        <f aca="false">D1324&amp;"_"&amp;Config!$B$4</f>
        <v>fierbinte_general</v>
      </c>
      <c r="J1324" s="10" t="str">
        <f aca="false">"https://"&amp;B1324&amp;G1324&amp;"?utm_source="&amp;E1324&amp;"&amp;utm_medium="&amp;F1324&amp;"&amp;utm_campaign="&amp;H1324&amp;"&amp;utm_content="&amp;I1324</f>
        <v>https://eu-112.eu/?utm_source=bing&amp;utm_medium=cpc&amp;utm_campaign=2610_ff_lansare&amp;utm_content=fierbinte_general</v>
      </c>
    </row>
    <row r="1325" customFormat="false" ht="15" hidden="false" customHeight="false" outlineLevel="0" collapsed="false">
      <c r="A1325" s="10" t="s">
        <v>79</v>
      </c>
      <c r="B1325" s="10" t="str">
        <f aca="false">INDEX('Site-uri'!$B$2:$B$20,MATCH(A1325,'Site-uri'!$A$2:$A$20,0))</f>
        <v>eu-112.eu</v>
      </c>
      <c r="C1325" s="10" t="s">
        <v>146</v>
      </c>
      <c r="D1325" s="10" t="s">
        <v>237</v>
      </c>
      <c r="E1325" s="10" t="str">
        <f aca="false">INDEX(Canale!$C$2:$C$30,MATCH(C1325,Canale!$A$2:$A$30,0))</f>
        <v>bing</v>
      </c>
      <c r="F1325" s="10" t="str">
        <f aca="false">INDEX(Canale!$D$2:$D$30,MATCH(C1325,Canale!$A$2:$A$30,0))</f>
        <v>cpc</v>
      </c>
      <c r="G1325" s="10" t="str">
        <f aca="false">INDEX('Site-uri'!$C$2:$C$20,MATCH(A1325,'Site-uri'!$A$2:$A$20,0))</f>
        <v>/</v>
      </c>
      <c r="H1325" s="10" t="str">
        <f aca="false">Config!$B$3</f>
        <v>2610_ff_lansare</v>
      </c>
      <c r="I1325" s="10" t="str">
        <f aca="false">D1325&amp;"_"&amp;Config!$B$4</f>
        <v>client_general</v>
      </c>
      <c r="J1325" s="10" t="str">
        <f aca="false">"https://"&amp;B1325&amp;G1325&amp;"?utm_source="&amp;E1325&amp;"&amp;utm_medium="&amp;F1325&amp;"&amp;utm_campaign="&amp;H1325&amp;"&amp;utm_content="&amp;I1325</f>
        <v>https://eu-112.eu/?utm_source=bing&amp;utm_medium=cpc&amp;utm_campaign=2610_ff_lansare&amp;utm_content=client_general</v>
      </c>
    </row>
    <row r="1326" customFormat="false" ht="15" hidden="false" customHeight="false" outlineLevel="0" collapsed="false">
      <c r="A1326" s="10" t="s">
        <v>79</v>
      </c>
      <c r="B1326" s="10" t="str">
        <f aca="false">INDEX('Site-uri'!$B$2:$B$20,MATCH(A1326,'Site-uri'!$A$2:$A$20,0))</f>
        <v>eu-112.eu</v>
      </c>
      <c r="C1326" s="10" t="s">
        <v>149</v>
      </c>
      <c r="D1326" s="10" t="s">
        <v>219</v>
      </c>
      <c r="E1326" s="10" t="str">
        <f aca="false">INDEX(Canale!$C$2:$C$30,MATCH(C1326,Canale!$A$2:$A$30,0))</f>
        <v>facebook</v>
      </c>
      <c r="F1326" s="10" t="str">
        <f aca="false">INDEX(Canale!$D$2:$D$30,MATCH(C1326,Canale!$A$2:$A$30,0))</f>
        <v>social</v>
      </c>
      <c r="G1326" s="10" t="str">
        <f aca="false">INDEX('Site-uri'!$C$2:$C$20,MATCH(A1326,'Site-uri'!$A$2:$A$20,0))</f>
        <v>/</v>
      </c>
      <c r="H1326" s="10" t="str">
        <f aca="false">Config!$B$3</f>
        <v>2610_ff_lansare</v>
      </c>
      <c r="I1326" s="10" t="str">
        <f aca="false">D1326&amp;"_"&amp;Config!$B$4</f>
        <v>rece_general</v>
      </c>
      <c r="J1326" s="10" t="str">
        <f aca="false">"https://"&amp;B1326&amp;G1326&amp;"?utm_source="&amp;E1326&amp;"&amp;utm_medium="&amp;F1326&amp;"&amp;utm_campaign="&amp;H1326&amp;"&amp;utm_content="&amp;I1326</f>
        <v>https://eu-112.eu/?utm_source=facebook&amp;utm_medium=social&amp;utm_campaign=2610_ff_lansare&amp;utm_content=rece_general</v>
      </c>
    </row>
    <row r="1327" customFormat="false" ht="15" hidden="false" customHeight="false" outlineLevel="0" collapsed="false">
      <c r="A1327" s="10" t="s">
        <v>79</v>
      </c>
      <c r="B1327" s="10" t="str">
        <f aca="false">INDEX('Site-uri'!$B$2:$B$20,MATCH(A1327,'Site-uri'!$A$2:$A$20,0))</f>
        <v>eu-112.eu</v>
      </c>
      <c r="C1327" s="10" t="s">
        <v>149</v>
      </c>
      <c r="D1327" s="10" t="s">
        <v>225</v>
      </c>
      <c r="E1327" s="10" t="str">
        <f aca="false">INDEX(Canale!$C$2:$C$30,MATCH(C1327,Canale!$A$2:$A$30,0))</f>
        <v>facebook</v>
      </c>
      <c r="F1327" s="10" t="str">
        <f aca="false">INDEX(Canale!$D$2:$D$30,MATCH(C1327,Canale!$A$2:$A$30,0))</f>
        <v>social</v>
      </c>
      <c r="G1327" s="10" t="str">
        <f aca="false">INDEX('Site-uri'!$C$2:$C$20,MATCH(A1327,'Site-uri'!$A$2:$A$20,0))</f>
        <v>/</v>
      </c>
      <c r="H1327" s="10" t="str">
        <f aca="false">Config!$B$3</f>
        <v>2610_ff_lansare</v>
      </c>
      <c r="I1327" s="10" t="str">
        <f aca="false">D1327&amp;"_"&amp;Config!$B$4</f>
        <v>cald_general</v>
      </c>
      <c r="J1327" s="10" t="str">
        <f aca="false">"https://"&amp;B1327&amp;G1327&amp;"?utm_source="&amp;E1327&amp;"&amp;utm_medium="&amp;F1327&amp;"&amp;utm_campaign="&amp;H1327&amp;"&amp;utm_content="&amp;I1327</f>
        <v>https://eu-112.eu/?utm_source=facebook&amp;utm_medium=social&amp;utm_campaign=2610_ff_lansare&amp;utm_content=cald_general</v>
      </c>
    </row>
    <row r="1328" customFormat="false" ht="15" hidden="false" customHeight="false" outlineLevel="0" collapsed="false">
      <c r="A1328" s="10" t="s">
        <v>79</v>
      </c>
      <c r="B1328" s="10" t="str">
        <f aca="false">INDEX('Site-uri'!$B$2:$B$20,MATCH(A1328,'Site-uri'!$A$2:$A$20,0))</f>
        <v>eu-112.eu</v>
      </c>
      <c r="C1328" s="10" t="s">
        <v>149</v>
      </c>
      <c r="D1328" s="10" t="s">
        <v>231</v>
      </c>
      <c r="E1328" s="10" t="str">
        <f aca="false">INDEX(Canale!$C$2:$C$30,MATCH(C1328,Canale!$A$2:$A$30,0))</f>
        <v>facebook</v>
      </c>
      <c r="F1328" s="10" t="str">
        <f aca="false">INDEX(Canale!$D$2:$D$30,MATCH(C1328,Canale!$A$2:$A$30,0))</f>
        <v>social</v>
      </c>
      <c r="G1328" s="10" t="str">
        <f aca="false">INDEX('Site-uri'!$C$2:$C$20,MATCH(A1328,'Site-uri'!$A$2:$A$20,0))</f>
        <v>/</v>
      </c>
      <c r="H1328" s="10" t="str">
        <f aca="false">Config!$B$3</f>
        <v>2610_ff_lansare</v>
      </c>
      <c r="I1328" s="10" t="str">
        <f aca="false">D1328&amp;"_"&amp;Config!$B$4</f>
        <v>fierbinte_general</v>
      </c>
      <c r="J1328" s="10" t="str">
        <f aca="false">"https://"&amp;B1328&amp;G1328&amp;"?utm_source="&amp;E1328&amp;"&amp;utm_medium="&amp;F1328&amp;"&amp;utm_campaign="&amp;H1328&amp;"&amp;utm_content="&amp;I1328</f>
        <v>https://eu-112.eu/?utm_source=facebook&amp;utm_medium=social&amp;utm_campaign=2610_ff_lansare&amp;utm_content=fierbinte_general</v>
      </c>
    </row>
    <row r="1329" customFormat="false" ht="15" hidden="false" customHeight="false" outlineLevel="0" collapsed="false">
      <c r="A1329" s="10" t="s">
        <v>79</v>
      </c>
      <c r="B1329" s="10" t="str">
        <f aca="false">INDEX('Site-uri'!$B$2:$B$20,MATCH(A1329,'Site-uri'!$A$2:$A$20,0))</f>
        <v>eu-112.eu</v>
      </c>
      <c r="C1329" s="10" t="s">
        <v>149</v>
      </c>
      <c r="D1329" s="10" t="s">
        <v>237</v>
      </c>
      <c r="E1329" s="10" t="str">
        <f aca="false">INDEX(Canale!$C$2:$C$30,MATCH(C1329,Canale!$A$2:$A$30,0))</f>
        <v>facebook</v>
      </c>
      <c r="F1329" s="10" t="str">
        <f aca="false">INDEX(Canale!$D$2:$D$30,MATCH(C1329,Canale!$A$2:$A$30,0))</f>
        <v>social</v>
      </c>
      <c r="G1329" s="10" t="str">
        <f aca="false">INDEX('Site-uri'!$C$2:$C$20,MATCH(A1329,'Site-uri'!$A$2:$A$20,0))</f>
        <v>/</v>
      </c>
      <c r="H1329" s="10" t="str">
        <f aca="false">Config!$B$3</f>
        <v>2610_ff_lansare</v>
      </c>
      <c r="I1329" s="10" t="str">
        <f aca="false">D1329&amp;"_"&amp;Config!$B$4</f>
        <v>client_general</v>
      </c>
      <c r="J1329" s="10" t="str">
        <f aca="false">"https://"&amp;B1329&amp;G1329&amp;"?utm_source="&amp;E1329&amp;"&amp;utm_medium="&amp;F1329&amp;"&amp;utm_campaign="&amp;H1329&amp;"&amp;utm_content="&amp;I1329</f>
        <v>https://eu-112.eu/?utm_source=facebook&amp;utm_medium=social&amp;utm_campaign=2610_ff_lansare&amp;utm_content=client_general</v>
      </c>
    </row>
    <row r="1330" customFormat="false" ht="15" hidden="false" customHeight="false" outlineLevel="0" collapsed="false">
      <c r="A1330" s="10" t="s">
        <v>79</v>
      </c>
      <c r="B1330" s="10" t="str">
        <f aca="false">INDEX('Site-uri'!$B$2:$B$20,MATCH(A1330,'Site-uri'!$A$2:$A$20,0))</f>
        <v>eu-112.eu</v>
      </c>
      <c r="C1330" s="10" t="s">
        <v>153</v>
      </c>
      <c r="D1330" s="10" t="s">
        <v>219</v>
      </c>
      <c r="E1330" s="10" t="str">
        <f aca="false">INDEX(Canale!$C$2:$C$30,MATCH(C1330,Canale!$A$2:$A$30,0))</f>
        <v>x</v>
      </c>
      <c r="F1330" s="10" t="str">
        <f aca="false">INDEX(Canale!$D$2:$D$30,MATCH(C1330,Canale!$A$2:$A$30,0))</f>
        <v>social</v>
      </c>
      <c r="G1330" s="10" t="str">
        <f aca="false">INDEX('Site-uri'!$C$2:$C$20,MATCH(A1330,'Site-uri'!$A$2:$A$20,0))</f>
        <v>/</v>
      </c>
      <c r="H1330" s="10" t="str">
        <f aca="false">Config!$B$3</f>
        <v>2610_ff_lansare</v>
      </c>
      <c r="I1330" s="10" t="str">
        <f aca="false">D1330&amp;"_"&amp;Config!$B$4</f>
        <v>rece_general</v>
      </c>
      <c r="J1330" s="10" t="str">
        <f aca="false">"https://"&amp;B1330&amp;G1330&amp;"?utm_source="&amp;E1330&amp;"&amp;utm_medium="&amp;F1330&amp;"&amp;utm_campaign="&amp;H1330&amp;"&amp;utm_content="&amp;I1330</f>
        <v>https://eu-112.eu/?utm_source=x&amp;utm_medium=social&amp;utm_campaign=2610_ff_lansare&amp;utm_content=rece_general</v>
      </c>
    </row>
    <row r="1331" customFormat="false" ht="15" hidden="false" customHeight="false" outlineLevel="0" collapsed="false">
      <c r="A1331" s="10" t="s">
        <v>79</v>
      </c>
      <c r="B1331" s="10" t="str">
        <f aca="false">INDEX('Site-uri'!$B$2:$B$20,MATCH(A1331,'Site-uri'!$A$2:$A$20,0))</f>
        <v>eu-112.eu</v>
      </c>
      <c r="C1331" s="10" t="s">
        <v>153</v>
      </c>
      <c r="D1331" s="10" t="s">
        <v>225</v>
      </c>
      <c r="E1331" s="10" t="str">
        <f aca="false">INDEX(Canale!$C$2:$C$30,MATCH(C1331,Canale!$A$2:$A$30,0))</f>
        <v>x</v>
      </c>
      <c r="F1331" s="10" t="str">
        <f aca="false">INDEX(Canale!$D$2:$D$30,MATCH(C1331,Canale!$A$2:$A$30,0))</f>
        <v>social</v>
      </c>
      <c r="G1331" s="10" t="str">
        <f aca="false">INDEX('Site-uri'!$C$2:$C$20,MATCH(A1331,'Site-uri'!$A$2:$A$20,0))</f>
        <v>/</v>
      </c>
      <c r="H1331" s="10" t="str">
        <f aca="false">Config!$B$3</f>
        <v>2610_ff_lansare</v>
      </c>
      <c r="I1331" s="10" t="str">
        <f aca="false">D1331&amp;"_"&amp;Config!$B$4</f>
        <v>cald_general</v>
      </c>
      <c r="J1331" s="10" t="str">
        <f aca="false">"https://"&amp;B1331&amp;G1331&amp;"?utm_source="&amp;E1331&amp;"&amp;utm_medium="&amp;F1331&amp;"&amp;utm_campaign="&amp;H1331&amp;"&amp;utm_content="&amp;I1331</f>
        <v>https://eu-112.eu/?utm_source=x&amp;utm_medium=social&amp;utm_campaign=2610_ff_lansare&amp;utm_content=cald_general</v>
      </c>
    </row>
    <row r="1332" customFormat="false" ht="15" hidden="false" customHeight="false" outlineLevel="0" collapsed="false">
      <c r="A1332" s="10" t="s">
        <v>79</v>
      </c>
      <c r="B1332" s="10" t="str">
        <f aca="false">INDEX('Site-uri'!$B$2:$B$20,MATCH(A1332,'Site-uri'!$A$2:$A$20,0))</f>
        <v>eu-112.eu</v>
      </c>
      <c r="C1332" s="10" t="s">
        <v>153</v>
      </c>
      <c r="D1332" s="10" t="s">
        <v>231</v>
      </c>
      <c r="E1332" s="10" t="str">
        <f aca="false">INDEX(Canale!$C$2:$C$30,MATCH(C1332,Canale!$A$2:$A$30,0))</f>
        <v>x</v>
      </c>
      <c r="F1332" s="10" t="str">
        <f aca="false">INDEX(Canale!$D$2:$D$30,MATCH(C1332,Canale!$A$2:$A$30,0))</f>
        <v>social</v>
      </c>
      <c r="G1332" s="10" t="str">
        <f aca="false">INDEX('Site-uri'!$C$2:$C$20,MATCH(A1332,'Site-uri'!$A$2:$A$20,0))</f>
        <v>/</v>
      </c>
      <c r="H1332" s="10" t="str">
        <f aca="false">Config!$B$3</f>
        <v>2610_ff_lansare</v>
      </c>
      <c r="I1332" s="10" t="str">
        <f aca="false">D1332&amp;"_"&amp;Config!$B$4</f>
        <v>fierbinte_general</v>
      </c>
      <c r="J1332" s="10" t="str">
        <f aca="false">"https://"&amp;B1332&amp;G1332&amp;"?utm_source="&amp;E1332&amp;"&amp;utm_medium="&amp;F1332&amp;"&amp;utm_campaign="&amp;H1332&amp;"&amp;utm_content="&amp;I1332</f>
        <v>https://eu-112.eu/?utm_source=x&amp;utm_medium=social&amp;utm_campaign=2610_ff_lansare&amp;utm_content=fierbinte_general</v>
      </c>
    </row>
    <row r="1333" customFormat="false" ht="15" hidden="false" customHeight="false" outlineLevel="0" collapsed="false">
      <c r="A1333" s="10" t="s">
        <v>79</v>
      </c>
      <c r="B1333" s="10" t="str">
        <f aca="false">INDEX('Site-uri'!$B$2:$B$20,MATCH(A1333,'Site-uri'!$A$2:$A$20,0))</f>
        <v>eu-112.eu</v>
      </c>
      <c r="C1333" s="10" t="s">
        <v>153</v>
      </c>
      <c r="D1333" s="10" t="s">
        <v>237</v>
      </c>
      <c r="E1333" s="10" t="str">
        <f aca="false">INDEX(Canale!$C$2:$C$30,MATCH(C1333,Canale!$A$2:$A$30,0))</f>
        <v>x</v>
      </c>
      <c r="F1333" s="10" t="str">
        <f aca="false">INDEX(Canale!$D$2:$D$30,MATCH(C1333,Canale!$A$2:$A$30,0))</f>
        <v>social</v>
      </c>
      <c r="G1333" s="10" t="str">
        <f aca="false">INDEX('Site-uri'!$C$2:$C$20,MATCH(A1333,'Site-uri'!$A$2:$A$20,0))</f>
        <v>/</v>
      </c>
      <c r="H1333" s="10" t="str">
        <f aca="false">Config!$B$3</f>
        <v>2610_ff_lansare</v>
      </c>
      <c r="I1333" s="10" t="str">
        <f aca="false">D1333&amp;"_"&amp;Config!$B$4</f>
        <v>client_general</v>
      </c>
      <c r="J1333" s="10" t="str">
        <f aca="false">"https://"&amp;B1333&amp;G1333&amp;"?utm_source="&amp;E1333&amp;"&amp;utm_medium="&amp;F1333&amp;"&amp;utm_campaign="&amp;H1333&amp;"&amp;utm_content="&amp;I1333</f>
        <v>https://eu-112.eu/?utm_source=x&amp;utm_medium=social&amp;utm_campaign=2610_ff_lansare&amp;utm_content=client_general</v>
      </c>
    </row>
    <row r="1334" customFormat="false" ht="15" hidden="false" customHeight="false" outlineLevel="0" collapsed="false">
      <c r="A1334" s="10" t="s">
        <v>79</v>
      </c>
      <c r="B1334" s="10" t="str">
        <f aca="false">INDEX('Site-uri'!$B$2:$B$20,MATCH(A1334,'Site-uri'!$A$2:$A$20,0))</f>
        <v>eu-112.eu</v>
      </c>
      <c r="C1334" s="10" t="s">
        <v>155</v>
      </c>
      <c r="D1334" s="10" t="s">
        <v>219</v>
      </c>
      <c r="E1334" s="10" t="str">
        <f aca="false">INDEX(Canale!$C$2:$C$30,MATCH(C1334,Canale!$A$2:$A$30,0))</f>
        <v>youtube</v>
      </c>
      <c r="F1334" s="10" t="str">
        <f aca="false">INDEX(Canale!$D$2:$D$30,MATCH(C1334,Canale!$A$2:$A$30,0))</f>
        <v>video</v>
      </c>
      <c r="G1334" s="10" t="str">
        <f aca="false">INDEX('Site-uri'!$C$2:$C$20,MATCH(A1334,'Site-uri'!$A$2:$A$20,0))</f>
        <v>/</v>
      </c>
      <c r="H1334" s="10" t="str">
        <f aca="false">Config!$B$3</f>
        <v>2610_ff_lansare</v>
      </c>
      <c r="I1334" s="10" t="str">
        <f aca="false">D1334&amp;"_"&amp;Config!$B$4</f>
        <v>rece_general</v>
      </c>
      <c r="J1334" s="10" t="str">
        <f aca="false">"https://"&amp;B1334&amp;G1334&amp;"?utm_source="&amp;E1334&amp;"&amp;utm_medium="&amp;F1334&amp;"&amp;utm_campaign="&amp;H1334&amp;"&amp;utm_content="&amp;I1334</f>
        <v>https://eu-112.eu/?utm_source=youtube&amp;utm_medium=video&amp;utm_campaign=2610_ff_lansare&amp;utm_content=rece_general</v>
      </c>
    </row>
    <row r="1335" customFormat="false" ht="15" hidden="false" customHeight="false" outlineLevel="0" collapsed="false">
      <c r="A1335" s="10" t="s">
        <v>79</v>
      </c>
      <c r="B1335" s="10" t="str">
        <f aca="false">INDEX('Site-uri'!$B$2:$B$20,MATCH(A1335,'Site-uri'!$A$2:$A$20,0))</f>
        <v>eu-112.eu</v>
      </c>
      <c r="C1335" s="10" t="s">
        <v>155</v>
      </c>
      <c r="D1335" s="10" t="s">
        <v>225</v>
      </c>
      <c r="E1335" s="10" t="str">
        <f aca="false">INDEX(Canale!$C$2:$C$30,MATCH(C1335,Canale!$A$2:$A$30,0))</f>
        <v>youtube</v>
      </c>
      <c r="F1335" s="10" t="str">
        <f aca="false">INDEX(Canale!$D$2:$D$30,MATCH(C1335,Canale!$A$2:$A$30,0))</f>
        <v>video</v>
      </c>
      <c r="G1335" s="10" t="str">
        <f aca="false">INDEX('Site-uri'!$C$2:$C$20,MATCH(A1335,'Site-uri'!$A$2:$A$20,0))</f>
        <v>/</v>
      </c>
      <c r="H1335" s="10" t="str">
        <f aca="false">Config!$B$3</f>
        <v>2610_ff_lansare</v>
      </c>
      <c r="I1335" s="10" t="str">
        <f aca="false">D1335&amp;"_"&amp;Config!$B$4</f>
        <v>cald_general</v>
      </c>
      <c r="J1335" s="10" t="str">
        <f aca="false">"https://"&amp;B1335&amp;G1335&amp;"?utm_source="&amp;E1335&amp;"&amp;utm_medium="&amp;F1335&amp;"&amp;utm_campaign="&amp;H1335&amp;"&amp;utm_content="&amp;I1335</f>
        <v>https://eu-112.eu/?utm_source=youtube&amp;utm_medium=video&amp;utm_campaign=2610_ff_lansare&amp;utm_content=cald_general</v>
      </c>
    </row>
    <row r="1336" customFormat="false" ht="15" hidden="false" customHeight="false" outlineLevel="0" collapsed="false">
      <c r="A1336" s="10" t="s">
        <v>79</v>
      </c>
      <c r="B1336" s="10" t="str">
        <f aca="false">INDEX('Site-uri'!$B$2:$B$20,MATCH(A1336,'Site-uri'!$A$2:$A$20,0))</f>
        <v>eu-112.eu</v>
      </c>
      <c r="C1336" s="10" t="s">
        <v>155</v>
      </c>
      <c r="D1336" s="10" t="s">
        <v>231</v>
      </c>
      <c r="E1336" s="10" t="str">
        <f aca="false">INDEX(Canale!$C$2:$C$30,MATCH(C1336,Canale!$A$2:$A$30,0))</f>
        <v>youtube</v>
      </c>
      <c r="F1336" s="10" t="str">
        <f aca="false">INDEX(Canale!$D$2:$D$30,MATCH(C1336,Canale!$A$2:$A$30,0))</f>
        <v>video</v>
      </c>
      <c r="G1336" s="10" t="str">
        <f aca="false">INDEX('Site-uri'!$C$2:$C$20,MATCH(A1336,'Site-uri'!$A$2:$A$20,0))</f>
        <v>/</v>
      </c>
      <c r="H1336" s="10" t="str">
        <f aca="false">Config!$B$3</f>
        <v>2610_ff_lansare</v>
      </c>
      <c r="I1336" s="10" t="str">
        <f aca="false">D1336&amp;"_"&amp;Config!$B$4</f>
        <v>fierbinte_general</v>
      </c>
      <c r="J1336" s="10" t="str">
        <f aca="false">"https://"&amp;B1336&amp;G1336&amp;"?utm_source="&amp;E1336&amp;"&amp;utm_medium="&amp;F1336&amp;"&amp;utm_campaign="&amp;H1336&amp;"&amp;utm_content="&amp;I1336</f>
        <v>https://eu-112.eu/?utm_source=youtube&amp;utm_medium=video&amp;utm_campaign=2610_ff_lansare&amp;utm_content=fierbinte_general</v>
      </c>
    </row>
    <row r="1337" customFormat="false" ht="15" hidden="false" customHeight="false" outlineLevel="0" collapsed="false">
      <c r="A1337" s="10" t="s">
        <v>79</v>
      </c>
      <c r="B1337" s="10" t="str">
        <f aca="false">INDEX('Site-uri'!$B$2:$B$20,MATCH(A1337,'Site-uri'!$A$2:$A$20,0))</f>
        <v>eu-112.eu</v>
      </c>
      <c r="C1337" s="10" t="s">
        <v>155</v>
      </c>
      <c r="D1337" s="10" t="s">
        <v>237</v>
      </c>
      <c r="E1337" s="10" t="str">
        <f aca="false">INDEX(Canale!$C$2:$C$30,MATCH(C1337,Canale!$A$2:$A$30,0))</f>
        <v>youtube</v>
      </c>
      <c r="F1337" s="10" t="str">
        <f aca="false">INDEX(Canale!$D$2:$D$30,MATCH(C1337,Canale!$A$2:$A$30,0))</f>
        <v>video</v>
      </c>
      <c r="G1337" s="10" t="str">
        <f aca="false">INDEX('Site-uri'!$C$2:$C$20,MATCH(A1337,'Site-uri'!$A$2:$A$20,0))</f>
        <v>/</v>
      </c>
      <c r="H1337" s="10" t="str">
        <f aca="false">Config!$B$3</f>
        <v>2610_ff_lansare</v>
      </c>
      <c r="I1337" s="10" t="str">
        <f aca="false">D1337&amp;"_"&amp;Config!$B$4</f>
        <v>client_general</v>
      </c>
      <c r="J1337" s="10" t="str">
        <f aca="false">"https://"&amp;B1337&amp;G1337&amp;"?utm_source="&amp;E1337&amp;"&amp;utm_medium="&amp;F1337&amp;"&amp;utm_campaign="&amp;H1337&amp;"&amp;utm_content="&amp;I1337</f>
        <v>https://eu-112.eu/?utm_source=youtube&amp;utm_medium=video&amp;utm_campaign=2610_ff_lansare&amp;utm_content=client_general</v>
      </c>
    </row>
    <row r="1338" customFormat="false" ht="15" hidden="false" customHeight="false" outlineLevel="0" collapsed="false">
      <c r="A1338" s="10" t="s">
        <v>79</v>
      </c>
      <c r="B1338" s="10" t="str">
        <f aca="false">INDEX('Site-uri'!$B$2:$B$20,MATCH(A1338,'Site-uri'!$A$2:$A$20,0))</f>
        <v>eu-112.eu</v>
      </c>
      <c r="C1338" s="10" t="s">
        <v>160</v>
      </c>
      <c r="D1338" s="10" t="s">
        <v>219</v>
      </c>
      <c r="E1338" s="10" t="str">
        <f aca="false">INDEX(Canale!$C$2:$C$30,MATCH(C1338,Canale!$A$2:$A$30,0))</f>
        <v>medium</v>
      </c>
      <c r="F1338" s="10" t="str">
        <f aca="false">INDEX(Canale!$D$2:$D$30,MATCH(C1338,Canale!$A$2:$A$30,0))</f>
        <v>content</v>
      </c>
      <c r="G1338" s="10" t="str">
        <f aca="false">INDEX('Site-uri'!$C$2:$C$20,MATCH(A1338,'Site-uri'!$A$2:$A$20,0))</f>
        <v>/</v>
      </c>
      <c r="H1338" s="10" t="str">
        <f aca="false">Config!$B$3</f>
        <v>2610_ff_lansare</v>
      </c>
      <c r="I1338" s="10" t="str">
        <f aca="false">D1338&amp;"_"&amp;Config!$B$4</f>
        <v>rece_general</v>
      </c>
      <c r="J1338" s="10" t="str">
        <f aca="false">"https://"&amp;B1338&amp;G1338&amp;"?utm_source="&amp;E1338&amp;"&amp;utm_medium="&amp;F1338&amp;"&amp;utm_campaign="&amp;H1338&amp;"&amp;utm_content="&amp;I1338</f>
        <v>https://eu-112.eu/?utm_source=medium&amp;utm_medium=content&amp;utm_campaign=2610_ff_lansare&amp;utm_content=rece_general</v>
      </c>
    </row>
    <row r="1339" customFormat="false" ht="15" hidden="false" customHeight="false" outlineLevel="0" collapsed="false">
      <c r="A1339" s="10" t="s">
        <v>79</v>
      </c>
      <c r="B1339" s="10" t="str">
        <f aca="false">INDEX('Site-uri'!$B$2:$B$20,MATCH(A1339,'Site-uri'!$A$2:$A$20,0))</f>
        <v>eu-112.eu</v>
      </c>
      <c r="C1339" s="10" t="s">
        <v>160</v>
      </c>
      <c r="D1339" s="10" t="s">
        <v>225</v>
      </c>
      <c r="E1339" s="10" t="str">
        <f aca="false">INDEX(Canale!$C$2:$C$30,MATCH(C1339,Canale!$A$2:$A$30,0))</f>
        <v>medium</v>
      </c>
      <c r="F1339" s="10" t="str">
        <f aca="false">INDEX(Canale!$D$2:$D$30,MATCH(C1339,Canale!$A$2:$A$30,0))</f>
        <v>content</v>
      </c>
      <c r="G1339" s="10" t="str">
        <f aca="false">INDEX('Site-uri'!$C$2:$C$20,MATCH(A1339,'Site-uri'!$A$2:$A$20,0))</f>
        <v>/</v>
      </c>
      <c r="H1339" s="10" t="str">
        <f aca="false">Config!$B$3</f>
        <v>2610_ff_lansare</v>
      </c>
      <c r="I1339" s="10" t="str">
        <f aca="false">D1339&amp;"_"&amp;Config!$B$4</f>
        <v>cald_general</v>
      </c>
      <c r="J1339" s="10" t="str">
        <f aca="false">"https://"&amp;B1339&amp;G1339&amp;"?utm_source="&amp;E1339&amp;"&amp;utm_medium="&amp;F1339&amp;"&amp;utm_campaign="&amp;H1339&amp;"&amp;utm_content="&amp;I1339</f>
        <v>https://eu-112.eu/?utm_source=medium&amp;utm_medium=content&amp;utm_campaign=2610_ff_lansare&amp;utm_content=cald_general</v>
      </c>
    </row>
    <row r="1340" customFormat="false" ht="15" hidden="false" customHeight="false" outlineLevel="0" collapsed="false">
      <c r="A1340" s="10" t="s">
        <v>79</v>
      </c>
      <c r="B1340" s="10" t="str">
        <f aca="false">INDEX('Site-uri'!$B$2:$B$20,MATCH(A1340,'Site-uri'!$A$2:$A$20,0))</f>
        <v>eu-112.eu</v>
      </c>
      <c r="C1340" s="10" t="s">
        <v>160</v>
      </c>
      <c r="D1340" s="10" t="s">
        <v>231</v>
      </c>
      <c r="E1340" s="10" t="str">
        <f aca="false">INDEX(Canale!$C$2:$C$30,MATCH(C1340,Canale!$A$2:$A$30,0))</f>
        <v>medium</v>
      </c>
      <c r="F1340" s="10" t="str">
        <f aca="false">INDEX(Canale!$D$2:$D$30,MATCH(C1340,Canale!$A$2:$A$30,0))</f>
        <v>content</v>
      </c>
      <c r="G1340" s="10" t="str">
        <f aca="false">INDEX('Site-uri'!$C$2:$C$20,MATCH(A1340,'Site-uri'!$A$2:$A$20,0))</f>
        <v>/</v>
      </c>
      <c r="H1340" s="10" t="str">
        <f aca="false">Config!$B$3</f>
        <v>2610_ff_lansare</v>
      </c>
      <c r="I1340" s="10" t="str">
        <f aca="false">D1340&amp;"_"&amp;Config!$B$4</f>
        <v>fierbinte_general</v>
      </c>
      <c r="J1340" s="10" t="str">
        <f aca="false">"https://"&amp;B1340&amp;G1340&amp;"?utm_source="&amp;E1340&amp;"&amp;utm_medium="&amp;F1340&amp;"&amp;utm_campaign="&amp;H1340&amp;"&amp;utm_content="&amp;I1340</f>
        <v>https://eu-112.eu/?utm_source=medium&amp;utm_medium=content&amp;utm_campaign=2610_ff_lansare&amp;utm_content=fierbinte_general</v>
      </c>
    </row>
    <row r="1341" customFormat="false" ht="15" hidden="false" customHeight="false" outlineLevel="0" collapsed="false">
      <c r="A1341" s="10" t="s">
        <v>79</v>
      </c>
      <c r="B1341" s="10" t="str">
        <f aca="false">INDEX('Site-uri'!$B$2:$B$20,MATCH(A1341,'Site-uri'!$A$2:$A$20,0))</f>
        <v>eu-112.eu</v>
      </c>
      <c r="C1341" s="10" t="s">
        <v>160</v>
      </c>
      <c r="D1341" s="10" t="s">
        <v>237</v>
      </c>
      <c r="E1341" s="10" t="str">
        <f aca="false">INDEX(Canale!$C$2:$C$30,MATCH(C1341,Canale!$A$2:$A$30,0))</f>
        <v>medium</v>
      </c>
      <c r="F1341" s="10" t="str">
        <f aca="false">INDEX(Canale!$D$2:$D$30,MATCH(C1341,Canale!$A$2:$A$30,0))</f>
        <v>content</v>
      </c>
      <c r="G1341" s="10" t="str">
        <f aca="false">INDEX('Site-uri'!$C$2:$C$20,MATCH(A1341,'Site-uri'!$A$2:$A$20,0))</f>
        <v>/</v>
      </c>
      <c r="H1341" s="10" t="str">
        <f aca="false">Config!$B$3</f>
        <v>2610_ff_lansare</v>
      </c>
      <c r="I1341" s="10" t="str">
        <f aca="false">D1341&amp;"_"&amp;Config!$B$4</f>
        <v>client_general</v>
      </c>
      <c r="J1341" s="10" t="str">
        <f aca="false">"https://"&amp;B1341&amp;G1341&amp;"?utm_source="&amp;E1341&amp;"&amp;utm_medium="&amp;F1341&amp;"&amp;utm_campaign="&amp;H1341&amp;"&amp;utm_content="&amp;I1341</f>
        <v>https://eu-112.eu/?utm_source=medium&amp;utm_medium=content&amp;utm_campaign=2610_ff_lansare&amp;utm_content=client_general</v>
      </c>
    </row>
    <row r="1342" customFormat="false" ht="15" hidden="false" customHeight="false" outlineLevel="0" collapsed="false">
      <c r="A1342" s="10" t="s">
        <v>79</v>
      </c>
      <c r="B1342" s="10" t="str">
        <f aca="false">INDEX('Site-uri'!$B$2:$B$20,MATCH(A1342,'Site-uri'!$A$2:$A$20,0))</f>
        <v>eu-112.eu</v>
      </c>
      <c r="C1342" s="10" t="s">
        <v>165</v>
      </c>
      <c r="D1342" s="10" t="s">
        <v>219</v>
      </c>
      <c r="E1342" s="10" t="str">
        <f aca="false">INDEX(Canale!$C$2:$C$30,MATCH(C1342,Canale!$A$2:$A$30,0))</f>
        <v>crunchbase</v>
      </c>
      <c r="F1342" s="10" t="str">
        <f aca="false">INDEX(Canale!$D$2:$D$30,MATCH(C1342,Canale!$A$2:$A$30,0))</f>
        <v>referral</v>
      </c>
      <c r="G1342" s="10" t="str">
        <f aca="false">INDEX('Site-uri'!$C$2:$C$20,MATCH(A1342,'Site-uri'!$A$2:$A$20,0))</f>
        <v>/</v>
      </c>
      <c r="H1342" s="10" t="str">
        <f aca="false">Config!$B$3</f>
        <v>2610_ff_lansare</v>
      </c>
      <c r="I1342" s="10" t="str">
        <f aca="false">D1342&amp;"_"&amp;Config!$B$4</f>
        <v>rece_general</v>
      </c>
      <c r="J1342" s="10" t="str">
        <f aca="false">"https://"&amp;B1342&amp;G1342&amp;"?utm_source="&amp;E1342&amp;"&amp;utm_medium="&amp;F1342&amp;"&amp;utm_campaign="&amp;H1342&amp;"&amp;utm_content="&amp;I1342</f>
        <v>https://eu-112.eu/?utm_source=crunchbase&amp;utm_medium=referral&amp;utm_campaign=2610_ff_lansare&amp;utm_content=rece_general</v>
      </c>
    </row>
    <row r="1343" customFormat="false" ht="15" hidden="false" customHeight="false" outlineLevel="0" collapsed="false">
      <c r="A1343" s="10" t="s">
        <v>79</v>
      </c>
      <c r="B1343" s="10" t="str">
        <f aca="false">INDEX('Site-uri'!$B$2:$B$20,MATCH(A1343,'Site-uri'!$A$2:$A$20,0))</f>
        <v>eu-112.eu</v>
      </c>
      <c r="C1343" s="10" t="s">
        <v>165</v>
      </c>
      <c r="D1343" s="10" t="s">
        <v>225</v>
      </c>
      <c r="E1343" s="10" t="str">
        <f aca="false">INDEX(Canale!$C$2:$C$30,MATCH(C1343,Canale!$A$2:$A$30,0))</f>
        <v>crunchbase</v>
      </c>
      <c r="F1343" s="10" t="str">
        <f aca="false">INDEX(Canale!$D$2:$D$30,MATCH(C1343,Canale!$A$2:$A$30,0))</f>
        <v>referral</v>
      </c>
      <c r="G1343" s="10" t="str">
        <f aca="false">INDEX('Site-uri'!$C$2:$C$20,MATCH(A1343,'Site-uri'!$A$2:$A$20,0))</f>
        <v>/</v>
      </c>
      <c r="H1343" s="10" t="str">
        <f aca="false">Config!$B$3</f>
        <v>2610_ff_lansare</v>
      </c>
      <c r="I1343" s="10" t="str">
        <f aca="false">D1343&amp;"_"&amp;Config!$B$4</f>
        <v>cald_general</v>
      </c>
      <c r="J1343" s="10" t="str">
        <f aca="false">"https://"&amp;B1343&amp;G1343&amp;"?utm_source="&amp;E1343&amp;"&amp;utm_medium="&amp;F1343&amp;"&amp;utm_campaign="&amp;H1343&amp;"&amp;utm_content="&amp;I1343</f>
        <v>https://eu-112.eu/?utm_source=crunchbase&amp;utm_medium=referral&amp;utm_campaign=2610_ff_lansare&amp;utm_content=cald_general</v>
      </c>
    </row>
    <row r="1344" customFormat="false" ht="15" hidden="false" customHeight="false" outlineLevel="0" collapsed="false">
      <c r="A1344" s="10" t="s">
        <v>79</v>
      </c>
      <c r="B1344" s="10" t="str">
        <f aca="false">INDEX('Site-uri'!$B$2:$B$20,MATCH(A1344,'Site-uri'!$A$2:$A$20,0))</f>
        <v>eu-112.eu</v>
      </c>
      <c r="C1344" s="10" t="s">
        <v>165</v>
      </c>
      <c r="D1344" s="10" t="s">
        <v>231</v>
      </c>
      <c r="E1344" s="10" t="str">
        <f aca="false">INDEX(Canale!$C$2:$C$30,MATCH(C1344,Canale!$A$2:$A$30,0))</f>
        <v>crunchbase</v>
      </c>
      <c r="F1344" s="10" t="str">
        <f aca="false">INDEX(Canale!$D$2:$D$30,MATCH(C1344,Canale!$A$2:$A$30,0))</f>
        <v>referral</v>
      </c>
      <c r="G1344" s="10" t="str">
        <f aca="false">INDEX('Site-uri'!$C$2:$C$20,MATCH(A1344,'Site-uri'!$A$2:$A$20,0))</f>
        <v>/</v>
      </c>
      <c r="H1344" s="10" t="str">
        <f aca="false">Config!$B$3</f>
        <v>2610_ff_lansare</v>
      </c>
      <c r="I1344" s="10" t="str">
        <f aca="false">D1344&amp;"_"&amp;Config!$B$4</f>
        <v>fierbinte_general</v>
      </c>
      <c r="J1344" s="10" t="str">
        <f aca="false">"https://"&amp;B1344&amp;G1344&amp;"?utm_source="&amp;E1344&amp;"&amp;utm_medium="&amp;F1344&amp;"&amp;utm_campaign="&amp;H1344&amp;"&amp;utm_content="&amp;I1344</f>
        <v>https://eu-112.eu/?utm_source=crunchbase&amp;utm_medium=referral&amp;utm_campaign=2610_ff_lansare&amp;utm_content=fierbinte_general</v>
      </c>
    </row>
    <row r="1345" customFormat="false" ht="15" hidden="false" customHeight="false" outlineLevel="0" collapsed="false">
      <c r="A1345" s="10" t="s">
        <v>79</v>
      </c>
      <c r="B1345" s="10" t="str">
        <f aca="false">INDEX('Site-uri'!$B$2:$B$20,MATCH(A1345,'Site-uri'!$A$2:$A$20,0))</f>
        <v>eu-112.eu</v>
      </c>
      <c r="C1345" s="10" t="s">
        <v>165</v>
      </c>
      <c r="D1345" s="10" t="s">
        <v>237</v>
      </c>
      <c r="E1345" s="10" t="str">
        <f aca="false">INDEX(Canale!$C$2:$C$30,MATCH(C1345,Canale!$A$2:$A$30,0))</f>
        <v>crunchbase</v>
      </c>
      <c r="F1345" s="10" t="str">
        <f aca="false">INDEX(Canale!$D$2:$D$30,MATCH(C1345,Canale!$A$2:$A$30,0))</f>
        <v>referral</v>
      </c>
      <c r="G1345" s="10" t="str">
        <f aca="false">INDEX('Site-uri'!$C$2:$C$20,MATCH(A1345,'Site-uri'!$A$2:$A$20,0))</f>
        <v>/</v>
      </c>
      <c r="H1345" s="10" t="str">
        <f aca="false">Config!$B$3</f>
        <v>2610_ff_lansare</v>
      </c>
      <c r="I1345" s="10" t="str">
        <f aca="false">D1345&amp;"_"&amp;Config!$B$4</f>
        <v>client_general</v>
      </c>
      <c r="J1345" s="10" t="str">
        <f aca="false">"https://"&amp;B1345&amp;G1345&amp;"?utm_source="&amp;E1345&amp;"&amp;utm_medium="&amp;F1345&amp;"&amp;utm_campaign="&amp;H1345&amp;"&amp;utm_content="&amp;I1345</f>
        <v>https://eu-112.eu/?utm_source=crunchbase&amp;utm_medium=referral&amp;utm_campaign=2610_ff_lansare&amp;utm_content=client_general</v>
      </c>
    </row>
    <row r="1346" customFormat="false" ht="15" hidden="false" customHeight="false" outlineLevel="0" collapsed="false">
      <c r="A1346" s="10" t="s">
        <v>79</v>
      </c>
      <c r="B1346" s="10" t="str">
        <f aca="false">INDEX('Site-uri'!$B$2:$B$20,MATCH(A1346,'Site-uri'!$A$2:$A$20,0))</f>
        <v>eu-112.eu</v>
      </c>
      <c r="C1346" s="10" t="s">
        <v>170</v>
      </c>
      <c r="D1346" s="10" t="s">
        <v>219</v>
      </c>
      <c r="E1346" s="10" t="str">
        <f aca="false">INDEX(Canale!$C$2:$C$30,MATCH(C1346,Canale!$A$2:$A$30,0))</f>
        <v>zenodo</v>
      </c>
      <c r="F1346" s="10" t="str">
        <f aca="false">INDEX(Canale!$D$2:$D$30,MATCH(C1346,Canale!$A$2:$A$30,0))</f>
        <v>referral</v>
      </c>
      <c r="G1346" s="10" t="str">
        <f aca="false">INDEX('Site-uri'!$C$2:$C$20,MATCH(A1346,'Site-uri'!$A$2:$A$20,0))</f>
        <v>/</v>
      </c>
      <c r="H1346" s="10" t="str">
        <f aca="false">Config!$B$3</f>
        <v>2610_ff_lansare</v>
      </c>
      <c r="I1346" s="10" t="str">
        <f aca="false">D1346&amp;"_"&amp;Config!$B$4</f>
        <v>rece_general</v>
      </c>
      <c r="J1346" s="10" t="str">
        <f aca="false">"https://"&amp;B1346&amp;G1346&amp;"?utm_source="&amp;E1346&amp;"&amp;utm_medium="&amp;F1346&amp;"&amp;utm_campaign="&amp;H1346&amp;"&amp;utm_content="&amp;I1346</f>
        <v>https://eu-112.eu/?utm_source=zenodo&amp;utm_medium=referral&amp;utm_campaign=2610_ff_lansare&amp;utm_content=rece_general</v>
      </c>
    </row>
    <row r="1347" customFormat="false" ht="15" hidden="false" customHeight="false" outlineLevel="0" collapsed="false">
      <c r="A1347" s="10" t="s">
        <v>79</v>
      </c>
      <c r="B1347" s="10" t="str">
        <f aca="false">INDEX('Site-uri'!$B$2:$B$20,MATCH(A1347,'Site-uri'!$A$2:$A$20,0))</f>
        <v>eu-112.eu</v>
      </c>
      <c r="C1347" s="10" t="s">
        <v>170</v>
      </c>
      <c r="D1347" s="10" t="s">
        <v>225</v>
      </c>
      <c r="E1347" s="10" t="str">
        <f aca="false">INDEX(Canale!$C$2:$C$30,MATCH(C1347,Canale!$A$2:$A$30,0))</f>
        <v>zenodo</v>
      </c>
      <c r="F1347" s="10" t="str">
        <f aca="false">INDEX(Canale!$D$2:$D$30,MATCH(C1347,Canale!$A$2:$A$30,0))</f>
        <v>referral</v>
      </c>
      <c r="G1347" s="10" t="str">
        <f aca="false">INDEX('Site-uri'!$C$2:$C$20,MATCH(A1347,'Site-uri'!$A$2:$A$20,0))</f>
        <v>/</v>
      </c>
      <c r="H1347" s="10" t="str">
        <f aca="false">Config!$B$3</f>
        <v>2610_ff_lansare</v>
      </c>
      <c r="I1347" s="10" t="str">
        <f aca="false">D1347&amp;"_"&amp;Config!$B$4</f>
        <v>cald_general</v>
      </c>
      <c r="J1347" s="10" t="str">
        <f aca="false">"https://"&amp;B1347&amp;G1347&amp;"?utm_source="&amp;E1347&amp;"&amp;utm_medium="&amp;F1347&amp;"&amp;utm_campaign="&amp;H1347&amp;"&amp;utm_content="&amp;I1347</f>
        <v>https://eu-112.eu/?utm_source=zenodo&amp;utm_medium=referral&amp;utm_campaign=2610_ff_lansare&amp;utm_content=cald_general</v>
      </c>
    </row>
    <row r="1348" customFormat="false" ht="15" hidden="false" customHeight="false" outlineLevel="0" collapsed="false">
      <c r="A1348" s="10" t="s">
        <v>79</v>
      </c>
      <c r="B1348" s="10" t="str">
        <f aca="false">INDEX('Site-uri'!$B$2:$B$20,MATCH(A1348,'Site-uri'!$A$2:$A$20,0))</f>
        <v>eu-112.eu</v>
      </c>
      <c r="C1348" s="10" t="s">
        <v>170</v>
      </c>
      <c r="D1348" s="10" t="s">
        <v>231</v>
      </c>
      <c r="E1348" s="10" t="str">
        <f aca="false">INDEX(Canale!$C$2:$C$30,MATCH(C1348,Canale!$A$2:$A$30,0))</f>
        <v>zenodo</v>
      </c>
      <c r="F1348" s="10" t="str">
        <f aca="false">INDEX(Canale!$D$2:$D$30,MATCH(C1348,Canale!$A$2:$A$30,0))</f>
        <v>referral</v>
      </c>
      <c r="G1348" s="10" t="str">
        <f aca="false">INDEX('Site-uri'!$C$2:$C$20,MATCH(A1348,'Site-uri'!$A$2:$A$20,0))</f>
        <v>/</v>
      </c>
      <c r="H1348" s="10" t="str">
        <f aca="false">Config!$B$3</f>
        <v>2610_ff_lansare</v>
      </c>
      <c r="I1348" s="10" t="str">
        <f aca="false">D1348&amp;"_"&amp;Config!$B$4</f>
        <v>fierbinte_general</v>
      </c>
      <c r="J1348" s="10" t="str">
        <f aca="false">"https://"&amp;B1348&amp;G1348&amp;"?utm_source="&amp;E1348&amp;"&amp;utm_medium="&amp;F1348&amp;"&amp;utm_campaign="&amp;H1348&amp;"&amp;utm_content="&amp;I1348</f>
        <v>https://eu-112.eu/?utm_source=zenodo&amp;utm_medium=referral&amp;utm_campaign=2610_ff_lansare&amp;utm_content=fierbinte_general</v>
      </c>
    </row>
    <row r="1349" customFormat="false" ht="15" hidden="false" customHeight="false" outlineLevel="0" collapsed="false">
      <c r="A1349" s="10" t="s">
        <v>79</v>
      </c>
      <c r="B1349" s="10" t="str">
        <f aca="false">INDEX('Site-uri'!$B$2:$B$20,MATCH(A1349,'Site-uri'!$A$2:$A$20,0))</f>
        <v>eu-112.eu</v>
      </c>
      <c r="C1349" s="10" t="s">
        <v>170</v>
      </c>
      <c r="D1349" s="10" t="s">
        <v>237</v>
      </c>
      <c r="E1349" s="10" t="str">
        <f aca="false">INDEX(Canale!$C$2:$C$30,MATCH(C1349,Canale!$A$2:$A$30,0))</f>
        <v>zenodo</v>
      </c>
      <c r="F1349" s="10" t="str">
        <f aca="false">INDEX(Canale!$D$2:$D$30,MATCH(C1349,Canale!$A$2:$A$30,0))</f>
        <v>referral</v>
      </c>
      <c r="G1349" s="10" t="str">
        <f aca="false">INDEX('Site-uri'!$C$2:$C$20,MATCH(A1349,'Site-uri'!$A$2:$A$20,0))</f>
        <v>/</v>
      </c>
      <c r="H1349" s="10" t="str">
        <f aca="false">Config!$B$3</f>
        <v>2610_ff_lansare</v>
      </c>
      <c r="I1349" s="10" t="str">
        <f aca="false">D1349&amp;"_"&amp;Config!$B$4</f>
        <v>client_general</v>
      </c>
      <c r="J1349" s="10" t="str">
        <f aca="false">"https://"&amp;B1349&amp;G1349&amp;"?utm_source="&amp;E1349&amp;"&amp;utm_medium="&amp;F1349&amp;"&amp;utm_campaign="&amp;H1349&amp;"&amp;utm_content="&amp;I1349</f>
        <v>https://eu-112.eu/?utm_source=zenodo&amp;utm_medium=referral&amp;utm_campaign=2610_ff_lansare&amp;utm_content=client_general</v>
      </c>
    </row>
    <row r="1350" customFormat="false" ht="15" hidden="false" customHeight="false" outlineLevel="0" collapsed="false">
      <c r="A1350" s="10" t="s">
        <v>79</v>
      </c>
      <c r="B1350" s="10" t="str">
        <f aca="false">INDEX('Site-uri'!$B$2:$B$20,MATCH(A1350,'Site-uri'!$A$2:$A$20,0))</f>
        <v>eu-112.eu</v>
      </c>
      <c r="C1350" s="10" t="s">
        <v>173</v>
      </c>
      <c r="D1350" s="10" t="s">
        <v>219</v>
      </c>
      <c r="E1350" s="10" t="str">
        <f aca="false">INDEX(Canale!$C$2:$C$30,MATCH(C1350,Canale!$A$2:$A$30,0))</f>
        <v>orcid</v>
      </c>
      <c r="F1350" s="10" t="str">
        <f aca="false">INDEX(Canale!$D$2:$D$30,MATCH(C1350,Canale!$A$2:$A$30,0))</f>
        <v>referral</v>
      </c>
      <c r="G1350" s="10" t="str">
        <f aca="false">INDEX('Site-uri'!$C$2:$C$20,MATCH(A1350,'Site-uri'!$A$2:$A$20,0))</f>
        <v>/</v>
      </c>
      <c r="H1350" s="10" t="str">
        <f aca="false">Config!$B$3</f>
        <v>2610_ff_lansare</v>
      </c>
      <c r="I1350" s="10" t="str">
        <f aca="false">D1350&amp;"_"&amp;Config!$B$4</f>
        <v>rece_general</v>
      </c>
      <c r="J1350" s="10" t="str">
        <f aca="false">"https://"&amp;B1350&amp;G1350&amp;"?utm_source="&amp;E1350&amp;"&amp;utm_medium="&amp;F1350&amp;"&amp;utm_campaign="&amp;H1350&amp;"&amp;utm_content="&amp;I1350</f>
        <v>https://eu-112.eu/?utm_source=orcid&amp;utm_medium=referral&amp;utm_campaign=2610_ff_lansare&amp;utm_content=rece_general</v>
      </c>
    </row>
    <row r="1351" customFormat="false" ht="15" hidden="false" customHeight="false" outlineLevel="0" collapsed="false">
      <c r="A1351" s="10" t="s">
        <v>79</v>
      </c>
      <c r="B1351" s="10" t="str">
        <f aca="false">INDEX('Site-uri'!$B$2:$B$20,MATCH(A1351,'Site-uri'!$A$2:$A$20,0))</f>
        <v>eu-112.eu</v>
      </c>
      <c r="C1351" s="10" t="s">
        <v>173</v>
      </c>
      <c r="D1351" s="10" t="s">
        <v>225</v>
      </c>
      <c r="E1351" s="10" t="str">
        <f aca="false">INDEX(Canale!$C$2:$C$30,MATCH(C1351,Canale!$A$2:$A$30,0))</f>
        <v>orcid</v>
      </c>
      <c r="F1351" s="10" t="str">
        <f aca="false">INDEX(Canale!$D$2:$D$30,MATCH(C1351,Canale!$A$2:$A$30,0))</f>
        <v>referral</v>
      </c>
      <c r="G1351" s="10" t="str">
        <f aca="false">INDEX('Site-uri'!$C$2:$C$20,MATCH(A1351,'Site-uri'!$A$2:$A$20,0))</f>
        <v>/</v>
      </c>
      <c r="H1351" s="10" t="str">
        <f aca="false">Config!$B$3</f>
        <v>2610_ff_lansare</v>
      </c>
      <c r="I1351" s="10" t="str">
        <f aca="false">D1351&amp;"_"&amp;Config!$B$4</f>
        <v>cald_general</v>
      </c>
      <c r="J1351" s="10" t="str">
        <f aca="false">"https://"&amp;B1351&amp;G1351&amp;"?utm_source="&amp;E1351&amp;"&amp;utm_medium="&amp;F1351&amp;"&amp;utm_campaign="&amp;H1351&amp;"&amp;utm_content="&amp;I1351</f>
        <v>https://eu-112.eu/?utm_source=orcid&amp;utm_medium=referral&amp;utm_campaign=2610_ff_lansare&amp;utm_content=cald_general</v>
      </c>
    </row>
    <row r="1352" customFormat="false" ht="15" hidden="false" customHeight="false" outlineLevel="0" collapsed="false">
      <c r="A1352" s="10" t="s">
        <v>79</v>
      </c>
      <c r="B1352" s="10" t="str">
        <f aca="false">INDEX('Site-uri'!$B$2:$B$20,MATCH(A1352,'Site-uri'!$A$2:$A$20,0))</f>
        <v>eu-112.eu</v>
      </c>
      <c r="C1352" s="10" t="s">
        <v>173</v>
      </c>
      <c r="D1352" s="10" t="s">
        <v>231</v>
      </c>
      <c r="E1352" s="10" t="str">
        <f aca="false">INDEX(Canale!$C$2:$C$30,MATCH(C1352,Canale!$A$2:$A$30,0))</f>
        <v>orcid</v>
      </c>
      <c r="F1352" s="10" t="str">
        <f aca="false">INDEX(Canale!$D$2:$D$30,MATCH(C1352,Canale!$A$2:$A$30,0))</f>
        <v>referral</v>
      </c>
      <c r="G1352" s="10" t="str">
        <f aca="false">INDEX('Site-uri'!$C$2:$C$20,MATCH(A1352,'Site-uri'!$A$2:$A$20,0))</f>
        <v>/</v>
      </c>
      <c r="H1352" s="10" t="str">
        <f aca="false">Config!$B$3</f>
        <v>2610_ff_lansare</v>
      </c>
      <c r="I1352" s="10" t="str">
        <f aca="false">D1352&amp;"_"&amp;Config!$B$4</f>
        <v>fierbinte_general</v>
      </c>
      <c r="J1352" s="10" t="str">
        <f aca="false">"https://"&amp;B1352&amp;G1352&amp;"?utm_source="&amp;E1352&amp;"&amp;utm_medium="&amp;F1352&amp;"&amp;utm_campaign="&amp;H1352&amp;"&amp;utm_content="&amp;I1352</f>
        <v>https://eu-112.eu/?utm_source=orcid&amp;utm_medium=referral&amp;utm_campaign=2610_ff_lansare&amp;utm_content=fierbinte_general</v>
      </c>
    </row>
    <row r="1353" customFormat="false" ht="15" hidden="false" customHeight="false" outlineLevel="0" collapsed="false">
      <c r="A1353" s="10" t="s">
        <v>79</v>
      </c>
      <c r="B1353" s="10" t="str">
        <f aca="false">INDEX('Site-uri'!$B$2:$B$20,MATCH(A1353,'Site-uri'!$A$2:$A$20,0))</f>
        <v>eu-112.eu</v>
      </c>
      <c r="C1353" s="10" t="s">
        <v>173</v>
      </c>
      <c r="D1353" s="10" t="s">
        <v>237</v>
      </c>
      <c r="E1353" s="10" t="str">
        <f aca="false">INDEX(Canale!$C$2:$C$30,MATCH(C1353,Canale!$A$2:$A$30,0))</f>
        <v>orcid</v>
      </c>
      <c r="F1353" s="10" t="str">
        <f aca="false">INDEX(Canale!$D$2:$D$30,MATCH(C1353,Canale!$A$2:$A$30,0))</f>
        <v>referral</v>
      </c>
      <c r="G1353" s="10" t="str">
        <f aca="false">INDEX('Site-uri'!$C$2:$C$20,MATCH(A1353,'Site-uri'!$A$2:$A$20,0))</f>
        <v>/</v>
      </c>
      <c r="H1353" s="10" t="str">
        <f aca="false">Config!$B$3</f>
        <v>2610_ff_lansare</v>
      </c>
      <c r="I1353" s="10" t="str">
        <f aca="false">D1353&amp;"_"&amp;Config!$B$4</f>
        <v>client_general</v>
      </c>
      <c r="J1353" s="10" t="str">
        <f aca="false">"https://"&amp;B1353&amp;G1353&amp;"?utm_source="&amp;E1353&amp;"&amp;utm_medium="&amp;F1353&amp;"&amp;utm_campaign="&amp;H1353&amp;"&amp;utm_content="&amp;I1353</f>
        <v>https://eu-112.eu/?utm_source=orcid&amp;utm_medium=referral&amp;utm_campaign=2610_ff_lansare&amp;utm_content=client_general</v>
      </c>
    </row>
    <row r="1354" customFormat="false" ht="15" hidden="false" customHeight="false" outlineLevel="0" collapsed="false">
      <c r="A1354" s="10" t="s">
        <v>79</v>
      </c>
      <c r="B1354" s="10" t="str">
        <f aca="false">INDEX('Site-uri'!$B$2:$B$20,MATCH(A1354,'Site-uri'!$A$2:$A$20,0))</f>
        <v>eu-112.eu</v>
      </c>
      <c r="C1354" s="10" t="s">
        <v>176</v>
      </c>
      <c r="D1354" s="10" t="s">
        <v>219</v>
      </c>
      <c r="E1354" s="10" t="str">
        <f aca="false">INDEX(Canale!$C$2:$C$30,MATCH(C1354,Canale!$A$2:$A$30,0))</f>
        <v>github</v>
      </c>
      <c r="F1354" s="10" t="str">
        <f aca="false">INDEX(Canale!$D$2:$D$30,MATCH(C1354,Canale!$A$2:$A$30,0))</f>
        <v>referral</v>
      </c>
      <c r="G1354" s="10" t="str">
        <f aca="false">INDEX('Site-uri'!$C$2:$C$20,MATCH(A1354,'Site-uri'!$A$2:$A$20,0))</f>
        <v>/</v>
      </c>
      <c r="H1354" s="10" t="str">
        <f aca="false">Config!$B$3</f>
        <v>2610_ff_lansare</v>
      </c>
      <c r="I1354" s="10" t="str">
        <f aca="false">D1354&amp;"_"&amp;Config!$B$4</f>
        <v>rece_general</v>
      </c>
      <c r="J1354" s="10" t="str">
        <f aca="false">"https://"&amp;B1354&amp;G1354&amp;"?utm_source="&amp;E1354&amp;"&amp;utm_medium="&amp;F1354&amp;"&amp;utm_campaign="&amp;H1354&amp;"&amp;utm_content="&amp;I1354</f>
        <v>https://eu-112.eu/?utm_source=github&amp;utm_medium=referral&amp;utm_campaign=2610_ff_lansare&amp;utm_content=rece_general</v>
      </c>
    </row>
    <row r="1355" customFormat="false" ht="15" hidden="false" customHeight="false" outlineLevel="0" collapsed="false">
      <c r="A1355" s="10" t="s">
        <v>79</v>
      </c>
      <c r="B1355" s="10" t="str">
        <f aca="false">INDEX('Site-uri'!$B$2:$B$20,MATCH(A1355,'Site-uri'!$A$2:$A$20,0))</f>
        <v>eu-112.eu</v>
      </c>
      <c r="C1355" s="10" t="s">
        <v>176</v>
      </c>
      <c r="D1355" s="10" t="s">
        <v>225</v>
      </c>
      <c r="E1355" s="10" t="str">
        <f aca="false">INDEX(Canale!$C$2:$C$30,MATCH(C1355,Canale!$A$2:$A$30,0))</f>
        <v>github</v>
      </c>
      <c r="F1355" s="10" t="str">
        <f aca="false">INDEX(Canale!$D$2:$D$30,MATCH(C1355,Canale!$A$2:$A$30,0))</f>
        <v>referral</v>
      </c>
      <c r="G1355" s="10" t="str">
        <f aca="false">INDEX('Site-uri'!$C$2:$C$20,MATCH(A1355,'Site-uri'!$A$2:$A$20,0))</f>
        <v>/</v>
      </c>
      <c r="H1355" s="10" t="str">
        <f aca="false">Config!$B$3</f>
        <v>2610_ff_lansare</v>
      </c>
      <c r="I1355" s="10" t="str">
        <f aca="false">D1355&amp;"_"&amp;Config!$B$4</f>
        <v>cald_general</v>
      </c>
      <c r="J1355" s="10" t="str">
        <f aca="false">"https://"&amp;B1355&amp;G1355&amp;"?utm_source="&amp;E1355&amp;"&amp;utm_medium="&amp;F1355&amp;"&amp;utm_campaign="&amp;H1355&amp;"&amp;utm_content="&amp;I1355</f>
        <v>https://eu-112.eu/?utm_source=github&amp;utm_medium=referral&amp;utm_campaign=2610_ff_lansare&amp;utm_content=cald_general</v>
      </c>
    </row>
    <row r="1356" customFormat="false" ht="15" hidden="false" customHeight="false" outlineLevel="0" collapsed="false">
      <c r="A1356" s="10" t="s">
        <v>79</v>
      </c>
      <c r="B1356" s="10" t="str">
        <f aca="false">INDEX('Site-uri'!$B$2:$B$20,MATCH(A1356,'Site-uri'!$A$2:$A$20,0))</f>
        <v>eu-112.eu</v>
      </c>
      <c r="C1356" s="10" t="s">
        <v>176</v>
      </c>
      <c r="D1356" s="10" t="s">
        <v>231</v>
      </c>
      <c r="E1356" s="10" t="str">
        <f aca="false">INDEX(Canale!$C$2:$C$30,MATCH(C1356,Canale!$A$2:$A$30,0))</f>
        <v>github</v>
      </c>
      <c r="F1356" s="10" t="str">
        <f aca="false">INDEX(Canale!$D$2:$D$30,MATCH(C1356,Canale!$A$2:$A$30,0))</f>
        <v>referral</v>
      </c>
      <c r="G1356" s="10" t="str">
        <f aca="false">INDEX('Site-uri'!$C$2:$C$20,MATCH(A1356,'Site-uri'!$A$2:$A$20,0))</f>
        <v>/</v>
      </c>
      <c r="H1356" s="10" t="str">
        <f aca="false">Config!$B$3</f>
        <v>2610_ff_lansare</v>
      </c>
      <c r="I1356" s="10" t="str">
        <f aca="false">D1356&amp;"_"&amp;Config!$B$4</f>
        <v>fierbinte_general</v>
      </c>
      <c r="J1356" s="10" t="str">
        <f aca="false">"https://"&amp;B1356&amp;G1356&amp;"?utm_source="&amp;E1356&amp;"&amp;utm_medium="&amp;F1356&amp;"&amp;utm_campaign="&amp;H1356&amp;"&amp;utm_content="&amp;I1356</f>
        <v>https://eu-112.eu/?utm_source=github&amp;utm_medium=referral&amp;utm_campaign=2610_ff_lansare&amp;utm_content=fierbinte_general</v>
      </c>
    </row>
    <row r="1357" customFormat="false" ht="15" hidden="false" customHeight="false" outlineLevel="0" collapsed="false">
      <c r="A1357" s="10" t="s">
        <v>79</v>
      </c>
      <c r="B1357" s="10" t="str">
        <f aca="false">INDEX('Site-uri'!$B$2:$B$20,MATCH(A1357,'Site-uri'!$A$2:$A$20,0))</f>
        <v>eu-112.eu</v>
      </c>
      <c r="C1357" s="10" t="s">
        <v>176</v>
      </c>
      <c r="D1357" s="10" t="s">
        <v>237</v>
      </c>
      <c r="E1357" s="10" t="str">
        <f aca="false">INDEX(Canale!$C$2:$C$30,MATCH(C1357,Canale!$A$2:$A$30,0))</f>
        <v>github</v>
      </c>
      <c r="F1357" s="10" t="str">
        <f aca="false">INDEX(Canale!$D$2:$D$30,MATCH(C1357,Canale!$A$2:$A$30,0))</f>
        <v>referral</v>
      </c>
      <c r="G1357" s="10" t="str">
        <f aca="false">INDEX('Site-uri'!$C$2:$C$20,MATCH(A1357,'Site-uri'!$A$2:$A$20,0))</f>
        <v>/</v>
      </c>
      <c r="H1357" s="10" t="str">
        <f aca="false">Config!$B$3</f>
        <v>2610_ff_lansare</v>
      </c>
      <c r="I1357" s="10" t="str">
        <f aca="false">D1357&amp;"_"&amp;Config!$B$4</f>
        <v>client_general</v>
      </c>
      <c r="J1357" s="10" t="str">
        <f aca="false">"https://"&amp;B1357&amp;G1357&amp;"?utm_source="&amp;E1357&amp;"&amp;utm_medium="&amp;F1357&amp;"&amp;utm_campaign="&amp;H1357&amp;"&amp;utm_content="&amp;I1357</f>
        <v>https://eu-112.eu/?utm_source=github&amp;utm_medium=referral&amp;utm_campaign=2610_ff_lansare&amp;utm_content=client_general</v>
      </c>
    </row>
    <row r="1358" customFormat="false" ht="15" hidden="false" customHeight="false" outlineLevel="0" collapsed="false">
      <c r="A1358" s="10" t="s">
        <v>79</v>
      </c>
      <c r="B1358" s="10" t="str">
        <f aca="false">INDEX('Site-uri'!$B$2:$B$20,MATCH(A1358,'Site-uri'!$A$2:$A$20,0))</f>
        <v>eu-112.eu</v>
      </c>
      <c r="C1358" s="10" t="s">
        <v>179</v>
      </c>
      <c r="D1358" s="10" t="s">
        <v>219</v>
      </c>
      <c r="E1358" s="10" t="str">
        <f aca="false">INDEX(Canale!$C$2:$C$30,MATCH(C1358,Canale!$A$2:$A$30,0))</f>
        <v>kdp_book</v>
      </c>
      <c r="F1358" s="10" t="str">
        <f aca="false">INDEX(Canale!$D$2:$D$30,MATCH(C1358,Canale!$A$2:$A$30,0))</f>
        <v>book</v>
      </c>
      <c r="G1358" s="10" t="str">
        <f aca="false">INDEX('Site-uri'!$C$2:$C$20,MATCH(A1358,'Site-uri'!$A$2:$A$20,0))</f>
        <v>/</v>
      </c>
      <c r="H1358" s="10" t="str">
        <f aca="false">Config!$B$3</f>
        <v>2610_ff_lansare</v>
      </c>
      <c r="I1358" s="10" t="str">
        <f aca="false">D1358&amp;"_"&amp;Config!$B$4</f>
        <v>rece_general</v>
      </c>
      <c r="J1358" s="10" t="str">
        <f aca="false">"https://"&amp;B1358&amp;G1358&amp;"?utm_source="&amp;E1358&amp;"&amp;utm_medium="&amp;F1358&amp;"&amp;utm_campaign="&amp;H1358&amp;"&amp;utm_content="&amp;I1358</f>
        <v>https://eu-112.eu/?utm_source=kdp_book&amp;utm_medium=book&amp;utm_campaign=2610_ff_lansare&amp;utm_content=rece_general</v>
      </c>
    </row>
    <row r="1359" customFormat="false" ht="15" hidden="false" customHeight="false" outlineLevel="0" collapsed="false">
      <c r="A1359" s="10" t="s">
        <v>79</v>
      </c>
      <c r="B1359" s="10" t="str">
        <f aca="false">INDEX('Site-uri'!$B$2:$B$20,MATCH(A1359,'Site-uri'!$A$2:$A$20,0))</f>
        <v>eu-112.eu</v>
      </c>
      <c r="C1359" s="10" t="s">
        <v>179</v>
      </c>
      <c r="D1359" s="10" t="s">
        <v>225</v>
      </c>
      <c r="E1359" s="10" t="str">
        <f aca="false">INDEX(Canale!$C$2:$C$30,MATCH(C1359,Canale!$A$2:$A$30,0))</f>
        <v>kdp_book</v>
      </c>
      <c r="F1359" s="10" t="str">
        <f aca="false">INDEX(Canale!$D$2:$D$30,MATCH(C1359,Canale!$A$2:$A$30,0))</f>
        <v>book</v>
      </c>
      <c r="G1359" s="10" t="str">
        <f aca="false">INDEX('Site-uri'!$C$2:$C$20,MATCH(A1359,'Site-uri'!$A$2:$A$20,0))</f>
        <v>/</v>
      </c>
      <c r="H1359" s="10" t="str">
        <f aca="false">Config!$B$3</f>
        <v>2610_ff_lansare</v>
      </c>
      <c r="I1359" s="10" t="str">
        <f aca="false">D1359&amp;"_"&amp;Config!$B$4</f>
        <v>cald_general</v>
      </c>
      <c r="J1359" s="10" t="str">
        <f aca="false">"https://"&amp;B1359&amp;G1359&amp;"?utm_source="&amp;E1359&amp;"&amp;utm_medium="&amp;F1359&amp;"&amp;utm_campaign="&amp;H1359&amp;"&amp;utm_content="&amp;I1359</f>
        <v>https://eu-112.eu/?utm_source=kdp_book&amp;utm_medium=book&amp;utm_campaign=2610_ff_lansare&amp;utm_content=cald_general</v>
      </c>
    </row>
    <row r="1360" customFormat="false" ht="15" hidden="false" customHeight="false" outlineLevel="0" collapsed="false">
      <c r="A1360" s="10" t="s">
        <v>79</v>
      </c>
      <c r="B1360" s="10" t="str">
        <f aca="false">INDEX('Site-uri'!$B$2:$B$20,MATCH(A1360,'Site-uri'!$A$2:$A$20,0))</f>
        <v>eu-112.eu</v>
      </c>
      <c r="C1360" s="10" t="s">
        <v>179</v>
      </c>
      <c r="D1360" s="10" t="s">
        <v>231</v>
      </c>
      <c r="E1360" s="10" t="str">
        <f aca="false">INDEX(Canale!$C$2:$C$30,MATCH(C1360,Canale!$A$2:$A$30,0))</f>
        <v>kdp_book</v>
      </c>
      <c r="F1360" s="10" t="str">
        <f aca="false">INDEX(Canale!$D$2:$D$30,MATCH(C1360,Canale!$A$2:$A$30,0))</f>
        <v>book</v>
      </c>
      <c r="G1360" s="10" t="str">
        <f aca="false">INDEX('Site-uri'!$C$2:$C$20,MATCH(A1360,'Site-uri'!$A$2:$A$20,0))</f>
        <v>/</v>
      </c>
      <c r="H1360" s="10" t="str">
        <f aca="false">Config!$B$3</f>
        <v>2610_ff_lansare</v>
      </c>
      <c r="I1360" s="10" t="str">
        <f aca="false">D1360&amp;"_"&amp;Config!$B$4</f>
        <v>fierbinte_general</v>
      </c>
      <c r="J1360" s="10" t="str">
        <f aca="false">"https://"&amp;B1360&amp;G1360&amp;"?utm_source="&amp;E1360&amp;"&amp;utm_medium="&amp;F1360&amp;"&amp;utm_campaign="&amp;H1360&amp;"&amp;utm_content="&amp;I1360</f>
        <v>https://eu-112.eu/?utm_source=kdp_book&amp;utm_medium=book&amp;utm_campaign=2610_ff_lansare&amp;utm_content=fierbinte_general</v>
      </c>
    </row>
    <row r="1361" customFormat="false" ht="15" hidden="false" customHeight="false" outlineLevel="0" collapsed="false">
      <c r="A1361" s="10" t="s">
        <v>79</v>
      </c>
      <c r="B1361" s="10" t="str">
        <f aca="false">INDEX('Site-uri'!$B$2:$B$20,MATCH(A1361,'Site-uri'!$A$2:$A$20,0))</f>
        <v>eu-112.eu</v>
      </c>
      <c r="C1361" s="10" t="s">
        <v>179</v>
      </c>
      <c r="D1361" s="10" t="s">
        <v>237</v>
      </c>
      <c r="E1361" s="10" t="str">
        <f aca="false">INDEX(Canale!$C$2:$C$30,MATCH(C1361,Canale!$A$2:$A$30,0))</f>
        <v>kdp_book</v>
      </c>
      <c r="F1361" s="10" t="str">
        <f aca="false">INDEX(Canale!$D$2:$D$30,MATCH(C1361,Canale!$A$2:$A$30,0))</f>
        <v>book</v>
      </c>
      <c r="G1361" s="10" t="str">
        <f aca="false">INDEX('Site-uri'!$C$2:$C$20,MATCH(A1361,'Site-uri'!$A$2:$A$20,0))</f>
        <v>/</v>
      </c>
      <c r="H1361" s="10" t="str">
        <f aca="false">Config!$B$3</f>
        <v>2610_ff_lansare</v>
      </c>
      <c r="I1361" s="10" t="str">
        <f aca="false">D1361&amp;"_"&amp;Config!$B$4</f>
        <v>client_general</v>
      </c>
      <c r="J1361" s="10" t="str">
        <f aca="false">"https://"&amp;B1361&amp;G1361&amp;"?utm_source="&amp;E1361&amp;"&amp;utm_medium="&amp;F1361&amp;"&amp;utm_campaign="&amp;H1361&amp;"&amp;utm_content="&amp;I1361</f>
        <v>https://eu-112.eu/?utm_source=kdp_book&amp;utm_medium=book&amp;utm_campaign=2610_ff_lansare&amp;utm_content=client_general</v>
      </c>
    </row>
    <row r="1362" customFormat="false" ht="15" hidden="false" customHeight="false" outlineLevel="0" collapsed="false">
      <c r="A1362" s="10" t="s">
        <v>79</v>
      </c>
      <c r="B1362" s="10" t="str">
        <f aca="false">INDEX('Site-uri'!$B$2:$B$20,MATCH(A1362,'Site-uri'!$A$2:$A$20,0))</f>
        <v>eu-112.eu</v>
      </c>
      <c r="C1362" s="10" t="s">
        <v>184</v>
      </c>
      <c r="D1362" s="10" t="s">
        <v>219</v>
      </c>
      <c r="E1362" s="10" t="str">
        <f aca="false">INDEX(Canale!$C$2:$C$30,MATCH(C1362,Canale!$A$2:$A$30,0))</f>
        <v>udemy</v>
      </c>
      <c r="F1362" s="10" t="str">
        <f aca="false">INDEX(Canale!$D$2:$D$30,MATCH(C1362,Canale!$A$2:$A$30,0))</f>
        <v>course</v>
      </c>
      <c r="G1362" s="10" t="str">
        <f aca="false">INDEX('Site-uri'!$C$2:$C$20,MATCH(A1362,'Site-uri'!$A$2:$A$20,0))</f>
        <v>/</v>
      </c>
      <c r="H1362" s="10" t="str">
        <f aca="false">Config!$B$3</f>
        <v>2610_ff_lansare</v>
      </c>
      <c r="I1362" s="10" t="str">
        <f aca="false">D1362&amp;"_"&amp;Config!$B$4</f>
        <v>rece_general</v>
      </c>
      <c r="J1362" s="10" t="str">
        <f aca="false">"https://"&amp;B1362&amp;G1362&amp;"?utm_source="&amp;E1362&amp;"&amp;utm_medium="&amp;F1362&amp;"&amp;utm_campaign="&amp;H1362&amp;"&amp;utm_content="&amp;I1362</f>
        <v>https://eu-112.eu/?utm_source=udemy&amp;utm_medium=course&amp;utm_campaign=2610_ff_lansare&amp;utm_content=rece_general</v>
      </c>
    </row>
    <row r="1363" customFormat="false" ht="15" hidden="false" customHeight="false" outlineLevel="0" collapsed="false">
      <c r="A1363" s="10" t="s">
        <v>79</v>
      </c>
      <c r="B1363" s="10" t="str">
        <f aca="false">INDEX('Site-uri'!$B$2:$B$20,MATCH(A1363,'Site-uri'!$A$2:$A$20,0))</f>
        <v>eu-112.eu</v>
      </c>
      <c r="C1363" s="10" t="s">
        <v>184</v>
      </c>
      <c r="D1363" s="10" t="s">
        <v>225</v>
      </c>
      <c r="E1363" s="10" t="str">
        <f aca="false">INDEX(Canale!$C$2:$C$30,MATCH(C1363,Canale!$A$2:$A$30,0))</f>
        <v>udemy</v>
      </c>
      <c r="F1363" s="10" t="str">
        <f aca="false">INDEX(Canale!$D$2:$D$30,MATCH(C1363,Canale!$A$2:$A$30,0))</f>
        <v>course</v>
      </c>
      <c r="G1363" s="10" t="str">
        <f aca="false">INDEX('Site-uri'!$C$2:$C$20,MATCH(A1363,'Site-uri'!$A$2:$A$20,0))</f>
        <v>/</v>
      </c>
      <c r="H1363" s="10" t="str">
        <f aca="false">Config!$B$3</f>
        <v>2610_ff_lansare</v>
      </c>
      <c r="I1363" s="10" t="str">
        <f aca="false">D1363&amp;"_"&amp;Config!$B$4</f>
        <v>cald_general</v>
      </c>
      <c r="J1363" s="10" t="str">
        <f aca="false">"https://"&amp;B1363&amp;G1363&amp;"?utm_source="&amp;E1363&amp;"&amp;utm_medium="&amp;F1363&amp;"&amp;utm_campaign="&amp;H1363&amp;"&amp;utm_content="&amp;I1363</f>
        <v>https://eu-112.eu/?utm_source=udemy&amp;utm_medium=course&amp;utm_campaign=2610_ff_lansare&amp;utm_content=cald_general</v>
      </c>
    </row>
    <row r="1364" customFormat="false" ht="15" hidden="false" customHeight="false" outlineLevel="0" collapsed="false">
      <c r="A1364" s="10" t="s">
        <v>79</v>
      </c>
      <c r="B1364" s="10" t="str">
        <f aca="false">INDEX('Site-uri'!$B$2:$B$20,MATCH(A1364,'Site-uri'!$A$2:$A$20,0))</f>
        <v>eu-112.eu</v>
      </c>
      <c r="C1364" s="10" t="s">
        <v>184</v>
      </c>
      <c r="D1364" s="10" t="s">
        <v>231</v>
      </c>
      <c r="E1364" s="10" t="str">
        <f aca="false">INDEX(Canale!$C$2:$C$30,MATCH(C1364,Canale!$A$2:$A$30,0))</f>
        <v>udemy</v>
      </c>
      <c r="F1364" s="10" t="str">
        <f aca="false">INDEX(Canale!$D$2:$D$30,MATCH(C1364,Canale!$A$2:$A$30,0))</f>
        <v>course</v>
      </c>
      <c r="G1364" s="10" t="str">
        <f aca="false">INDEX('Site-uri'!$C$2:$C$20,MATCH(A1364,'Site-uri'!$A$2:$A$20,0))</f>
        <v>/</v>
      </c>
      <c r="H1364" s="10" t="str">
        <f aca="false">Config!$B$3</f>
        <v>2610_ff_lansare</v>
      </c>
      <c r="I1364" s="10" t="str">
        <f aca="false">D1364&amp;"_"&amp;Config!$B$4</f>
        <v>fierbinte_general</v>
      </c>
      <c r="J1364" s="10" t="str">
        <f aca="false">"https://"&amp;B1364&amp;G1364&amp;"?utm_source="&amp;E1364&amp;"&amp;utm_medium="&amp;F1364&amp;"&amp;utm_campaign="&amp;H1364&amp;"&amp;utm_content="&amp;I1364</f>
        <v>https://eu-112.eu/?utm_source=udemy&amp;utm_medium=course&amp;utm_campaign=2610_ff_lansare&amp;utm_content=fierbinte_general</v>
      </c>
    </row>
    <row r="1365" customFormat="false" ht="15" hidden="false" customHeight="false" outlineLevel="0" collapsed="false">
      <c r="A1365" s="10" t="s">
        <v>79</v>
      </c>
      <c r="B1365" s="10" t="str">
        <f aca="false">INDEX('Site-uri'!$B$2:$B$20,MATCH(A1365,'Site-uri'!$A$2:$A$20,0))</f>
        <v>eu-112.eu</v>
      </c>
      <c r="C1365" s="10" t="s">
        <v>184</v>
      </c>
      <c r="D1365" s="10" t="s">
        <v>237</v>
      </c>
      <c r="E1365" s="10" t="str">
        <f aca="false">INDEX(Canale!$C$2:$C$30,MATCH(C1365,Canale!$A$2:$A$30,0))</f>
        <v>udemy</v>
      </c>
      <c r="F1365" s="10" t="str">
        <f aca="false">INDEX(Canale!$D$2:$D$30,MATCH(C1365,Canale!$A$2:$A$30,0))</f>
        <v>course</v>
      </c>
      <c r="G1365" s="10" t="str">
        <f aca="false">INDEX('Site-uri'!$C$2:$C$20,MATCH(A1365,'Site-uri'!$A$2:$A$20,0))</f>
        <v>/</v>
      </c>
      <c r="H1365" s="10" t="str">
        <f aca="false">Config!$B$3</f>
        <v>2610_ff_lansare</v>
      </c>
      <c r="I1365" s="10" t="str">
        <f aca="false">D1365&amp;"_"&amp;Config!$B$4</f>
        <v>client_general</v>
      </c>
      <c r="J1365" s="10" t="str">
        <f aca="false">"https://"&amp;B1365&amp;G1365&amp;"?utm_source="&amp;E1365&amp;"&amp;utm_medium="&amp;F1365&amp;"&amp;utm_campaign="&amp;H1365&amp;"&amp;utm_content="&amp;I1365</f>
        <v>https://eu-112.eu/?utm_source=udemy&amp;utm_medium=course&amp;utm_campaign=2610_ff_lansare&amp;utm_content=client_general</v>
      </c>
    </row>
    <row r="1366" customFormat="false" ht="15" hidden="false" customHeight="false" outlineLevel="0" collapsed="false">
      <c r="A1366" s="10" t="s">
        <v>79</v>
      </c>
      <c r="B1366" s="10" t="str">
        <f aca="false">INDEX('Site-uri'!$B$2:$B$20,MATCH(A1366,'Site-uri'!$A$2:$A$20,0))</f>
        <v>eu-112.eu</v>
      </c>
      <c r="C1366" s="10" t="s">
        <v>187</v>
      </c>
      <c r="D1366" s="10" t="s">
        <v>219</v>
      </c>
      <c r="E1366" s="10" t="str">
        <f aca="false">INDEX(Canale!$C$2:$C$30,MATCH(C1366,Canale!$A$2:$A$30,0))</f>
        <v>directory</v>
      </c>
      <c r="F1366" s="10" t="str">
        <f aca="false">INDEX(Canale!$D$2:$D$30,MATCH(C1366,Canale!$A$2:$A$30,0))</f>
        <v>referral</v>
      </c>
      <c r="G1366" s="10" t="str">
        <f aca="false">INDEX('Site-uri'!$C$2:$C$20,MATCH(A1366,'Site-uri'!$A$2:$A$20,0))</f>
        <v>/</v>
      </c>
      <c r="H1366" s="10" t="str">
        <f aca="false">Config!$B$3</f>
        <v>2610_ff_lansare</v>
      </c>
      <c r="I1366" s="10" t="str">
        <f aca="false">D1366&amp;"_"&amp;Config!$B$4</f>
        <v>rece_general</v>
      </c>
      <c r="J1366" s="10" t="str">
        <f aca="false">"https://"&amp;B1366&amp;G1366&amp;"?utm_source="&amp;E1366&amp;"&amp;utm_medium="&amp;F1366&amp;"&amp;utm_campaign="&amp;H1366&amp;"&amp;utm_content="&amp;I1366</f>
        <v>https://eu-112.eu/?utm_source=directory&amp;utm_medium=referral&amp;utm_campaign=2610_ff_lansare&amp;utm_content=rece_general</v>
      </c>
    </row>
    <row r="1367" customFormat="false" ht="15" hidden="false" customHeight="false" outlineLevel="0" collapsed="false">
      <c r="A1367" s="10" t="s">
        <v>79</v>
      </c>
      <c r="B1367" s="10" t="str">
        <f aca="false">INDEX('Site-uri'!$B$2:$B$20,MATCH(A1367,'Site-uri'!$A$2:$A$20,0))</f>
        <v>eu-112.eu</v>
      </c>
      <c r="C1367" s="10" t="s">
        <v>187</v>
      </c>
      <c r="D1367" s="10" t="s">
        <v>225</v>
      </c>
      <c r="E1367" s="10" t="str">
        <f aca="false">INDEX(Canale!$C$2:$C$30,MATCH(C1367,Canale!$A$2:$A$30,0))</f>
        <v>directory</v>
      </c>
      <c r="F1367" s="10" t="str">
        <f aca="false">INDEX(Canale!$D$2:$D$30,MATCH(C1367,Canale!$A$2:$A$30,0))</f>
        <v>referral</v>
      </c>
      <c r="G1367" s="10" t="str">
        <f aca="false">INDEX('Site-uri'!$C$2:$C$20,MATCH(A1367,'Site-uri'!$A$2:$A$20,0))</f>
        <v>/</v>
      </c>
      <c r="H1367" s="10" t="str">
        <f aca="false">Config!$B$3</f>
        <v>2610_ff_lansare</v>
      </c>
      <c r="I1367" s="10" t="str">
        <f aca="false">D1367&amp;"_"&amp;Config!$B$4</f>
        <v>cald_general</v>
      </c>
      <c r="J1367" s="10" t="str">
        <f aca="false">"https://"&amp;B1367&amp;G1367&amp;"?utm_source="&amp;E1367&amp;"&amp;utm_medium="&amp;F1367&amp;"&amp;utm_campaign="&amp;H1367&amp;"&amp;utm_content="&amp;I1367</f>
        <v>https://eu-112.eu/?utm_source=directory&amp;utm_medium=referral&amp;utm_campaign=2610_ff_lansare&amp;utm_content=cald_general</v>
      </c>
    </row>
    <row r="1368" customFormat="false" ht="15" hidden="false" customHeight="false" outlineLevel="0" collapsed="false">
      <c r="A1368" s="10" t="s">
        <v>79</v>
      </c>
      <c r="B1368" s="10" t="str">
        <f aca="false">INDEX('Site-uri'!$B$2:$B$20,MATCH(A1368,'Site-uri'!$A$2:$A$20,0))</f>
        <v>eu-112.eu</v>
      </c>
      <c r="C1368" s="10" t="s">
        <v>187</v>
      </c>
      <c r="D1368" s="10" t="s">
        <v>231</v>
      </c>
      <c r="E1368" s="10" t="str">
        <f aca="false">INDEX(Canale!$C$2:$C$30,MATCH(C1368,Canale!$A$2:$A$30,0))</f>
        <v>directory</v>
      </c>
      <c r="F1368" s="10" t="str">
        <f aca="false">INDEX(Canale!$D$2:$D$30,MATCH(C1368,Canale!$A$2:$A$30,0))</f>
        <v>referral</v>
      </c>
      <c r="G1368" s="10" t="str">
        <f aca="false">INDEX('Site-uri'!$C$2:$C$20,MATCH(A1368,'Site-uri'!$A$2:$A$20,0))</f>
        <v>/</v>
      </c>
      <c r="H1368" s="10" t="str">
        <f aca="false">Config!$B$3</f>
        <v>2610_ff_lansare</v>
      </c>
      <c r="I1368" s="10" t="str">
        <f aca="false">D1368&amp;"_"&amp;Config!$B$4</f>
        <v>fierbinte_general</v>
      </c>
      <c r="J1368" s="10" t="str">
        <f aca="false">"https://"&amp;B1368&amp;G1368&amp;"?utm_source="&amp;E1368&amp;"&amp;utm_medium="&amp;F1368&amp;"&amp;utm_campaign="&amp;H1368&amp;"&amp;utm_content="&amp;I1368</f>
        <v>https://eu-112.eu/?utm_source=directory&amp;utm_medium=referral&amp;utm_campaign=2610_ff_lansare&amp;utm_content=fierbinte_general</v>
      </c>
    </row>
    <row r="1369" customFormat="false" ht="15" hidden="false" customHeight="false" outlineLevel="0" collapsed="false">
      <c r="A1369" s="10" t="s">
        <v>79</v>
      </c>
      <c r="B1369" s="10" t="str">
        <f aca="false">INDEX('Site-uri'!$B$2:$B$20,MATCH(A1369,'Site-uri'!$A$2:$A$20,0))</f>
        <v>eu-112.eu</v>
      </c>
      <c r="C1369" s="10" t="s">
        <v>187</v>
      </c>
      <c r="D1369" s="10" t="s">
        <v>237</v>
      </c>
      <c r="E1369" s="10" t="str">
        <f aca="false">INDEX(Canale!$C$2:$C$30,MATCH(C1369,Canale!$A$2:$A$30,0))</f>
        <v>directory</v>
      </c>
      <c r="F1369" s="10" t="str">
        <f aca="false">INDEX(Canale!$D$2:$D$30,MATCH(C1369,Canale!$A$2:$A$30,0))</f>
        <v>referral</v>
      </c>
      <c r="G1369" s="10" t="str">
        <f aca="false">INDEX('Site-uri'!$C$2:$C$20,MATCH(A1369,'Site-uri'!$A$2:$A$20,0))</f>
        <v>/</v>
      </c>
      <c r="H1369" s="10" t="str">
        <f aca="false">Config!$B$3</f>
        <v>2610_ff_lansare</v>
      </c>
      <c r="I1369" s="10" t="str">
        <f aca="false">D1369&amp;"_"&amp;Config!$B$4</f>
        <v>client_general</v>
      </c>
      <c r="J1369" s="10" t="str">
        <f aca="false">"https://"&amp;B1369&amp;G1369&amp;"?utm_source="&amp;E1369&amp;"&amp;utm_medium="&amp;F1369&amp;"&amp;utm_campaign="&amp;H1369&amp;"&amp;utm_content="&amp;I1369</f>
        <v>https://eu-112.eu/?utm_source=directory&amp;utm_medium=referral&amp;utm_campaign=2610_ff_lansare&amp;utm_content=client_general</v>
      </c>
    </row>
    <row r="1370" customFormat="false" ht="15" hidden="false" customHeight="false" outlineLevel="0" collapsed="false">
      <c r="A1370" s="10" t="s">
        <v>79</v>
      </c>
      <c r="B1370" s="10" t="str">
        <f aca="false">INDEX('Site-uri'!$B$2:$B$20,MATCH(A1370,'Site-uri'!$A$2:$A$20,0))</f>
        <v>eu-112.eu</v>
      </c>
      <c r="C1370" s="10" t="s">
        <v>191</v>
      </c>
      <c r="D1370" s="10" t="s">
        <v>219</v>
      </c>
      <c r="E1370" s="10" t="str">
        <f aca="false">INDEX(Canale!$C$2:$C$30,MATCH(C1370,Canale!$A$2:$A$30,0))</f>
        <v>partner</v>
      </c>
      <c r="F1370" s="10" t="str">
        <f aca="false">INDEX(Canale!$D$2:$D$30,MATCH(C1370,Canale!$A$2:$A$30,0))</f>
        <v>partner</v>
      </c>
      <c r="G1370" s="10" t="str">
        <f aca="false">INDEX('Site-uri'!$C$2:$C$20,MATCH(A1370,'Site-uri'!$A$2:$A$20,0))</f>
        <v>/</v>
      </c>
      <c r="H1370" s="10" t="str">
        <f aca="false">Config!$B$3</f>
        <v>2610_ff_lansare</v>
      </c>
      <c r="I1370" s="10" t="str">
        <f aca="false">D1370&amp;"_"&amp;Config!$B$4</f>
        <v>rece_general</v>
      </c>
      <c r="J1370" s="10" t="str">
        <f aca="false">"https://"&amp;B1370&amp;G1370&amp;"?utm_source="&amp;E1370&amp;"&amp;utm_medium="&amp;F1370&amp;"&amp;utm_campaign="&amp;H1370&amp;"&amp;utm_content="&amp;I1370</f>
        <v>https://eu-112.eu/?utm_source=partner&amp;utm_medium=partner&amp;utm_campaign=2610_ff_lansare&amp;utm_content=rece_general</v>
      </c>
    </row>
    <row r="1371" customFormat="false" ht="15" hidden="false" customHeight="false" outlineLevel="0" collapsed="false">
      <c r="A1371" s="10" t="s">
        <v>79</v>
      </c>
      <c r="B1371" s="10" t="str">
        <f aca="false">INDEX('Site-uri'!$B$2:$B$20,MATCH(A1371,'Site-uri'!$A$2:$A$20,0))</f>
        <v>eu-112.eu</v>
      </c>
      <c r="C1371" s="10" t="s">
        <v>191</v>
      </c>
      <c r="D1371" s="10" t="s">
        <v>225</v>
      </c>
      <c r="E1371" s="10" t="str">
        <f aca="false">INDEX(Canale!$C$2:$C$30,MATCH(C1371,Canale!$A$2:$A$30,0))</f>
        <v>partner</v>
      </c>
      <c r="F1371" s="10" t="str">
        <f aca="false">INDEX(Canale!$D$2:$D$30,MATCH(C1371,Canale!$A$2:$A$30,0))</f>
        <v>partner</v>
      </c>
      <c r="G1371" s="10" t="str">
        <f aca="false">INDEX('Site-uri'!$C$2:$C$20,MATCH(A1371,'Site-uri'!$A$2:$A$20,0))</f>
        <v>/</v>
      </c>
      <c r="H1371" s="10" t="str">
        <f aca="false">Config!$B$3</f>
        <v>2610_ff_lansare</v>
      </c>
      <c r="I1371" s="10" t="str">
        <f aca="false">D1371&amp;"_"&amp;Config!$B$4</f>
        <v>cald_general</v>
      </c>
      <c r="J1371" s="10" t="str">
        <f aca="false">"https://"&amp;B1371&amp;G1371&amp;"?utm_source="&amp;E1371&amp;"&amp;utm_medium="&amp;F1371&amp;"&amp;utm_campaign="&amp;H1371&amp;"&amp;utm_content="&amp;I1371</f>
        <v>https://eu-112.eu/?utm_source=partner&amp;utm_medium=partner&amp;utm_campaign=2610_ff_lansare&amp;utm_content=cald_general</v>
      </c>
    </row>
    <row r="1372" customFormat="false" ht="15" hidden="false" customHeight="false" outlineLevel="0" collapsed="false">
      <c r="A1372" s="10" t="s">
        <v>79</v>
      </c>
      <c r="B1372" s="10" t="str">
        <f aca="false">INDEX('Site-uri'!$B$2:$B$20,MATCH(A1372,'Site-uri'!$A$2:$A$20,0))</f>
        <v>eu-112.eu</v>
      </c>
      <c r="C1372" s="10" t="s">
        <v>191</v>
      </c>
      <c r="D1372" s="10" t="s">
        <v>231</v>
      </c>
      <c r="E1372" s="10" t="str">
        <f aca="false">INDEX(Canale!$C$2:$C$30,MATCH(C1372,Canale!$A$2:$A$30,0))</f>
        <v>partner</v>
      </c>
      <c r="F1372" s="10" t="str">
        <f aca="false">INDEX(Canale!$D$2:$D$30,MATCH(C1372,Canale!$A$2:$A$30,0))</f>
        <v>partner</v>
      </c>
      <c r="G1372" s="10" t="str">
        <f aca="false">INDEX('Site-uri'!$C$2:$C$20,MATCH(A1372,'Site-uri'!$A$2:$A$20,0))</f>
        <v>/</v>
      </c>
      <c r="H1372" s="10" t="str">
        <f aca="false">Config!$B$3</f>
        <v>2610_ff_lansare</v>
      </c>
      <c r="I1372" s="10" t="str">
        <f aca="false">D1372&amp;"_"&amp;Config!$B$4</f>
        <v>fierbinte_general</v>
      </c>
      <c r="J1372" s="10" t="str">
        <f aca="false">"https://"&amp;B1372&amp;G1372&amp;"?utm_source="&amp;E1372&amp;"&amp;utm_medium="&amp;F1372&amp;"&amp;utm_campaign="&amp;H1372&amp;"&amp;utm_content="&amp;I1372</f>
        <v>https://eu-112.eu/?utm_source=partner&amp;utm_medium=partner&amp;utm_campaign=2610_ff_lansare&amp;utm_content=fierbinte_general</v>
      </c>
    </row>
    <row r="1373" customFormat="false" ht="15" hidden="false" customHeight="false" outlineLevel="0" collapsed="false">
      <c r="A1373" s="10" t="s">
        <v>79</v>
      </c>
      <c r="B1373" s="10" t="str">
        <f aca="false">INDEX('Site-uri'!$B$2:$B$20,MATCH(A1373,'Site-uri'!$A$2:$A$20,0))</f>
        <v>eu-112.eu</v>
      </c>
      <c r="C1373" s="10" t="s">
        <v>191</v>
      </c>
      <c r="D1373" s="10" t="s">
        <v>237</v>
      </c>
      <c r="E1373" s="10" t="str">
        <f aca="false">INDEX(Canale!$C$2:$C$30,MATCH(C1373,Canale!$A$2:$A$30,0))</f>
        <v>partner</v>
      </c>
      <c r="F1373" s="10" t="str">
        <f aca="false">INDEX(Canale!$D$2:$D$30,MATCH(C1373,Canale!$A$2:$A$30,0))</f>
        <v>partner</v>
      </c>
      <c r="G1373" s="10" t="str">
        <f aca="false">INDEX('Site-uri'!$C$2:$C$20,MATCH(A1373,'Site-uri'!$A$2:$A$20,0))</f>
        <v>/</v>
      </c>
      <c r="H1373" s="10" t="str">
        <f aca="false">Config!$B$3</f>
        <v>2610_ff_lansare</v>
      </c>
      <c r="I1373" s="10" t="str">
        <f aca="false">D1373&amp;"_"&amp;Config!$B$4</f>
        <v>client_general</v>
      </c>
      <c r="J1373" s="10" t="str">
        <f aca="false">"https://"&amp;B1373&amp;G1373&amp;"?utm_source="&amp;E1373&amp;"&amp;utm_medium="&amp;F1373&amp;"&amp;utm_campaign="&amp;H1373&amp;"&amp;utm_content="&amp;I1373</f>
        <v>https://eu-112.eu/?utm_source=partner&amp;utm_medium=partner&amp;utm_campaign=2610_ff_lansare&amp;utm_content=client_general</v>
      </c>
    </row>
    <row r="1374" customFormat="false" ht="15" hidden="false" customHeight="false" outlineLevel="0" collapsed="false">
      <c r="A1374" s="10" t="s">
        <v>79</v>
      </c>
      <c r="B1374" s="10" t="str">
        <f aca="false">INDEX('Site-uri'!$B$2:$B$20,MATCH(A1374,'Site-uri'!$A$2:$A$20,0))</f>
        <v>eu-112.eu</v>
      </c>
      <c r="C1374" s="10" t="s">
        <v>193</v>
      </c>
      <c r="D1374" s="10" t="s">
        <v>219</v>
      </c>
      <c r="E1374" s="10" t="str">
        <f aca="false">INDEX(Canale!$C$2:$C$30,MATCH(C1374,Canale!$A$2:$A$30,0))</f>
        <v>pdf_proposal</v>
      </c>
      <c r="F1374" s="10" t="str">
        <f aca="false">INDEX(Canale!$D$2:$D$30,MATCH(C1374,Canale!$A$2:$A$30,0))</f>
        <v>document</v>
      </c>
      <c r="G1374" s="10" t="str">
        <f aca="false">INDEX('Site-uri'!$C$2:$C$20,MATCH(A1374,'Site-uri'!$A$2:$A$20,0))</f>
        <v>/</v>
      </c>
      <c r="H1374" s="10" t="str">
        <f aca="false">Config!$B$3</f>
        <v>2610_ff_lansare</v>
      </c>
      <c r="I1374" s="10" t="str">
        <f aca="false">D1374&amp;"_"&amp;Config!$B$4</f>
        <v>rece_general</v>
      </c>
      <c r="J1374" s="10" t="str">
        <f aca="false">"https://"&amp;B1374&amp;G1374&amp;"?utm_source="&amp;E1374&amp;"&amp;utm_medium="&amp;F1374&amp;"&amp;utm_campaign="&amp;H1374&amp;"&amp;utm_content="&amp;I1374</f>
        <v>https://eu-112.eu/?utm_source=pdf_proposal&amp;utm_medium=document&amp;utm_campaign=2610_ff_lansare&amp;utm_content=rece_general</v>
      </c>
    </row>
    <row r="1375" customFormat="false" ht="15" hidden="false" customHeight="false" outlineLevel="0" collapsed="false">
      <c r="A1375" s="10" t="s">
        <v>79</v>
      </c>
      <c r="B1375" s="10" t="str">
        <f aca="false">INDEX('Site-uri'!$B$2:$B$20,MATCH(A1375,'Site-uri'!$A$2:$A$20,0))</f>
        <v>eu-112.eu</v>
      </c>
      <c r="C1375" s="10" t="s">
        <v>193</v>
      </c>
      <c r="D1375" s="10" t="s">
        <v>225</v>
      </c>
      <c r="E1375" s="10" t="str">
        <f aca="false">INDEX(Canale!$C$2:$C$30,MATCH(C1375,Canale!$A$2:$A$30,0))</f>
        <v>pdf_proposal</v>
      </c>
      <c r="F1375" s="10" t="str">
        <f aca="false">INDEX(Canale!$D$2:$D$30,MATCH(C1375,Canale!$A$2:$A$30,0))</f>
        <v>document</v>
      </c>
      <c r="G1375" s="10" t="str">
        <f aca="false">INDEX('Site-uri'!$C$2:$C$20,MATCH(A1375,'Site-uri'!$A$2:$A$20,0))</f>
        <v>/</v>
      </c>
      <c r="H1375" s="10" t="str">
        <f aca="false">Config!$B$3</f>
        <v>2610_ff_lansare</v>
      </c>
      <c r="I1375" s="10" t="str">
        <f aca="false">D1375&amp;"_"&amp;Config!$B$4</f>
        <v>cald_general</v>
      </c>
      <c r="J1375" s="10" t="str">
        <f aca="false">"https://"&amp;B1375&amp;G1375&amp;"?utm_source="&amp;E1375&amp;"&amp;utm_medium="&amp;F1375&amp;"&amp;utm_campaign="&amp;H1375&amp;"&amp;utm_content="&amp;I1375</f>
        <v>https://eu-112.eu/?utm_source=pdf_proposal&amp;utm_medium=document&amp;utm_campaign=2610_ff_lansare&amp;utm_content=cald_general</v>
      </c>
    </row>
    <row r="1376" customFormat="false" ht="15" hidden="false" customHeight="false" outlineLevel="0" collapsed="false">
      <c r="A1376" s="10" t="s">
        <v>79</v>
      </c>
      <c r="B1376" s="10" t="str">
        <f aca="false">INDEX('Site-uri'!$B$2:$B$20,MATCH(A1376,'Site-uri'!$A$2:$A$20,0))</f>
        <v>eu-112.eu</v>
      </c>
      <c r="C1376" s="10" t="s">
        <v>193</v>
      </c>
      <c r="D1376" s="10" t="s">
        <v>231</v>
      </c>
      <c r="E1376" s="10" t="str">
        <f aca="false">INDEX(Canale!$C$2:$C$30,MATCH(C1376,Canale!$A$2:$A$30,0))</f>
        <v>pdf_proposal</v>
      </c>
      <c r="F1376" s="10" t="str">
        <f aca="false">INDEX(Canale!$D$2:$D$30,MATCH(C1376,Canale!$A$2:$A$30,0))</f>
        <v>document</v>
      </c>
      <c r="G1376" s="10" t="str">
        <f aca="false">INDEX('Site-uri'!$C$2:$C$20,MATCH(A1376,'Site-uri'!$A$2:$A$20,0))</f>
        <v>/</v>
      </c>
      <c r="H1376" s="10" t="str">
        <f aca="false">Config!$B$3</f>
        <v>2610_ff_lansare</v>
      </c>
      <c r="I1376" s="10" t="str">
        <f aca="false">D1376&amp;"_"&amp;Config!$B$4</f>
        <v>fierbinte_general</v>
      </c>
      <c r="J1376" s="10" t="str">
        <f aca="false">"https://"&amp;B1376&amp;G1376&amp;"?utm_source="&amp;E1376&amp;"&amp;utm_medium="&amp;F1376&amp;"&amp;utm_campaign="&amp;H1376&amp;"&amp;utm_content="&amp;I1376</f>
        <v>https://eu-112.eu/?utm_source=pdf_proposal&amp;utm_medium=document&amp;utm_campaign=2610_ff_lansare&amp;utm_content=fierbinte_general</v>
      </c>
    </row>
    <row r="1377" customFormat="false" ht="15" hidden="false" customHeight="false" outlineLevel="0" collapsed="false">
      <c r="A1377" s="10" t="s">
        <v>79</v>
      </c>
      <c r="B1377" s="10" t="str">
        <f aca="false">INDEX('Site-uri'!$B$2:$B$20,MATCH(A1377,'Site-uri'!$A$2:$A$20,0))</f>
        <v>eu-112.eu</v>
      </c>
      <c r="C1377" s="10" t="s">
        <v>193</v>
      </c>
      <c r="D1377" s="10" t="s">
        <v>237</v>
      </c>
      <c r="E1377" s="10" t="str">
        <f aca="false">INDEX(Canale!$C$2:$C$30,MATCH(C1377,Canale!$A$2:$A$30,0))</f>
        <v>pdf_proposal</v>
      </c>
      <c r="F1377" s="10" t="str">
        <f aca="false">INDEX(Canale!$D$2:$D$30,MATCH(C1377,Canale!$A$2:$A$30,0))</f>
        <v>document</v>
      </c>
      <c r="G1377" s="10" t="str">
        <f aca="false">INDEX('Site-uri'!$C$2:$C$20,MATCH(A1377,'Site-uri'!$A$2:$A$20,0))</f>
        <v>/</v>
      </c>
      <c r="H1377" s="10" t="str">
        <f aca="false">Config!$B$3</f>
        <v>2610_ff_lansare</v>
      </c>
      <c r="I1377" s="10" t="str">
        <f aca="false">D1377&amp;"_"&amp;Config!$B$4</f>
        <v>client_general</v>
      </c>
      <c r="J1377" s="10" t="str">
        <f aca="false">"https://"&amp;B1377&amp;G1377&amp;"?utm_source="&amp;E1377&amp;"&amp;utm_medium="&amp;F1377&amp;"&amp;utm_campaign="&amp;H1377&amp;"&amp;utm_content="&amp;I1377</f>
        <v>https://eu-112.eu/?utm_source=pdf_proposal&amp;utm_medium=document&amp;utm_campaign=2610_ff_lansare&amp;utm_content=client_general</v>
      </c>
    </row>
    <row r="1378" customFormat="false" ht="15" hidden="false" customHeight="false" outlineLevel="0" collapsed="false">
      <c r="A1378" s="10" t="s">
        <v>79</v>
      </c>
      <c r="B1378" s="10" t="str">
        <f aca="false">INDEX('Site-uri'!$B$2:$B$20,MATCH(A1378,'Site-uri'!$A$2:$A$20,0))</f>
        <v>eu-112.eu</v>
      </c>
      <c r="C1378" s="10" t="s">
        <v>198</v>
      </c>
      <c r="D1378" s="10" t="s">
        <v>219</v>
      </c>
      <c r="E1378" s="10" t="str">
        <f aca="false">INDEX(Canale!$C$2:$C$30,MATCH(C1378,Canale!$A$2:$A$30,0))</f>
        <v>qr_print</v>
      </c>
      <c r="F1378" s="10" t="str">
        <f aca="false">INDEX(Canale!$D$2:$D$30,MATCH(C1378,Canale!$A$2:$A$30,0))</f>
        <v>qr</v>
      </c>
      <c r="G1378" s="10" t="str">
        <f aca="false">INDEX('Site-uri'!$C$2:$C$20,MATCH(A1378,'Site-uri'!$A$2:$A$20,0))</f>
        <v>/</v>
      </c>
      <c r="H1378" s="10" t="str">
        <f aca="false">Config!$B$3</f>
        <v>2610_ff_lansare</v>
      </c>
      <c r="I1378" s="10" t="str">
        <f aca="false">D1378&amp;"_"&amp;Config!$B$4</f>
        <v>rece_general</v>
      </c>
      <c r="J1378" s="10" t="str">
        <f aca="false">"https://"&amp;B1378&amp;G1378&amp;"?utm_source="&amp;E1378&amp;"&amp;utm_medium="&amp;F1378&amp;"&amp;utm_campaign="&amp;H1378&amp;"&amp;utm_content="&amp;I1378</f>
        <v>https://eu-112.eu/?utm_source=qr_print&amp;utm_medium=qr&amp;utm_campaign=2610_ff_lansare&amp;utm_content=rece_general</v>
      </c>
    </row>
    <row r="1379" customFormat="false" ht="15" hidden="false" customHeight="false" outlineLevel="0" collapsed="false">
      <c r="A1379" s="10" t="s">
        <v>79</v>
      </c>
      <c r="B1379" s="10" t="str">
        <f aca="false">INDEX('Site-uri'!$B$2:$B$20,MATCH(A1379,'Site-uri'!$A$2:$A$20,0))</f>
        <v>eu-112.eu</v>
      </c>
      <c r="C1379" s="10" t="s">
        <v>198</v>
      </c>
      <c r="D1379" s="10" t="s">
        <v>225</v>
      </c>
      <c r="E1379" s="10" t="str">
        <f aca="false">INDEX(Canale!$C$2:$C$30,MATCH(C1379,Canale!$A$2:$A$30,0))</f>
        <v>qr_print</v>
      </c>
      <c r="F1379" s="10" t="str">
        <f aca="false">INDEX(Canale!$D$2:$D$30,MATCH(C1379,Canale!$A$2:$A$30,0))</f>
        <v>qr</v>
      </c>
      <c r="G1379" s="10" t="str">
        <f aca="false">INDEX('Site-uri'!$C$2:$C$20,MATCH(A1379,'Site-uri'!$A$2:$A$20,0))</f>
        <v>/</v>
      </c>
      <c r="H1379" s="10" t="str">
        <f aca="false">Config!$B$3</f>
        <v>2610_ff_lansare</v>
      </c>
      <c r="I1379" s="10" t="str">
        <f aca="false">D1379&amp;"_"&amp;Config!$B$4</f>
        <v>cald_general</v>
      </c>
      <c r="J1379" s="10" t="str">
        <f aca="false">"https://"&amp;B1379&amp;G1379&amp;"?utm_source="&amp;E1379&amp;"&amp;utm_medium="&amp;F1379&amp;"&amp;utm_campaign="&amp;H1379&amp;"&amp;utm_content="&amp;I1379</f>
        <v>https://eu-112.eu/?utm_source=qr_print&amp;utm_medium=qr&amp;utm_campaign=2610_ff_lansare&amp;utm_content=cald_general</v>
      </c>
    </row>
    <row r="1380" customFormat="false" ht="15" hidden="false" customHeight="false" outlineLevel="0" collapsed="false">
      <c r="A1380" s="10" t="s">
        <v>79</v>
      </c>
      <c r="B1380" s="10" t="str">
        <f aca="false">INDEX('Site-uri'!$B$2:$B$20,MATCH(A1380,'Site-uri'!$A$2:$A$20,0))</f>
        <v>eu-112.eu</v>
      </c>
      <c r="C1380" s="10" t="s">
        <v>198</v>
      </c>
      <c r="D1380" s="10" t="s">
        <v>231</v>
      </c>
      <c r="E1380" s="10" t="str">
        <f aca="false">INDEX(Canale!$C$2:$C$30,MATCH(C1380,Canale!$A$2:$A$30,0))</f>
        <v>qr_print</v>
      </c>
      <c r="F1380" s="10" t="str">
        <f aca="false">INDEX(Canale!$D$2:$D$30,MATCH(C1380,Canale!$A$2:$A$30,0))</f>
        <v>qr</v>
      </c>
      <c r="G1380" s="10" t="str">
        <f aca="false">INDEX('Site-uri'!$C$2:$C$20,MATCH(A1380,'Site-uri'!$A$2:$A$20,0))</f>
        <v>/</v>
      </c>
      <c r="H1380" s="10" t="str">
        <f aca="false">Config!$B$3</f>
        <v>2610_ff_lansare</v>
      </c>
      <c r="I1380" s="10" t="str">
        <f aca="false">D1380&amp;"_"&amp;Config!$B$4</f>
        <v>fierbinte_general</v>
      </c>
      <c r="J1380" s="10" t="str">
        <f aca="false">"https://"&amp;B1380&amp;G1380&amp;"?utm_source="&amp;E1380&amp;"&amp;utm_medium="&amp;F1380&amp;"&amp;utm_campaign="&amp;H1380&amp;"&amp;utm_content="&amp;I1380</f>
        <v>https://eu-112.eu/?utm_source=qr_print&amp;utm_medium=qr&amp;utm_campaign=2610_ff_lansare&amp;utm_content=fierbinte_general</v>
      </c>
    </row>
    <row r="1381" customFormat="false" ht="15" hidden="false" customHeight="false" outlineLevel="0" collapsed="false">
      <c r="A1381" s="10" t="s">
        <v>79</v>
      </c>
      <c r="B1381" s="10" t="str">
        <f aca="false">INDEX('Site-uri'!$B$2:$B$20,MATCH(A1381,'Site-uri'!$A$2:$A$20,0))</f>
        <v>eu-112.eu</v>
      </c>
      <c r="C1381" s="10" t="s">
        <v>198</v>
      </c>
      <c r="D1381" s="10" t="s">
        <v>237</v>
      </c>
      <c r="E1381" s="10" t="str">
        <f aca="false">INDEX(Canale!$C$2:$C$30,MATCH(C1381,Canale!$A$2:$A$30,0))</f>
        <v>qr_print</v>
      </c>
      <c r="F1381" s="10" t="str">
        <f aca="false">INDEX(Canale!$D$2:$D$30,MATCH(C1381,Canale!$A$2:$A$30,0))</f>
        <v>qr</v>
      </c>
      <c r="G1381" s="10" t="str">
        <f aca="false">INDEX('Site-uri'!$C$2:$C$20,MATCH(A1381,'Site-uri'!$A$2:$A$20,0))</f>
        <v>/</v>
      </c>
      <c r="H1381" s="10" t="str">
        <f aca="false">Config!$B$3</f>
        <v>2610_ff_lansare</v>
      </c>
      <c r="I1381" s="10" t="str">
        <f aca="false">D1381&amp;"_"&amp;Config!$B$4</f>
        <v>client_general</v>
      </c>
      <c r="J1381" s="10" t="str">
        <f aca="false">"https://"&amp;B1381&amp;G1381&amp;"?utm_source="&amp;E1381&amp;"&amp;utm_medium="&amp;F1381&amp;"&amp;utm_campaign="&amp;H1381&amp;"&amp;utm_content="&amp;I1381</f>
        <v>https://eu-112.eu/?utm_source=qr_print&amp;utm_medium=qr&amp;utm_campaign=2610_ff_lansare&amp;utm_content=client_general</v>
      </c>
    </row>
    <row r="1382" customFormat="false" ht="15" hidden="false" customHeight="false" outlineLevel="0" collapsed="false">
      <c r="A1382" s="10" t="s">
        <v>79</v>
      </c>
      <c r="B1382" s="10" t="str">
        <f aca="false">INDEX('Site-uri'!$B$2:$B$20,MATCH(A1382,'Site-uri'!$A$2:$A$20,0))</f>
        <v>eu-112.eu</v>
      </c>
      <c r="C1382" s="10" t="s">
        <v>202</v>
      </c>
      <c r="D1382" s="10" t="s">
        <v>219</v>
      </c>
      <c r="E1382" s="10" t="str">
        <f aca="false">INDEX(Canale!$C$2:$C$30,MATCH(C1382,Canale!$A$2:$A$30,0))</f>
        <v>event</v>
      </c>
      <c r="F1382" s="10" t="str">
        <f aca="false">INDEX(Canale!$D$2:$D$30,MATCH(C1382,Canale!$A$2:$A$30,0))</f>
        <v>event</v>
      </c>
      <c r="G1382" s="10" t="str">
        <f aca="false">INDEX('Site-uri'!$C$2:$C$20,MATCH(A1382,'Site-uri'!$A$2:$A$20,0))</f>
        <v>/</v>
      </c>
      <c r="H1382" s="10" t="str">
        <f aca="false">Config!$B$3</f>
        <v>2610_ff_lansare</v>
      </c>
      <c r="I1382" s="10" t="str">
        <f aca="false">D1382&amp;"_"&amp;Config!$B$4</f>
        <v>rece_general</v>
      </c>
      <c r="J1382" s="10" t="str">
        <f aca="false">"https://"&amp;B1382&amp;G1382&amp;"?utm_source="&amp;E1382&amp;"&amp;utm_medium="&amp;F1382&amp;"&amp;utm_campaign="&amp;H1382&amp;"&amp;utm_content="&amp;I1382</f>
        <v>https://eu-112.eu/?utm_source=event&amp;utm_medium=event&amp;utm_campaign=2610_ff_lansare&amp;utm_content=rece_general</v>
      </c>
    </row>
    <row r="1383" customFormat="false" ht="15" hidden="false" customHeight="false" outlineLevel="0" collapsed="false">
      <c r="A1383" s="10" t="s">
        <v>79</v>
      </c>
      <c r="B1383" s="10" t="str">
        <f aca="false">INDEX('Site-uri'!$B$2:$B$20,MATCH(A1383,'Site-uri'!$A$2:$A$20,0))</f>
        <v>eu-112.eu</v>
      </c>
      <c r="C1383" s="10" t="s">
        <v>202</v>
      </c>
      <c r="D1383" s="10" t="s">
        <v>225</v>
      </c>
      <c r="E1383" s="10" t="str">
        <f aca="false">INDEX(Canale!$C$2:$C$30,MATCH(C1383,Canale!$A$2:$A$30,0))</f>
        <v>event</v>
      </c>
      <c r="F1383" s="10" t="str">
        <f aca="false">INDEX(Canale!$D$2:$D$30,MATCH(C1383,Canale!$A$2:$A$30,0))</f>
        <v>event</v>
      </c>
      <c r="G1383" s="10" t="str">
        <f aca="false">INDEX('Site-uri'!$C$2:$C$20,MATCH(A1383,'Site-uri'!$A$2:$A$20,0))</f>
        <v>/</v>
      </c>
      <c r="H1383" s="10" t="str">
        <f aca="false">Config!$B$3</f>
        <v>2610_ff_lansare</v>
      </c>
      <c r="I1383" s="10" t="str">
        <f aca="false">D1383&amp;"_"&amp;Config!$B$4</f>
        <v>cald_general</v>
      </c>
      <c r="J1383" s="10" t="str">
        <f aca="false">"https://"&amp;B1383&amp;G1383&amp;"?utm_source="&amp;E1383&amp;"&amp;utm_medium="&amp;F1383&amp;"&amp;utm_campaign="&amp;H1383&amp;"&amp;utm_content="&amp;I1383</f>
        <v>https://eu-112.eu/?utm_source=event&amp;utm_medium=event&amp;utm_campaign=2610_ff_lansare&amp;utm_content=cald_general</v>
      </c>
    </row>
    <row r="1384" customFormat="false" ht="15" hidden="false" customHeight="false" outlineLevel="0" collapsed="false">
      <c r="A1384" s="10" t="s">
        <v>79</v>
      </c>
      <c r="B1384" s="10" t="str">
        <f aca="false">INDEX('Site-uri'!$B$2:$B$20,MATCH(A1384,'Site-uri'!$A$2:$A$20,0))</f>
        <v>eu-112.eu</v>
      </c>
      <c r="C1384" s="10" t="s">
        <v>202</v>
      </c>
      <c r="D1384" s="10" t="s">
        <v>231</v>
      </c>
      <c r="E1384" s="10" t="str">
        <f aca="false">INDEX(Canale!$C$2:$C$30,MATCH(C1384,Canale!$A$2:$A$30,0))</f>
        <v>event</v>
      </c>
      <c r="F1384" s="10" t="str">
        <f aca="false">INDEX(Canale!$D$2:$D$30,MATCH(C1384,Canale!$A$2:$A$30,0))</f>
        <v>event</v>
      </c>
      <c r="G1384" s="10" t="str">
        <f aca="false">INDEX('Site-uri'!$C$2:$C$20,MATCH(A1384,'Site-uri'!$A$2:$A$20,0))</f>
        <v>/</v>
      </c>
      <c r="H1384" s="10" t="str">
        <f aca="false">Config!$B$3</f>
        <v>2610_ff_lansare</v>
      </c>
      <c r="I1384" s="10" t="str">
        <f aca="false">D1384&amp;"_"&amp;Config!$B$4</f>
        <v>fierbinte_general</v>
      </c>
      <c r="J1384" s="10" t="str">
        <f aca="false">"https://"&amp;B1384&amp;G1384&amp;"?utm_source="&amp;E1384&amp;"&amp;utm_medium="&amp;F1384&amp;"&amp;utm_campaign="&amp;H1384&amp;"&amp;utm_content="&amp;I1384</f>
        <v>https://eu-112.eu/?utm_source=event&amp;utm_medium=event&amp;utm_campaign=2610_ff_lansare&amp;utm_content=fierbinte_general</v>
      </c>
    </row>
    <row r="1385" customFormat="false" ht="15" hidden="false" customHeight="false" outlineLevel="0" collapsed="false">
      <c r="A1385" s="10" t="s">
        <v>79</v>
      </c>
      <c r="B1385" s="10" t="str">
        <f aca="false">INDEX('Site-uri'!$B$2:$B$20,MATCH(A1385,'Site-uri'!$A$2:$A$20,0))</f>
        <v>eu-112.eu</v>
      </c>
      <c r="C1385" s="10" t="s">
        <v>202</v>
      </c>
      <c r="D1385" s="10" t="s">
        <v>237</v>
      </c>
      <c r="E1385" s="10" t="str">
        <f aca="false">INDEX(Canale!$C$2:$C$30,MATCH(C1385,Canale!$A$2:$A$30,0))</f>
        <v>event</v>
      </c>
      <c r="F1385" s="10" t="str">
        <f aca="false">INDEX(Canale!$D$2:$D$30,MATCH(C1385,Canale!$A$2:$A$30,0))</f>
        <v>event</v>
      </c>
      <c r="G1385" s="10" t="str">
        <f aca="false">INDEX('Site-uri'!$C$2:$C$20,MATCH(A1385,'Site-uri'!$A$2:$A$20,0))</f>
        <v>/</v>
      </c>
      <c r="H1385" s="10" t="str">
        <f aca="false">Config!$B$3</f>
        <v>2610_ff_lansare</v>
      </c>
      <c r="I1385" s="10" t="str">
        <f aca="false">D1385&amp;"_"&amp;Config!$B$4</f>
        <v>client_general</v>
      </c>
      <c r="J1385" s="10" t="str">
        <f aca="false">"https://"&amp;B1385&amp;G1385&amp;"?utm_source="&amp;E1385&amp;"&amp;utm_medium="&amp;F1385&amp;"&amp;utm_campaign="&amp;H1385&amp;"&amp;utm_content="&amp;I1385</f>
        <v>https://eu-112.eu/?utm_source=event&amp;utm_medium=event&amp;utm_campaign=2610_ff_lansare&amp;utm_content=client_general</v>
      </c>
    </row>
    <row r="1386" customFormat="false" ht="15" hidden="false" customHeight="false" outlineLevel="0" collapsed="false">
      <c r="A1386" s="10" t="s">
        <v>79</v>
      </c>
      <c r="B1386" s="10" t="str">
        <f aca="false">INDEX('Site-uri'!$B$2:$B$20,MATCH(A1386,'Site-uri'!$A$2:$A$20,0))</f>
        <v>eu-112.eu</v>
      </c>
      <c r="C1386" s="10" t="s">
        <v>204</v>
      </c>
      <c r="D1386" s="10" t="s">
        <v>219</v>
      </c>
      <c r="E1386" s="10" t="str">
        <f aca="false">INDEX(Canale!$C$2:$C$30,MATCH(C1386,Canale!$A$2:$A$30,0))</f>
        <v>a2a_agent_card</v>
      </c>
      <c r="F1386" s="10" t="str">
        <f aca="false">INDEX(Canale!$D$2:$D$30,MATCH(C1386,Canale!$A$2:$A$30,0))</f>
        <v>agent</v>
      </c>
      <c r="G1386" s="10" t="str">
        <f aca="false">INDEX('Site-uri'!$C$2:$C$20,MATCH(A1386,'Site-uri'!$A$2:$A$20,0))</f>
        <v>/</v>
      </c>
      <c r="H1386" s="10" t="str">
        <f aca="false">Config!$B$3</f>
        <v>2610_ff_lansare</v>
      </c>
      <c r="I1386" s="10" t="str">
        <f aca="false">D1386&amp;"_"&amp;Config!$B$4</f>
        <v>rece_general</v>
      </c>
      <c r="J1386" s="10" t="str">
        <f aca="false">"https://"&amp;B1386&amp;G1386&amp;"?utm_source="&amp;E1386&amp;"&amp;utm_medium="&amp;F1386&amp;"&amp;utm_campaign="&amp;H1386&amp;"&amp;utm_content="&amp;I1386</f>
        <v>https://eu-112.eu/?utm_source=a2a_agent_card&amp;utm_medium=agent&amp;utm_campaign=2610_ff_lansare&amp;utm_content=rece_general</v>
      </c>
    </row>
    <row r="1387" customFormat="false" ht="15" hidden="false" customHeight="false" outlineLevel="0" collapsed="false">
      <c r="A1387" s="10" t="s">
        <v>79</v>
      </c>
      <c r="B1387" s="10" t="str">
        <f aca="false">INDEX('Site-uri'!$B$2:$B$20,MATCH(A1387,'Site-uri'!$A$2:$A$20,0))</f>
        <v>eu-112.eu</v>
      </c>
      <c r="C1387" s="10" t="s">
        <v>204</v>
      </c>
      <c r="D1387" s="10" t="s">
        <v>225</v>
      </c>
      <c r="E1387" s="10" t="str">
        <f aca="false">INDEX(Canale!$C$2:$C$30,MATCH(C1387,Canale!$A$2:$A$30,0))</f>
        <v>a2a_agent_card</v>
      </c>
      <c r="F1387" s="10" t="str">
        <f aca="false">INDEX(Canale!$D$2:$D$30,MATCH(C1387,Canale!$A$2:$A$30,0))</f>
        <v>agent</v>
      </c>
      <c r="G1387" s="10" t="str">
        <f aca="false">INDEX('Site-uri'!$C$2:$C$20,MATCH(A1387,'Site-uri'!$A$2:$A$20,0))</f>
        <v>/</v>
      </c>
      <c r="H1387" s="10" t="str">
        <f aca="false">Config!$B$3</f>
        <v>2610_ff_lansare</v>
      </c>
      <c r="I1387" s="10" t="str">
        <f aca="false">D1387&amp;"_"&amp;Config!$B$4</f>
        <v>cald_general</v>
      </c>
      <c r="J1387" s="10" t="str">
        <f aca="false">"https://"&amp;B1387&amp;G1387&amp;"?utm_source="&amp;E1387&amp;"&amp;utm_medium="&amp;F1387&amp;"&amp;utm_campaign="&amp;H1387&amp;"&amp;utm_content="&amp;I1387</f>
        <v>https://eu-112.eu/?utm_source=a2a_agent_card&amp;utm_medium=agent&amp;utm_campaign=2610_ff_lansare&amp;utm_content=cald_general</v>
      </c>
    </row>
    <row r="1388" customFormat="false" ht="15" hidden="false" customHeight="false" outlineLevel="0" collapsed="false">
      <c r="A1388" s="10" t="s">
        <v>79</v>
      </c>
      <c r="B1388" s="10" t="str">
        <f aca="false">INDEX('Site-uri'!$B$2:$B$20,MATCH(A1388,'Site-uri'!$A$2:$A$20,0))</f>
        <v>eu-112.eu</v>
      </c>
      <c r="C1388" s="10" t="s">
        <v>204</v>
      </c>
      <c r="D1388" s="10" t="s">
        <v>231</v>
      </c>
      <c r="E1388" s="10" t="str">
        <f aca="false">INDEX(Canale!$C$2:$C$30,MATCH(C1388,Canale!$A$2:$A$30,0))</f>
        <v>a2a_agent_card</v>
      </c>
      <c r="F1388" s="10" t="str">
        <f aca="false">INDEX(Canale!$D$2:$D$30,MATCH(C1388,Canale!$A$2:$A$30,0))</f>
        <v>agent</v>
      </c>
      <c r="G1388" s="10" t="str">
        <f aca="false">INDEX('Site-uri'!$C$2:$C$20,MATCH(A1388,'Site-uri'!$A$2:$A$20,0))</f>
        <v>/</v>
      </c>
      <c r="H1388" s="10" t="str">
        <f aca="false">Config!$B$3</f>
        <v>2610_ff_lansare</v>
      </c>
      <c r="I1388" s="10" t="str">
        <f aca="false">D1388&amp;"_"&amp;Config!$B$4</f>
        <v>fierbinte_general</v>
      </c>
      <c r="J1388" s="10" t="str">
        <f aca="false">"https://"&amp;B1388&amp;G1388&amp;"?utm_source="&amp;E1388&amp;"&amp;utm_medium="&amp;F1388&amp;"&amp;utm_campaign="&amp;H1388&amp;"&amp;utm_content="&amp;I1388</f>
        <v>https://eu-112.eu/?utm_source=a2a_agent_card&amp;utm_medium=agent&amp;utm_campaign=2610_ff_lansare&amp;utm_content=fierbinte_general</v>
      </c>
    </row>
    <row r="1389" customFormat="false" ht="15" hidden="false" customHeight="false" outlineLevel="0" collapsed="false">
      <c r="A1389" s="10" t="s">
        <v>79</v>
      </c>
      <c r="B1389" s="10" t="str">
        <f aca="false">INDEX('Site-uri'!$B$2:$B$20,MATCH(A1389,'Site-uri'!$A$2:$A$20,0))</f>
        <v>eu-112.eu</v>
      </c>
      <c r="C1389" s="10" t="s">
        <v>204</v>
      </c>
      <c r="D1389" s="10" t="s">
        <v>237</v>
      </c>
      <c r="E1389" s="10" t="str">
        <f aca="false">INDEX(Canale!$C$2:$C$30,MATCH(C1389,Canale!$A$2:$A$30,0))</f>
        <v>a2a_agent_card</v>
      </c>
      <c r="F1389" s="10" t="str">
        <f aca="false">INDEX(Canale!$D$2:$D$30,MATCH(C1389,Canale!$A$2:$A$30,0))</f>
        <v>agent</v>
      </c>
      <c r="G1389" s="10" t="str">
        <f aca="false">INDEX('Site-uri'!$C$2:$C$20,MATCH(A1389,'Site-uri'!$A$2:$A$20,0))</f>
        <v>/</v>
      </c>
      <c r="H1389" s="10" t="str">
        <f aca="false">Config!$B$3</f>
        <v>2610_ff_lansare</v>
      </c>
      <c r="I1389" s="10" t="str">
        <f aca="false">D1389&amp;"_"&amp;Config!$B$4</f>
        <v>client_general</v>
      </c>
      <c r="J1389" s="10" t="str">
        <f aca="false">"https://"&amp;B1389&amp;G1389&amp;"?utm_source="&amp;E1389&amp;"&amp;utm_medium="&amp;F1389&amp;"&amp;utm_campaign="&amp;H1389&amp;"&amp;utm_content="&amp;I1389</f>
        <v>https://eu-112.eu/?utm_source=a2a_agent_card&amp;utm_medium=agent&amp;utm_campaign=2610_ff_lansare&amp;utm_content=client_general</v>
      </c>
    </row>
    <row r="1390" customFormat="false" ht="15" hidden="false" customHeight="false" outlineLevel="0" collapsed="false">
      <c r="A1390" s="10" t="s">
        <v>79</v>
      </c>
      <c r="B1390" s="10" t="str">
        <f aca="false">INDEX('Site-uri'!$B$2:$B$20,MATCH(A1390,'Site-uri'!$A$2:$A$20,0))</f>
        <v>eu-112.eu</v>
      </c>
      <c r="C1390" s="10" t="s">
        <v>209</v>
      </c>
      <c r="D1390" s="10" t="s">
        <v>219</v>
      </c>
      <c r="E1390" s="10" t="str">
        <f aca="false">INDEX(Canale!$C$2:$C$30,MATCH(C1390,Canale!$A$2:$A$30,0))</f>
        <v>llms_txt</v>
      </c>
      <c r="F1390" s="10" t="str">
        <f aca="false">INDEX(Canale!$D$2:$D$30,MATCH(C1390,Canale!$A$2:$A$30,0))</f>
        <v>ai_web</v>
      </c>
      <c r="G1390" s="10" t="str">
        <f aca="false">INDEX('Site-uri'!$C$2:$C$20,MATCH(A1390,'Site-uri'!$A$2:$A$20,0))</f>
        <v>/</v>
      </c>
      <c r="H1390" s="10" t="str">
        <f aca="false">Config!$B$3</f>
        <v>2610_ff_lansare</v>
      </c>
      <c r="I1390" s="10" t="str">
        <f aca="false">D1390&amp;"_"&amp;Config!$B$4</f>
        <v>rece_general</v>
      </c>
      <c r="J1390" s="10" t="str">
        <f aca="false">"https://"&amp;B1390&amp;G1390&amp;"?utm_source="&amp;E1390&amp;"&amp;utm_medium="&amp;F1390&amp;"&amp;utm_campaign="&amp;H1390&amp;"&amp;utm_content="&amp;I1390</f>
        <v>https://eu-112.eu/?utm_source=llms_txt&amp;utm_medium=ai_web&amp;utm_campaign=2610_ff_lansare&amp;utm_content=rece_general</v>
      </c>
    </row>
    <row r="1391" customFormat="false" ht="15" hidden="false" customHeight="false" outlineLevel="0" collapsed="false">
      <c r="A1391" s="10" t="s">
        <v>79</v>
      </c>
      <c r="B1391" s="10" t="str">
        <f aca="false">INDEX('Site-uri'!$B$2:$B$20,MATCH(A1391,'Site-uri'!$A$2:$A$20,0))</f>
        <v>eu-112.eu</v>
      </c>
      <c r="C1391" s="10" t="s">
        <v>209</v>
      </c>
      <c r="D1391" s="10" t="s">
        <v>225</v>
      </c>
      <c r="E1391" s="10" t="str">
        <f aca="false">INDEX(Canale!$C$2:$C$30,MATCH(C1391,Canale!$A$2:$A$30,0))</f>
        <v>llms_txt</v>
      </c>
      <c r="F1391" s="10" t="str">
        <f aca="false">INDEX(Canale!$D$2:$D$30,MATCH(C1391,Canale!$A$2:$A$30,0))</f>
        <v>ai_web</v>
      </c>
      <c r="G1391" s="10" t="str">
        <f aca="false">INDEX('Site-uri'!$C$2:$C$20,MATCH(A1391,'Site-uri'!$A$2:$A$20,0))</f>
        <v>/</v>
      </c>
      <c r="H1391" s="10" t="str">
        <f aca="false">Config!$B$3</f>
        <v>2610_ff_lansare</v>
      </c>
      <c r="I1391" s="10" t="str">
        <f aca="false">D1391&amp;"_"&amp;Config!$B$4</f>
        <v>cald_general</v>
      </c>
      <c r="J1391" s="10" t="str">
        <f aca="false">"https://"&amp;B1391&amp;G1391&amp;"?utm_source="&amp;E1391&amp;"&amp;utm_medium="&amp;F1391&amp;"&amp;utm_campaign="&amp;H1391&amp;"&amp;utm_content="&amp;I1391</f>
        <v>https://eu-112.eu/?utm_source=llms_txt&amp;utm_medium=ai_web&amp;utm_campaign=2610_ff_lansare&amp;utm_content=cald_general</v>
      </c>
    </row>
    <row r="1392" customFormat="false" ht="15" hidden="false" customHeight="false" outlineLevel="0" collapsed="false">
      <c r="A1392" s="10" t="s">
        <v>79</v>
      </c>
      <c r="B1392" s="10" t="str">
        <f aca="false">INDEX('Site-uri'!$B$2:$B$20,MATCH(A1392,'Site-uri'!$A$2:$A$20,0))</f>
        <v>eu-112.eu</v>
      </c>
      <c r="C1392" s="10" t="s">
        <v>209</v>
      </c>
      <c r="D1392" s="10" t="s">
        <v>231</v>
      </c>
      <c r="E1392" s="10" t="str">
        <f aca="false">INDEX(Canale!$C$2:$C$30,MATCH(C1392,Canale!$A$2:$A$30,0))</f>
        <v>llms_txt</v>
      </c>
      <c r="F1392" s="10" t="str">
        <f aca="false">INDEX(Canale!$D$2:$D$30,MATCH(C1392,Canale!$A$2:$A$30,0))</f>
        <v>ai_web</v>
      </c>
      <c r="G1392" s="10" t="str">
        <f aca="false">INDEX('Site-uri'!$C$2:$C$20,MATCH(A1392,'Site-uri'!$A$2:$A$20,0))</f>
        <v>/</v>
      </c>
      <c r="H1392" s="10" t="str">
        <f aca="false">Config!$B$3</f>
        <v>2610_ff_lansare</v>
      </c>
      <c r="I1392" s="10" t="str">
        <f aca="false">D1392&amp;"_"&amp;Config!$B$4</f>
        <v>fierbinte_general</v>
      </c>
      <c r="J1392" s="10" t="str">
        <f aca="false">"https://"&amp;B1392&amp;G1392&amp;"?utm_source="&amp;E1392&amp;"&amp;utm_medium="&amp;F1392&amp;"&amp;utm_campaign="&amp;H1392&amp;"&amp;utm_content="&amp;I1392</f>
        <v>https://eu-112.eu/?utm_source=llms_txt&amp;utm_medium=ai_web&amp;utm_campaign=2610_ff_lansare&amp;utm_content=fierbinte_general</v>
      </c>
    </row>
    <row r="1393" customFormat="false" ht="15" hidden="false" customHeight="false" outlineLevel="0" collapsed="false">
      <c r="A1393" s="10" t="s">
        <v>79</v>
      </c>
      <c r="B1393" s="10" t="str">
        <f aca="false">INDEX('Site-uri'!$B$2:$B$20,MATCH(A1393,'Site-uri'!$A$2:$A$20,0))</f>
        <v>eu-112.eu</v>
      </c>
      <c r="C1393" s="10" t="s">
        <v>209</v>
      </c>
      <c r="D1393" s="10" t="s">
        <v>237</v>
      </c>
      <c r="E1393" s="10" t="str">
        <f aca="false">INDEX(Canale!$C$2:$C$30,MATCH(C1393,Canale!$A$2:$A$30,0))</f>
        <v>llms_txt</v>
      </c>
      <c r="F1393" s="10" t="str">
        <f aca="false">INDEX(Canale!$D$2:$D$30,MATCH(C1393,Canale!$A$2:$A$30,0))</f>
        <v>ai_web</v>
      </c>
      <c r="G1393" s="10" t="str">
        <f aca="false">INDEX('Site-uri'!$C$2:$C$20,MATCH(A1393,'Site-uri'!$A$2:$A$20,0))</f>
        <v>/</v>
      </c>
      <c r="H1393" s="10" t="str">
        <f aca="false">Config!$B$3</f>
        <v>2610_ff_lansare</v>
      </c>
      <c r="I1393" s="10" t="str">
        <f aca="false">D1393&amp;"_"&amp;Config!$B$4</f>
        <v>client_general</v>
      </c>
      <c r="J1393" s="10" t="str">
        <f aca="false">"https://"&amp;B1393&amp;G1393&amp;"?utm_source="&amp;E1393&amp;"&amp;utm_medium="&amp;F1393&amp;"&amp;utm_campaign="&amp;H1393&amp;"&amp;utm_content="&amp;I1393</f>
        <v>https://eu-112.eu/?utm_source=llms_txt&amp;utm_medium=ai_web&amp;utm_campaign=2610_ff_lansare&amp;utm_content=client_general</v>
      </c>
    </row>
    <row r="1394" customFormat="false" ht="15" hidden="false" customHeight="false" outlineLevel="0" collapsed="false">
      <c r="A1394" s="10" t="s">
        <v>82</v>
      </c>
      <c r="B1394" s="10" t="str">
        <f aca="false">INDEX('Site-uri'!$B$2:$B$20,MATCH(A1394,'Site-uri'!$A$2:$A$20,0))</f>
        <v>1clic-ia.eu</v>
      </c>
      <c r="C1394" s="10" t="s">
        <v>104</v>
      </c>
      <c r="D1394" s="10" t="s">
        <v>219</v>
      </c>
      <c r="E1394" s="10" t="str">
        <f aca="false">INDEX(Canale!$C$2:$C$30,MATCH(C1394,Canale!$A$2:$A$30,0))</f>
        <v>linkedin_personal</v>
      </c>
      <c r="F1394" s="10" t="str">
        <f aca="false">INDEX(Canale!$D$2:$D$30,MATCH(C1394,Canale!$A$2:$A$30,0))</f>
        <v>social</v>
      </c>
      <c r="G1394" s="10" t="str">
        <f aca="false">INDEX('Site-uri'!$C$2:$C$20,MATCH(A1394,'Site-uri'!$A$2:$A$20,0))</f>
        <v>/</v>
      </c>
      <c r="H1394" s="10" t="str">
        <f aca="false">Config!$B$3</f>
        <v>2610_ff_lansare</v>
      </c>
      <c r="I1394" s="10" t="str">
        <f aca="false">D1394&amp;"_"&amp;Config!$B$4</f>
        <v>rece_general</v>
      </c>
      <c r="J1394" s="10" t="str">
        <f aca="false">"https://"&amp;B1394&amp;G1394&amp;"?utm_source="&amp;E1394&amp;"&amp;utm_medium="&amp;F1394&amp;"&amp;utm_campaign="&amp;H1394&amp;"&amp;utm_content="&amp;I1394</f>
        <v>https://1clic-ia.eu/?utm_source=linkedin_personal&amp;utm_medium=social&amp;utm_campaign=2610_ff_lansare&amp;utm_content=rece_general</v>
      </c>
    </row>
    <row r="1395" customFormat="false" ht="15" hidden="false" customHeight="false" outlineLevel="0" collapsed="false">
      <c r="A1395" s="10" t="s">
        <v>82</v>
      </c>
      <c r="B1395" s="10" t="str">
        <f aca="false">INDEX('Site-uri'!$B$2:$B$20,MATCH(A1395,'Site-uri'!$A$2:$A$20,0))</f>
        <v>1clic-ia.eu</v>
      </c>
      <c r="C1395" s="10" t="s">
        <v>104</v>
      </c>
      <c r="D1395" s="10" t="s">
        <v>225</v>
      </c>
      <c r="E1395" s="10" t="str">
        <f aca="false">INDEX(Canale!$C$2:$C$30,MATCH(C1395,Canale!$A$2:$A$30,0))</f>
        <v>linkedin_personal</v>
      </c>
      <c r="F1395" s="10" t="str">
        <f aca="false">INDEX(Canale!$D$2:$D$30,MATCH(C1395,Canale!$A$2:$A$30,0))</f>
        <v>social</v>
      </c>
      <c r="G1395" s="10" t="str">
        <f aca="false">INDEX('Site-uri'!$C$2:$C$20,MATCH(A1395,'Site-uri'!$A$2:$A$20,0))</f>
        <v>/</v>
      </c>
      <c r="H1395" s="10" t="str">
        <f aca="false">Config!$B$3</f>
        <v>2610_ff_lansare</v>
      </c>
      <c r="I1395" s="10" t="str">
        <f aca="false">D1395&amp;"_"&amp;Config!$B$4</f>
        <v>cald_general</v>
      </c>
      <c r="J1395" s="10" t="str">
        <f aca="false">"https://"&amp;B1395&amp;G1395&amp;"?utm_source="&amp;E1395&amp;"&amp;utm_medium="&amp;F1395&amp;"&amp;utm_campaign="&amp;H1395&amp;"&amp;utm_content="&amp;I1395</f>
        <v>https://1clic-ia.eu/?utm_source=linkedin_personal&amp;utm_medium=social&amp;utm_campaign=2610_ff_lansare&amp;utm_content=cald_general</v>
      </c>
    </row>
    <row r="1396" customFormat="false" ht="15" hidden="false" customHeight="false" outlineLevel="0" collapsed="false">
      <c r="A1396" s="10" t="s">
        <v>82</v>
      </c>
      <c r="B1396" s="10" t="str">
        <f aca="false">INDEX('Site-uri'!$B$2:$B$20,MATCH(A1396,'Site-uri'!$A$2:$A$20,0))</f>
        <v>1clic-ia.eu</v>
      </c>
      <c r="C1396" s="10" t="s">
        <v>104</v>
      </c>
      <c r="D1396" s="10" t="s">
        <v>231</v>
      </c>
      <c r="E1396" s="10" t="str">
        <f aca="false">INDEX(Canale!$C$2:$C$30,MATCH(C1396,Canale!$A$2:$A$30,0))</f>
        <v>linkedin_personal</v>
      </c>
      <c r="F1396" s="10" t="str">
        <f aca="false">INDEX(Canale!$D$2:$D$30,MATCH(C1396,Canale!$A$2:$A$30,0))</f>
        <v>social</v>
      </c>
      <c r="G1396" s="10" t="str">
        <f aca="false">INDEX('Site-uri'!$C$2:$C$20,MATCH(A1396,'Site-uri'!$A$2:$A$20,0))</f>
        <v>/</v>
      </c>
      <c r="H1396" s="10" t="str">
        <f aca="false">Config!$B$3</f>
        <v>2610_ff_lansare</v>
      </c>
      <c r="I1396" s="10" t="str">
        <f aca="false">D1396&amp;"_"&amp;Config!$B$4</f>
        <v>fierbinte_general</v>
      </c>
      <c r="J1396" s="10" t="str">
        <f aca="false">"https://"&amp;B1396&amp;G1396&amp;"?utm_source="&amp;E1396&amp;"&amp;utm_medium="&amp;F1396&amp;"&amp;utm_campaign="&amp;H1396&amp;"&amp;utm_content="&amp;I1396</f>
        <v>https://1clic-ia.eu/?utm_source=linkedin_personal&amp;utm_medium=social&amp;utm_campaign=2610_ff_lansare&amp;utm_content=fierbinte_general</v>
      </c>
    </row>
    <row r="1397" customFormat="false" ht="15" hidden="false" customHeight="false" outlineLevel="0" collapsed="false">
      <c r="A1397" s="10" t="s">
        <v>82</v>
      </c>
      <c r="B1397" s="10" t="str">
        <f aca="false">INDEX('Site-uri'!$B$2:$B$20,MATCH(A1397,'Site-uri'!$A$2:$A$20,0))</f>
        <v>1clic-ia.eu</v>
      </c>
      <c r="C1397" s="10" t="s">
        <v>104</v>
      </c>
      <c r="D1397" s="10" t="s">
        <v>237</v>
      </c>
      <c r="E1397" s="10" t="str">
        <f aca="false">INDEX(Canale!$C$2:$C$30,MATCH(C1397,Canale!$A$2:$A$30,0))</f>
        <v>linkedin_personal</v>
      </c>
      <c r="F1397" s="10" t="str">
        <f aca="false">INDEX(Canale!$D$2:$D$30,MATCH(C1397,Canale!$A$2:$A$30,0))</f>
        <v>social</v>
      </c>
      <c r="G1397" s="10" t="str">
        <f aca="false">INDEX('Site-uri'!$C$2:$C$20,MATCH(A1397,'Site-uri'!$A$2:$A$20,0))</f>
        <v>/</v>
      </c>
      <c r="H1397" s="10" t="str">
        <f aca="false">Config!$B$3</f>
        <v>2610_ff_lansare</v>
      </c>
      <c r="I1397" s="10" t="str">
        <f aca="false">D1397&amp;"_"&amp;Config!$B$4</f>
        <v>client_general</v>
      </c>
      <c r="J1397" s="10" t="str">
        <f aca="false">"https://"&amp;B1397&amp;G1397&amp;"?utm_source="&amp;E1397&amp;"&amp;utm_medium="&amp;F1397&amp;"&amp;utm_campaign="&amp;H1397&amp;"&amp;utm_content="&amp;I1397</f>
        <v>https://1clic-ia.eu/?utm_source=linkedin_personal&amp;utm_medium=social&amp;utm_campaign=2610_ff_lansare&amp;utm_content=client_general</v>
      </c>
    </row>
    <row r="1398" customFormat="false" ht="15" hidden="false" customHeight="false" outlineLevel="0" collapsed="false">
      <c r="A1398" s="10" t="s">
        <v>82</v>
      </c>
      <c r="B1398" s="10" t="str">
        <f aca="false">INDEX('Site-uri'!$B$2:$B$20,MATCH(A1398,'Site-uri'!$A$2:$A$20,0))</f>
        <v>1clic-ia.eu</v>
      </c>
      <c r="C1398" s="10" t="s">
        <v>109</v>
      </c>
      <c r="D1398" s="10" t="s">
        <v>219</v>
      </c>
      <c r="E1398" s="10" t="str">
        <f aca="false">INDEX(Canale!$C$2:$C$30,MATCH(C1398,Canale!$A$2:$A$30,0))</f>
        <v>linkedin_company</v>
      </c>
      <c r="F1398" s="10" t="str">
        <f aca="false">INDEX(Canale!$D$2:$D$30,MATCH(C1398,Canale!$A$2:$A$30,0))</f>
        <v>social</v>
      </c>
      <c r="G1398" s="10" t="str">
        <f aca="false">INDEX('Site-uri'!$C$2:$C$20,MATCH(A1398,'Site-uri'!$A$2:$A$20,0))</f>
        <v>/</v>
      </c>
      <c r="H1398" s="10" t="str">
        <f aca="false">Config!$B$3</f>
        <v>2610_ff_lansare</v>
      </c>
      <c r="I1398" s="10" t="str">
        <f aca="false">D1398&amp;"_"&amp;Config!$B$4</f>
        <v>rece_general</v>
      </c>
      <c r="J1398" s="10" t="str">
        <f aca="false">"https://"&amp;B1398&amp;G1398&amp;"?utm_source="&amp;E1398&amp;"&amp;utm_medium="&amp;F1398&amp;"&amp;utm_campaign="&amp;H1398&amp;"&amp;utm_content="&amp;I1398</f>
        <v>https://1clic-ia.eu/?utm_source=linkedin_company&amp;utm_medium=social&amp;utm_campaign=2610_ff_lansare&amp;utm_content=rece_general</v>
      </c>
    </row>
    <row r="1399" customFormat="false" ht="15" hidden="false" customHeight="false" outlineLevel="0" collapsed="false">
      <c r="A1399" s="10" t="s">
        <v>82</v>
      </c>
      <c r="B1399" s="10" t="str">
        <f aca="false">INDEX('Site-uri'!$B$2:$B$20,MATCH(A1399,'Site-uri'!$A$2:$A$20,0))</f>
        <v>1clic-ia.eu</v>
      </c>
      <c r="C1399" s="10" t="s">
        <v>109</v>
      </c>
      <c r="D1399" s="10" t="s">
        <v>225</v>
      </c>
      <c r="E1399" s="10" t="str">
        <f aca="false">INDEX(Canale!$C$2:$C$30,MATCH(C1399,Canale!$A$2:$A$30,0))</f>
        <v>linkedin_company</v>
      </c>
      <c r="F1399" s="10" t="str">
        <f aca="false">INDEX(Canale!$D$2:$D$30,MATCH(C1399,Canale!$A$2:$A$30,0))</f>
        <v>social</v>
      </c>
      <c r="G1399" s="10" t="str">
        <f aca="false">INDEX('Site-uri'!$C$2:$C$20,MATCH(A1399,'Site-uri'!$A$2:$A$20,0))</f>
        <v>/</v>
      </c>
      <c r="H1399" s="10" t="str">
        <f aca="false">Config!$B$3</f>
        <v>2610_ff_lansare</v>
      </c>
      <c r="I1399" s="10" t="str">
        <f aca="false">D1399&amp;"_"&amp;Config!$B$4</f>
        <v>cald_general</v>
      </c>
      <c r="J1399" s="10" t="str">
        <f aca="false">"https://"&amp;B1399&amp;G1399&amp;"?utm_source="&amp;E1399&amp;"&amp;utm_medium="&amp;F1399&amp;"&amp;utm_campaign="&amp;H1399&amp;"&amp;utm_content="&amp;I1399</f>
        <v>https://1clic-ia.eu/?utm_source=linkedin_company&amp;utm_medium=social&amp;utm_campaign=2610_ff_lansare&amp;utm_content=cald_general</v>
      </c>
    </row>
    <row r="1400" customFormat="false" ht="15" hidden="false" customHeight="false" outlineLevel="0" collapsed="false">
      <c r="A1400" s="10" t="s">
        <v>82</v>
      </c>
      <c r="B1400" s="10" t="str">
        <f aca="false">INDEX('Site-uri'!$B$2:$B$20,MATCH(A1400,'Site-uri'!$A$2:$A$20,0))</f>
        <v>1clic-ia.eu</v>
      </c>
      <c r="C1400" s="10" t="s">
        <v>109</v>
      </c>
      <c r="D1400" s="10" t="s">
        <v>231</v>
      </c>
      <c r="E1400" s="10" t="str">
        <f aca="false">INDEX(Canale!$C$2:$C$30,MATCH(C1400,Canale!$A$2:$A$30,0))</f>
        <v>linkedin_company</v>
      </c>
      <c r="F1400" s="10" t="str">
        <f aca="false">INDEX(Canale!$D$2:$D$30,MATCH(C1400,Canale!$A$2:$A$30,0))</f>
        <v>social</v>
      </c>
      <c r="G1400" s="10" t="str">
        <f aca="false">INDEX('Site-uri'!$C$2:$C$20,MATCH(A1400,'Site-uri'!$A$2:$A$20,0))</f>
        <v>/</v>
      </c>
      <c r="H1400" s="10" t="str">
        <f aca="false">Config!$B$3</f>
        <v>2610_ff_lansare</v>
      </c>
      <c r="I1400" s="10" t="str">
        <f aca="false">D1400&amp;"_"&amp;Config!$B$4</f>
        <v>fierbinte_general</v>
      </c>
      <c r="J1400" s="10" t="str">
        <f aca="false">"https://"&amp;B1400&amp;G1400&amp;"?utm_source="&amp;E1400&amp;"&amp;utm_medium="&amp;F1400&amp;"&amp;utm_campaign="&amp;H1400&amp;"&amp;utm_content="&amp;I1400</f>
        <v>https://1clic-ia.eu/?utm_source=linkedin_company&amp;utm_medium=social&amp;utm_campaign=2610_ff_lansare&amp;utm_content=fierbinte_general</v>
      </c>
    </row>
    <row r="1401" customFormat="false" ht="15" hidden="false" customHeight="false" outlineLevel="0" collapsed="false">
      <c r="A1401" s="10" t="s">
        <v>82</v>
      </c>
      <c r="B1401" s="10" t="str">
        <f aca="false">INDEX('Site-uri'!$B$2:$B$20,MATCH(A1401,'Site-uri'!$A$2:$A$20,0))</f>
        <v>1clic-ia.eu</v>
      </c>
      <c r="C1401" s="10" t="s">
        <v>109</v>
      </c>
      <c r="D1401" s="10" t="s">
        <v>237</v>
      </c>
      <c r="E1401" s="10" t="str">
        <f aca="false">INDEX(Canale!$C$2:$C$30,MATCH(C1401,Canale!$A$2:$A$30,0))</f>
        <v>linkedin_company</v>
      </c>
      <c r="F1401" s="10" t="str">
        <f aca="false">INDEX(Canale!$D$2:$D$30,MATCH(C1401,Canale!$A$2:$A$30,0))</f>
        <v>social</v>
      </c>
      <c r="G1401" s="10" t="str">
        <f aca="false">INDEX('Site-uri'!$C$2:$C$20,MATCH(A1401,'Site-uri'!$A$2:$A$20,0))</f>
        <v>/</v>
      </c>
      <c r="H1401" s="10" t="str">
        <f aca="false">Config!$B$3</f>
        <v>2610_ff_lansare</v>
      </c>
      <c r="I1401" s="10" t="str">
        <f aca="false">D1401&amp;"_"&amp;Config!$B$4</f>
        <v>client_general</v>
      </c>
      <c r="J1401" s="10" t="str">
        <f aca="false">"https://"&amp;B1401&amp;G1401&amp;"?utm_source="&amp;E1401&amp;"&amp;utm_medium="&amp;F1401&amp;"&amp;utm_campaign="&amp;H1401&amp;"&amp;utm_content="&amp;I1401</f>
        <v>https://1clic-ia.eu/?utm_source=linkedin_company&amp;utm_medium=social&amp;utm_campaign=2610_ff_lansare&amp;utm_content=client_general</v>
      </c>
    </row>
    <row r="1402" customFormat="false" ht="15" hidden="false" customHeight="false" outlineLevel="0" collapsed="false">
      <c r="A1402" s="10" t="s">
        <v>82</v>
      </c>
      <c r="B1402" s="10" t="str">
        <f aca="false">INDEX('Site-uri'!$B$2:$B$20,MATCH(A1402,'Site-uri'!$A$2:$A$20,0))</f>
        <v>1clic-ia.eu</v>
      </c>
      <c r="C1402" s="10" t="s">
        <v>112</v>
      </c>
      <c r="D1402" s="10" t="s">
        <v>219</v>
      </c>
      <c r="E1402" s="10" t="str">
        <f aca="false">INDEX(Canale!$C$2:$C$30,MATCH(C1402,Canale!$A$2:$A$30,0))</f>
        <v>linkedin_showcase</v>
      </c>
      <c r="F1402" s="10" t="str">
        <f aca="false">INDEX(Canale!$D$2:$D$30,MATCH(C1402,Canale!$A$2:$A$30,0))</f>
        <v>social</v>
      </c>
      <c r="G1402" s="10" t="str">
        <f aca="false">INDEX('Site-uri'!$C$2:$C$20,MATCH(A1402,'Site-uri'!$A$2:$A$20,0))</f>
        <v>/</v>
      </c>
      <c r="H1402" s="10" t="str">
        <f aca="false">Config!$B$3</f>
        <v>2610_ff_lansare</v>
      </c>
      <c r="I1402" s="10" t="str">
        <f aca="false">D1402&amp;"_"&amp;Config!$B$4</f>
        <v>rece_general</v>
      </c>
      <c r="J1402" s="10" t="str">
        <f aca="false">"https://"&amp;B1402&amp;G1402&amp;"?utm_source="&amp;E1402&amp;"&amp;utm_medium="&amp;F1402&amp;"&amp;utm_campaign="&amp;H1402&amp;"&amp;utm_content="&amp;I1402</f>
        <v>https://1clic-ia.eu/?utm_source=linkedin_showcase&amp;utm_medium=social&amp;utm_campaign=2610_ff_lansare&amp;utm_content=rece_general</v>
      </c>
    </row>
    <row r="1403" customFormat="false" ht="15" hidden="false" customHeight="false" outlineLevel="0" collapsed="false">
      <c r="A1403" s="10" t="s">
        <v>82</v>
      </c>
      <c r="B1403" s="10" t="str">
        <f aca="false">INDEX('Site-uri'!$B$2:$B$20,MATCH(A1403,'Site-uri'!$A$2:$A$20,0))</f>
        <v>1clic-ia.eu</v>
      </c>
      <c r="C1403" s="10" t="s">
        <v>112</v>
      </c>
      <c r="D1403" s="10" t="s">
        <v>225</v>
      </c>
      <c r="E1403" s="10" t="str">
        <f aca="false">INDEX(Canale!$C$2:$C$30,MATCH(C1403,Canale!$A$2:$A$30,0))</f>
        <v>linkedin_showcase</v>
      </c>
      <c r="F1403" s="10" t="str">
        <f aca="false">INDEX(Canale!$D$2:$D$30,MATCH(C1403,Canale!$A$2:$A$30,0))</f>
        <v>social</v>
      </c>
      <c r="G1403" s="10" t="str">
        <f aca="false">INDEX('Site-uri'!$C$2:$C$20,MATCH(A1403,'Site-uri'!$A$2:$A$20,0))</f>
        <v>/</v>
      </c>
      <c r="H1403" s="10" t="str">
        <f aca="false">Config!$B$3</f>
        <v>2610_ff_lansare</v>
      </c>
      <c r="I1403" s="10" t="str">
        <f aca="false">D1403&amp;"_"&amp;Config!$B$4</f>
        <v>cald_general</v>
      </c>
      <c r="J1403" s="10" t="str">
        <f aca="false">"https://"&amp;B1403&amp;G1403&amp;"?utm_source="&amp;E1403&amp;"&amp;utm_medium="&amp;F1403&amp;"&amp;utm_campaign="&amp;H1403&amp;"&amp;utm_content="&amp;I1403</f>
        <v>https://1clic-ia.eu/?utm_source=linkedin_showcase&amp;utm_medium=social&amp;utm_campaign=2610_ff_lansare&amp;utm_content=cald_general</v>
      </c>
    </row>
    <row r="1404" customFormat="false" ht="15" hidden="false" customHeight="false" outlineLevel="0" collapsed="false">
      <c r="A1404" s="10" t="s">
        <v>82</v>
      </c>
      <c r="B1404" s="10" t="str">
        <f aca="false">INDEX('Site-uri'!$B$2:$B$20,MATCH(A1404,'Site-uri'!$A$2:$A$20,0))</f>
        <v>1clic-ia.eu</v>
      </c>
      <c r="C1404" s="10" t="s">
        <v>112</v>
      </c>
      <c r="D1404" s="10" t="s">
        <v>231</v>
      </c>
      <c r="E1404" s="10" t="str">
        <f aca="false">INDEX(Canale!$C$2:$C$30,MATCH(C1404,Canale!$A$2:$A$30,0))</f>
        <v>linkedin_showcase</v>
      </c>
      <c r="F1404" s="10" t="str">
        <f aca="false">INDEX(Canale!$D$2:$D$30,MATCH(C1404,Canale!$A$2:$A$30,0))</f>
        <v>social</v>
      </c>
      <c r="G1404" s="10" t="str">
        <f aca="false">INDEX('Site-uri'!$C$2:$C$20,MATCH(A1404,'Site-uri'!$A$2:$A$20,0))</f>
        <v>/</v>
      </c>
      <c r="H1404" s="10" t="str">
        <f aca="false">Config!$B$3</f>
        <v>2610_ff_lansare</v>
      </c>
      <c r="I1404" s="10" t="str">
        <f aca="false">D1404&amp;"_"&amp;Config!$B$4</f>
        <v>fierbinte_general</v>
      </c>
      <c r="J1404" s="10" t="str">
        <f aca="false">"https://"&amp;B1404&amp;G1404&amp;"?utm_source="&amp;E1404&amp;"&amp;utm_medium="&amp;F1404&amp;"&amp;utm_campaign="&amp;H1404&amp;"&amp;utm_content="&amp;I1404</f>
        <v>https://1clic-ia.eu/?utm_source=linkedin_showcase&amp;utm_medium=social&amp;utm_campaign=2610_ff_lansare&amp;utm_content=fierbinte_general</v>
      </c>
    </row>
    <row r="1405" customFormat="false" ht="15" hidden="false" customHeight="false" outlineLevel="0" collapsed="false">
      <c r="A1405" s="10" t="s">
        <v>82</v>
      </c>
      <c r="B1405" s="10" t="str">
        <f aca="false">INDEX('Site-uri'!$B$2:$B$20,MATCH(A1405,'Site-uri'!$A$2:$A$20,0))</f>
        <v>1clic-ia.eu</v>
      </c>
      <c r="C1405" s="10" t="s">
        <v>112</v>
      </c>
      <c r="D1405" s="10" t="s">
        <v>237</v>
      </c>
      <c r="E1405" s="10" t="str">
        <f aca="false">INDEX(Canale!$C$2:$C$30,MATCH(C1405,Canale!$A$2:$A$30,0))</f>
        <v>linkedin_showcase</v>
      </c>
      <c r="F1405" s="10" t="str">
        <f aca="false">INDEX(Canale!$D$2:$D$30,MATCH(C1405,Canale!$A$2:$A$30,0))</f>
        <v>social</v>
      </c>
      <c r="G1405" s="10" t="str">
        <f aca="false">INDEX('Site-uri'!$C$2:$C$20,MATCH(A1405,'Site-uri'!$A$2:$A$20,0))</f>
        <v>/</v>
      </c>
      <c r="H1405" s="10" t="str">
        <f aca="false">Config!$B$3</f>
        <v>2610_ff_lansare</v>
      </c>
      <c r="I1405" s="10" t="str">
        <f aca="false">D1405&amp;"_"&amp;Config!$B$4</f>
        <v>client_general</v>
      </c>
      <c r="J1405" s="10" t="str">
        <f aca="false">"https://"&amp;B1405&amp;G1405&amp;"?utm_source="&amp;E1405&amp;"&amp;utm_medium="&amp;F1405&amp;"&amp;utm_campaign="&amp;H1405&amp;"&amp;utm_content="&amp;I1405</f>
        <v>https://1clic-ia.eu/?utm_source=linkedin_showcase&amp;utm_medium=social&amp;utm_campaign=2610_ff_lansare&amp;utm_content=client_general</v>
      </c>
    </row>
    <row r="1406" customFormat="false" ht="15" hidden="false" customHeight="false" outlineLevel="0" collapsed="false">
      <c r="A1406" s="10" t="s">
        <v>82</v>
      </c>
      <c r="B1406" s="10" t="str">
        <f aca="false">INDEX('Site-uri'!$B$2:$B$20,MATCH(A1406,'Site-uri'!$A$2:$A$20,0))</f>
        <v>1clic-ia.eu</v>
      </c>
      <c r="C1406" s="10" t="s">
        <v>115</v>
      </c>
      <c r="D1406" s="10" t="s">
        <v>219</v>
      </c>
      <c r="E1406" s="10" t="str">
        <f aca="false">INDEX(Canale!$C$2:$C$30,MATCH(C1406,Canale!$A$2:$A$30,0))</f>
        <v>linkedin_newsletter</v>
      </c>
      <c r="F1406" s="10" t="str">
        <f aca="false">INDEX(Canale!$D$2:$D$30,MATCH(C1406,Canale!$A$2:$A$30,0))</f>
        <v>social</v>
      </c>
      <c r="G1406" s="10" t="str">
        <f aca="false">INDEX('Site-uri'!$C$2:$C$20,MATCH(A1406,'Site-uri'!$A$2:$A$20,0))</f>
        <v>/</v>
      </c>
      <c r="H1406" s="10" t="str">
        <f aca="false">Config!$B$3</f>
        <v>2610_ff_lansare</v>
      </c>
      <c r="I1406" s="10" t="str">
        <f aca="false">D1406&amp;"_"&amp;Config!$B$4</f>
        <v>rece_general</v>
      </c>
      <c r="J1406" s="10" t="str">
        <f aca="false">"https://"&amp;B1406&amp;G1406&amp;"?utm_source="&amp;E1406&amp;"&amp;utm_medium="&amp;F1406&amp;"&amp;utm_campaign="&amp;H1406&amp;"&amp;utm_content="&amp;I1406</f>
        <v>https://1clic-ia.eu/?utm_source=linkedin_newsletter&amp;utm_medium=social&amp;utm_campaign=2610_ff_lansare&amp;utm_content=rece_general</v>
      </c>
    </row>
    <row r="1407" customFormat="false" ht="15" hidden="false" customHeight="false" outlineLevel="0" collapsed="false">
      <c r="A1407" s="10" t="s">
        <v>82</v>
      </c>
      <c r="B1407" s="10" t="str">
        <f aca="false">INDEX('Site-uri'!$B$2:$B$20,MATCH(A1407,'Site-uri'!$A$2:$A$20,0))</f>
        <v>1clic-ia.eu</v>
      </c>
      <c r="C1407" s="10" t="s">
        <v>115</v>
      </c>
      <c r="D1407" s="10" t="s">
        <v>225</v>
      </c>
      <c r="E1407" s="10" t="str">
        <f aca="false">INDEX(Canale!$C$2:$C$30,MATCH(C1407,Canale!$A$2:$A$30,0))</f>
        <v>linkedin_newsletter</v>
      </c>
      <c r="F1407" s="10" t="str">
        <f aca="false">INDEX(Canale!$D$2:$D$30,MATCH(C1407,Canale!$A$2:$A$30,0))</f>
        <v>social</v>
      </c>
      <c r="G1407" s="10" t="str">
        <f aca="false">INDEX('Site-uri'!$C$2:$C$20,MATCH(A1407,'Site-uri'!$A$2:$A$20,0))</f>
        <v>/</v>
      </c>
      <c r="H1407" s="10" t="str">
        <f aca="false">Config!$B$3</f>
        <v>2610_ff_lansare</v>
      </c>
      <c r="I1407" s="10" t="str">
        <f aca="false">D1407&amp;"_"&amp;Config!$B$4</f>
        <v>cald_general</v>
      </c>
      <c r="J1407" s="10" t="str">
        <f aca="false">"https://"&amp;B1407&amp;G1407&amp;"?utm_source="&amp;E1407&amp;"&amp;utm_medium="&amp;F1407&amp;"&amp;utm_campaign="&amp;H1407&amp;"&amp;utm_content="&amp;I1407</f>
        <v>https://1clic-ia.eu/?utm_source=linkedin_newsletter&amp;utm_medium=social&amp;utm_campaign=2610_ff_lansare&amp;utm_content=cald_general</v>
      </c>
    </row>
    <row r="1408" customFormat="false" ht="15" hidden="false" customHeight="false" outlineLevel="0" collapsed="false">
      <c r="A1408" s="10" t="s">
        <v>82</v>
      </c>
      <c r="B1408" s="10" t="str">
        <f aca="false">INDEX('Site-uri'!$B$2:$B$20,MATCH(A1408,'Site-uri'!$A$2:$A$20,0))</f>
        <v>1clic-ia.eu</v>
      </c>
      <c r="C1408" s="10" t="s">
        <v>115</v>
      </c>
      <c r="D1408" s="10" t="s">
        <v>231</v>
      </c>
      <c r="E1408" s="10" t="str">
        <f aca="false">INDEX(Canale!$C$2:$C$30,MATCH(C1408,Canale!$A$2:$A$30,0))</f>
        <v>linkedin_newsletter</v>
      </c>
      <c r="F1408" s="10" t="str">
        <f aca="false">INDEX(Canale!$D$2:$D$30,MATCH(C1408,Canale!$A$2:$A$30,0))</f>
        <v>social</v>
      </c>
      <c r="G1408" s="10" t="str">
        <f aca="false">INDEX('Site-uri'!$C$2:$C$20,MATCH(A1408,'Site-uri'!$A$2:$A$20,0))</f>
        <v>/</v>
      </c>
      <c r="H1408" s="10" t="str">
        <f aca="false">Config!$B$3</f>
        <v>2610_ff_lansare</v>
      </c>
      <c r="I1408" s="10" t="str">
        <f aca="false">D1408&amp;"_"&amp;Config!$B$4</f>
        <v>fierbinte_general</v>
      </c>
      <c r="J1408" s="10" t="str">
        <f aca="false">"https://"&amp;B1408&amp;G1408&amp;"?utm_source="&amp;E1408&amp;"&amp;utm_medium="&amp;F1408&amp;"&amp;utm_campaign="&amp;H1408&amp;"&amp;utm_content="&amp;I1408</f>
        <v>https://1clic-ia.eu/?utm_source=linkedin_newsletter&amp;utm_medium=social&amp;utm_campaign=2610_ff_lansare&amp;utm_content=fierbinte_general</v>
      </c>
    </row>
    <row r="1409" customFormat="false" ht="15" hidden="false" customHeight="false" outlineLevel="0" collapsed="false">
      <c r="A1409" s="10" t="s">
        <v>82</v>
      </c>
      <c r="B1409" s="10" t="str">
        <f aca="false">INDEX('Site-uri'!$B$2:$B$20,MATCH(A1409,'Site-uri'!$A$2:$A$20,0))</f>
        <v>1clic-ia.eu</v>
      </c>
      <c r="C1409" s="10" t="s">
        <v>115</v>
      </c>
      <c r="D1409" s="10" t="s">
        <v>237</v>
      </c>
      <c r="E1409" s="10" t="str">
        <f aca="false">INDEX(Canale!$C$2:$C$30,MATCH(C1409,Canale!$A$2:$A$30,0))</f>
        <v>linkedin_newsletter</v>
      </c>
      <c r="F1409" s="10" t="str">
        <f aca="false">INDEX(Canale!$D$2:$D$30,MATCH(C1409,Canale!$A$2:$A$30,0))</f>
        <v>social</v>
      </c>
      <c r="G1409" s="10" t="str">
        <f aca="false">INDEX('Site-uri'!$C$2:$C$20,MATCH(A1409,'Site-uri'!$A$2:$A$20,0))</f>
        <v>/</v>
      </c>
      <c r="H1409" s="10" t="str">
        <f aca="false">Config!$B$3</f>
        <v>2610_ff_lansare</v>
      </c>
      <c r="I1409" s="10" t="str">
        <f aca="false">D1409&amp;"_"&amp;Config!$B$4</f>
        <v>client_general</v>
      </c>
      <c r="J1409" s="10" t="str">
        <f aca="false">"https://"&amp;B1409&amp;G1409&amp;"?utm_source="&amp;E1409&amp;"&amp;utm_medium="&amp;F1409&amp;"&amp;utm_campaign="&amp;H1409&amp;"&amp;utm_content="&amp;I1409</f>
        <v>https://1clic-ia.eu/?utm_source=linkedin_newsletter&amp;utm_medium=social&amp;utm_campaign=2610_ff_lansare&amp;utm_content=client_general</v>
      </c>
    </row>
    <row r="1410" customFormat="false" ht="15" hidden="false" customHeight="false" outlineLevel="0" collapsed="false">
      <c r="A1410" s="10" t="s">
        <v>82</v>
      </c>
      <c r="B1410" s="10" t="str">
        <f aca="false">INDEX('Site-uri'!$B$2:$B$20,MATCH(A1410,'Site-uri'!$A$2:$A$20,0))</f>
        <v>1clic-ia.eu</v>
      </c>
      <c r="C1410" s="10" t="s">
        <v>118</v>
      </c>
      <c r="D1410" s="10" t="s">
        <v>219</v>
      </c>
      <c r="E1410" s="10" t="str">
        <f aca="false">INDEX(Canale!$C$2:$C$30,MATCH(C1410,Canale!$A$2:$A$30,0))</f>
        <v>linkedin_ads</v>
      </c>
      <c r="F1410" s="10" t="str">
        <f aca="false">INDEX(Canale!$D$2:$D$30,MATCH(C1410,Canale!$A$2:$A$30,0))</f>
        <v>paid_social</v>
      </c>
      <c r="G1410" s="10" t="str">
        <f aca="false">INDEX('Site-uri'!$C$2:$C$20,MATCH(A1410,'Site-uri'!$A$2:$A$20,0))</f>
        <v>/</v>
      </c>
      <c r="H1410" s="10" t="str">
        <f aca="false">Config!$B$3</f>
        <v>2610_ff_lansare</v>
      </c>
      <c r="I1410" s="10" t="str">
        <f aca="false">D1410&amp;"_"&amp;Config!$B$4</f>
        <v>rece_general</v>
      </c>
      <c r="J1410" s="10" t="str">
        <f aca="false">"https://"&amp;B1410&amp;G1410&amp;"?utm_source="&amp;E1410&amp;"&amp;utm_medium="&amp;F1410&amp;"&amp;utm_campaign="&amp;H1410&amp;"&amp;utm_content="&amp;I1410</f>
        <v>https://1clic-ia.eu/?utm_source=linkedin_ads&amp;utm_medium=paid_social&amp;utm_campaign=2610_ff_lansare&amp;utm_content=rece_general</v>
      </c>
    </row>
    <row r="1411" customFormat="false" ht="15" hidden="false" customHeight="false" outlineLevel="0" collapsed="false">
      <c r="A1411" s="10" t="s">
        <v>82</v>
      </c>
      <c r="B1411" s="10" t="str">
        <f aca="false">INDEX('Site-uri'!$B$2:$B$20,MATCH(A1411,'Site-uri'!$A$2:$A$20,0))</f>
        <v>1clic-ia.eu</v>
      </c>
      <c r="C1411" s="10" t="s">
        <v>118</v>
      </c>
      <c r="D1411" s="10" t="s">
        <v>225</v>
      </c>
      <c r="E1411" s="10" t="str">
        <f aca="false">INDEX(Canale!$C$2:$C$30,MATCH(C1411,Canale!$A$2:$A$30,0))</f>
        <v>linkedin_ads</v>
      </c>
      <c r="F1411" s="10" t="str">
        <f aca="false">INDEX(Canale!$D$2:$D$30,MATCH(C1411,Canale!$A$2:$A$30,0))</f>
        <v>paid_social</v>
      </c>
      <c r="G1411" s="10" t="str">
        <f aca="false">INDEX('Site-uri'!$C$2:$C$20,MATCH(A1411,'Site-uri'!$A$2:$A$20,0))</f>
        <v>/</v>
      </c>
      <c r="H1411" s="10" t="str">
        <f aca="false">Config!$B$3</f>
        <v>2610_ff_lansare</v>
      </c>
      <c r="I1411" s="10" t="str">
        <f aca="false">D1411&amp;"_"&amp;Config!$B$4</f>
        <v>cald_general</v>
      </c>
      <c r="J1411" s="10" t="str">
        <f aca="false">"https://"&amp;B1411&amp;G1411&amp;"?utm_source="&amp;E1411&amp;"&amp;utm_medium="&amp;F1411&amp;"&amp;utm_campaign="&amp;H1411&amp;"&amp;utm_content="&amp;I1411</f>
        <v>https://1clic-ia.eu/?utm_source=linkedin_ads&amp;utm_medium=paid_social&amp;utm_campaign=2610_ff_lansare&amp;utm_content=cald_general</v>
      </c>
    </row>
    <row r="1412" customFormat="false" ht="15" hidden="false" customHeight="false" outlineLevel="0" collapsed="false">
      <c r="A1412" s="10" t="s">
        <v>82</v>
      </c>
      <c r="B1412" s="10" t="str">
        <f aca="false">INDEX('Site-uri'!$B$2:$B$20,MATCH(A1412,'Site-uri'!$A$2:$A$20,0))</f>
        <v>1clic-ia.eu</v>
      </c>
      <c r="C1412" s="10" t="s">
        <v>118</v>
      </c>
      <c r="D1412" s="10" t="s">
        <v>231</v>
      </c>
      <c r="E1412" s="10" t="str">
        <f aca="false">INDEX(Canale!$C$2:$C$30,MATCH(C1412,Canale!$A$2:$A$30,0))</f>
        <v>linkedin_ads</v>
      </c>
      <c r="F1412" s="10" t="str">
        <f aca="false">INDEX(Canale!$D$2:$D$30,MATCH(C1412,Canale!$A$2:$A$30,0))</f>
        <v>paid_social</v>
      </c>
      <c r="G1412" s="10" t="str">
        <f aca="false">INDEX('Site-uri'!$C$2:$C$20,MATCH(A1412,'Site-uri'!$A$2:$A$20,0))</f>
        <v>/</v>
      </c>
      <c r="H1412" s="10" t="str">
        <f aca="false">Config!$B$3</f>
        <v>2610_ff_lansare</v>
      </c>
      <c r="I1412" s="10" t="str">
        <f aca="false">D1412&amp;"_"&amp;Config!$B$4</f>
        <v>fierbinte_general</v>
      </c>
      <c r="J1412" s="10" t="str">
        <f aca="false">"https://"&amp;B1412&amp;G1412&amp;"?utm_source="&amp;E1412&amp;"&amp;utm_medium="&amp;F1412&amp;"&amp;utm_campaign="&amp;H1412&amp;"&amp;utm_content="&amp;I1412</f>
        <v>https://1clic-ia.eu/?utm_source=linkedin_ads&amp;utm_medium=paid_social&amp;utm_campaign=2610_ff_lansare&amp;utm_content=fierbinte_general</v>
      </c>
    </row>
    <row r="1413" customFormat="false" ht="15" hidden="false" customHeight="false" outlineLevel="0" collapsed="false">
      <c r="A1413" s="10" t="s">
        <v>82</v>
      </c>
      <c r="B1413" s="10" t="str">
        <f aca="false">INDEX('Site-uri'!$B$2:$B$20,MATCH(A1413,'Site-uri'!$A$2:$A$20,0))</f>
        <v>1clic-ia.eu</v>
      </c>
      <c r="C1413" s="10" t="s">
        <v>118</v>
      </c>
      <c r="D1413" s="10" t="s">
        <v>237</v>
      </c>
      <c r="E1413" s="10" t="str">
        <f aca="false">INDEX(Canale!$C$2:$C$30,MATCH(C1413,Canale!$A$2:$A$30,0))</f>
        <v>linkedin_ads</v>
      </c>
      <c r="F1413" s="10" t="str">
        <f aca="false">INDEX(Canale!$D$2:$D$30,MATCH(C1413,Canale!$A$2:$A$30,0))</f>
        <v>paid_social</v>
      </c>
      <c r="G1413" s="10" t="str">
        <f aca="false">INDEX('Site-uri'!$C$2:$C$20,MATCH(A1413,'Site-uri'!$A$2:$A$20,0))</f>
        <v>/</v>
      </c>
      <c r="H1413" s="10" t="str">
        <f aca="false">Config!$B$3</f>
        <v>2610_ff_lansare</v>
      </c>
      <c r="I1413" s="10" t="str">
        <f aca="false">D1413&amp;"_"&amp;Config!$B$4</f>
        <v>client_general</v>
      </c>
      <c r="J1413" s="10" t="str">
        <f aca="false">"https://"&amp;B1413&amp;G1413&amp;"?utm_source="&amp;E1413&amp;"&amp;utm_medium="&amp;F1413&amp;"&amp;utm_campaign="&amp;H1413&amp;"&amp;utm_content="&amp;I1413</f>
        <v>https://1clic-ia.eu/?utm_source=linkedin_ads&amp;utm_medium=paid_social&amp;utm_campaign=2610_ff_lansare&amp;utm_content=client_general</v>
      </c>
    </row>
    <row r="1414" customFormat="false" ht="15" hidden="false" customHeight="false" outlineLevel="0" collapsed="false">
      <c r="A1414" s="10" t="s">
        <v>82</v>
      </c>
      <c r="B1414" s="10" t="str">
        <f aca="false">INDEX('Site-uri'!$B$2:$B$20,MATCH(A1414,'Site-uri'!$A$2:$A$20,0))</f>
        <v>1clic-ia.eu</v>
      </c>
      <c r="C1414" s="10" t="s">
        <v>122</v>
      </c>
      <c r="D1414" s="10" t="s">
        <v>219</v>
      </c>
      <c r="E1414" s="10" t="str">
        <f aca="false">INDEX(Canale!$C$2:$C$30,MATCH(C1414,Canale!$A$2:$A$30,0))</f>
        <v>linkedin_dm</v>
      </c>
      <c r="F1414" s="10" t="str">
        <f aca="false">INDEX(Canale!$D$2:$D$30,MATCH(C1414,Canale!$A$2:$A$30,0))</f>
        <v>dm</v>
      </c>
      <c r="G1414" s="10" t="str">
        <f aca="false">INDEX('Site-uri'!$C$2:$C$20,MATCH(A1414,'Site-uri'!$A$2:$A$20,0))</f>
        <v>/</v>
      </c>
      <c r="H1414" s="10" t="str">
        <f aca="false">Config!$B$3</f>
        <v>2610_ff_lansare</v>
      </c>
      <c r="I1414" s="10" t="str">
        <f aca="false">D1414&amp;"_"&amp;Config!$B$4</f>
        <v>rece_general</v>
      </c>
      <c r="J1414" s="10" t="str">
        <f aca="false">"https://"&amp;B1414&amp;G1414&amp;"?utm_source="&amp;E1414&amp;"&amp;utm_medium="&amp;F1414&amp;"&amp;utm_campaign="&amp;H1414&amp;"&amp;utm_content="&amp;I1414</f>
        <v>https://1clic-ia.eu/?utm_source=linkedin_dm&amp;utm_medium=dm&amp;utm_campaign=2610_ff_lansare&amp;utm_content=rece_general</v>
      </c>
    </row>
    <row r="1415" customFormat="false" ht="15" hidden="false" customHeight="false" outlineLevel="0" collapsed="false">
      <c r="A1415" s="10" t="s">
        <v>82</v>
      </c>
      <c r="B1415" s="10" t="str">
        <f aca="false">INDEX('Site-uri'!$B$2:$B$20,MATCH(A1415,'Site-uri'!$A$2:$A$20,0))</f>
        <v>1clic-ia.eu</v>
      </c>
      <c r="C1415" s="10" t="s">
        <v>122</v>
      </c>
      <c r="D1415" s="10" t="s">
        <v>225</v>
      </c>
      <c r="E1415" s="10" t="str">
        <f aca="false">INDEX(Canale!$C$2:$C$30,MATCH(C1415,Canale!$A$2:$A$30,0))</f>
        <v>linkedin_dm</v>
      </c>
      <c r="F1415" s="10" t="str">
        <f aca="false">INDEX(Canale!$D$2:$D$30,MATCH(C1415,Canale!$A$2:$A$30,0))</f>
        <v>dm</v>
      </c>
      <c r="G1415" s="10" t="str">
        <f aca="false">INDEX('Site-uri'!$C$2:$C$20,MATCH(A1415,'Site-uri'!$A$2:$A$20,0))</f>
        <v>/</v>
      </c>
      <c r="H1415" s="10" t="str">
        <f aca="false">Config!$B$3</f>
        <v>2610_ff_lansare</v>
      </c>
      <c r="I1415" s="10" t="str">
        <f aca="false">D1415&amp;"_"&amp;Config!$B$4</f>
        <v>cald_general</v>
      </c>
      <c r="J1415" s="10" t="str">
        <f aca="false">"https://"&amp;B1415&amp;G1415&amp;"?utm_source="&amp;E1415&amp;"&amp;utm_medium="&amp;F1415&amp;"&amp;utm_campaign="&amp;H1415&amp;"&amp;utm_content="&amp;I1415</f>
        <v>https://1clic-ia.eu/?utm_source=linkedin_dm&amp;utm_medium=dm&amp;utm_campaign=2610_ff_lansare&amp;utm_content=cald_general</v>
      </c>
    </row>
    <row r="1416" customFormat="false" ht="15" hidden="false" customHeight="false" outlineLevel="0" collapsed="false">
      <c r="A1416" s="10" t="s">
        <v>82</v>
      </c>
      <c r="B1416" s="10" t="str">
        <f aca="false">INDEX('Site-uri'!$B$2:$B$20,MATCH(A1416,'Site-uri'!$A$2:$A$20,0))</f>
        <v>1clic-ia.eu</v>
      </c>
      <c r="C1416" s="10" t="s">
        <v>122</v>
      </c>
      <c r="D1416" s="10" t="s">
        <v>231</v>
      </c>
      <c r="E1416" s="10" t="str">
        <f aca="false">INDEX(Canale!$C$2:$C$30,MATCH(C1416,Canale!$A$2:$A$30,0))</f>
        <v>linkedin_dm</v>
      </c>
      <c r="F1416" s="10" t="str">
        <f aca="false">INDEX(Canale!$D$2:$D$30,MATCH(C1416,Canale!$A$2:$A$30,0))</f>
        <v>dm</v>
      </c>
      <c r="G1416" s="10" t="str">
        <f aca="false">INDEX('Site-uri'!$C$2:$C$20,MATCH(A1416,'Site-uri'!$A$2:$A$20,0))</f>
        <v>/</v>
      </c>
      <c r="H1416" s="10" t="str">
        <f aca="false">Config!$B$3</f>
        <v>2610_ff_lansare</v>
      </c>
      <c r="I1416" s="10" t="str">
        <f aca="false">D1416&amp;"_"&amp;Config!$B$4</f>
        <v>fierbinte_general</v>
      </c>
      <c r="J1416" s="10" t="str">
        <f aca="false">"https://"&amp;B1416&amp;G1416&amp;"?utm_source="&amp;E1416&amp;"&amp;utm_medium="&amp;F1416&amp;"&amp;utm_campaign="&amp;H1416&amp;"&amp;utm_content="&amp;I1416</f>
        <v>https://1clic-ia.eu/?utm_source=linkedin_dm&amp;utm_medium=dm&amp;utm_campaign=2610_ff_lansare&amp;utm_content=fierbinte_general</v>
      </c>
    </row>
    <row r="1417" customFormat="false" ht="15" hidden="false" customHeight="false" outlineLevel="0" collapsed="false">
      <c r="A1417" s="10" t="s">
        <v>82</v>
      </c>
      <c r="B1417" s="10" t="str">
        <f aca="false">INDEX('Site-uri'!$B$2:$B$20,MATCH(A1417,'Site-uri'!$A$2:$A$20,0))</f>
        <v>1clic-ia.eu</v>
      </c>
      <c r="C1417" s="10" t="s">
        <v>122</v>
      </c>
      <c r="D1417" s="10" t="s">
        <v>237</v>
      </c>
      <c r="E1417" s="10" t="str">
        <f aca="false">INDEX(Canale!$C$2:$C$30,MATCH(C1417,Canale!$A$2:$A$30,0))</f>
        <v>linkedin_dm</v>
      </c>
      <c r="F1417" s="10" t="str">
        <f aca="false">INDEX(Canale!$D$2:$D$30,MATCH(C1417,Canale!$A$2:$A$30,0))</f>
        <v>dm</v>
      </c>
      <c r="G1417" s="10" t="str">
        <f aca="false">INDEX('Site-uri'!$C$2:$C$20,MATCH(A1417,'Site-uri'!$A$2:$A$20,0))</f>
        <v>/</v>
      </c>
      <c r="H1417" s="10" t="str">
        <f aca="false">Config!$B$3</f>
        <v>2610_ff_lansare</v>
      </c>
      <c r="I1417" s="10" t="str">
        <f aca="false">D1417&amp;"_"&amp;Config!$B$4</f>
        <v>client_general</v>
      </c>
      <c r="J1417" s="10" t="str">
        <f aca="false">"https://"&amp;B1417&amp;G1417&amp;"?utm_source="&amp;E1417&amp;"&amp;utm_medium="&amp;F1417&amp;"&amp;utm_campaign="&amp;H1417&amp;"&amp;utm_content="&amp;I1417</f>
        <v>https://1clic-ia.eu/?utm_source=linkedin_dm&amp;utm_medium=dm&amp;utm_campaign=2610_ff_lansare&amp;utm_content=client_general</v>
      </c>
    </row>
    <row r="1418" customFormat="false" ht="15" hidden="false" customHeight="false" outlineLevel="0" collapsed="false">
      <c r="A1418" s="10" t="s">
        <v>82</v>
      </c>
      <c r="B1418" s="10" t="str">
        <f aca="false">INDEX('Site-uri'!$B$2:$B$20,MATCH(A1418,'Site-uri'!$A$2:$A$20,0))</f>
        <v>1clic-ia.eu</v>
      </c>
      <c r="C1418" s="10" t="s">
        <v>126</v>
      </c>
      <c r="D1418" s="10" t="s">
        <v>219</v>
      </c>
      <c r="E1418" s="10" t="str">
        <f aca="false">INDEX(Canale!$C$2:$C$30,MATCH(C1418,Canale!$A$2:$A$30,0))</f>
        <v>email_outreach</v>
      </c>
      <c r="F1418" s="10" t="str">
        <f aca="false">INDEX(Canale!$D$2:$D$30,MATCH(C1418,Canale!$A$2:$A$30,0))</f>
        <v>email</v>
      </c>
      <c r="G1418" s="10" t="str">
        <f aca="false">INDEX('Site-uri'!$C$2:$C$20,MATCH(A1418,'Site-uri'!$A$2:$A$20,0))</f>
        <v>/</v>
      </c>
      <c r="H1418" s="10" t="str">
        <f aca="false">Config!$B$3</f>
        <v>2610_ff_lansare</v>
      </c>
      <c r="I1418" s="10" t="str">
        <f aca="false">D1418&amp;"_"&amp;Config!$B$4</f>
        <v>rece_general</v>
      </c>
      <c r="J1418" s="10" t="str">
        <f aca="false">"https://"&amp;B1418&amp;G1418&amp;"?utm_source="&amp;E1418&amp;"&amp;utm_medium="&amp;F1418&amp;"&amp;utm_campaign="&amp;H1418&amp;"&amp;utm_content="&amp;I1418</f>
        <v>https://1clic-ia.eu/?utm_source=email_outreach&amp;utm_medium=email&amp;utm_campaign=2610_ff_lansare&amp;utm_content=rece_general</v>
      </c>
    </row>
    <row r="1419" customFormat="false" ht="15" hidden="false" customHeight="false" outlineLevel="0" collapsed="false">
      <c r="A1419" s="10" t="s">
        <v>82</v>
      </c>
      <c r="B1419" s="10" t="str">
        <f aca="false">INDEX('Site-uri'!$B$2:$B$20,MATCH(A1419,'Site-uri'!$A$2:$A$20,0))</f>
        <v>1clic-ia.eu</v>
      </c>
      <c r="C1419" s="10" t="s">
        <v>126</v>
      </c>
      <c r="D1419" s="10" t="s">
        <v>225</v>
      </c>
      <c r="E1419" s="10" t="str">
        <f aca="false">INDEX(Canale!$C$2:$C$30,MATCH(C1419,Canale!$A$2:$A$30,0))</f>
        <v>email_outreach</v>
      </c>
      <c r="F1419" s="10" t="str">
        <f aca="false">INDEX(Canale!$D$2:$D$30,MATCH(C1419,Canale!$A$2:$A$30,0))</f>
        <v>email</v>
      </c>
      <c r="G1419" s="10" t="str">
        <f aca="false">INDEX('Site-uri'!$C$2:$C$20,MATCH(A1419,'Site-uri'!$A$2:$A$20,0))</f>
        <v>/</v>
      </c>
      <c r="H1419" s="10" t="str">
        <f aca="false">Config!$B$3</f>
        <v>2610_ff_lansare</v>
      </c>
      <c r="I1419" s="10" t="str">
        <f aca="false">D1419&amp;"_"&amp;Config!$B$4</f>
        <v>cald_general</v>
      </c>
      <c r="J1419" s="10" t="str">
        <f aca="false">"https://"&amp;B1419&amp;G1419&amp;"?utm_source="&amp;E1419&amp;"&amp;utm_medium="&amp;F1419&amp;"&amp;utm_campaign="&amp;H1419&amp;"&amp;utm_content="&amp;I1419</f>
        <v>https://1clic-ia.eu/?utm_source=email_outreach&amp;utm_medium=email&amp;utm_campaign=2610_ff_lansare&amp;utm_content=cald_general</v>
      </c>
    </row>
    <row r="1420" customFormat="false" ht="15" hidden="false" customHeight="false" outlineLevel="0" collapsed="false">
      <c r="A1420" s="10" t="s">
        <v>82</v>
      </c>
      <c r="B1420" s="10" t="str">
        <f aca="false">INDEX('Site-uri'!$B$2:$B$20,MATCH(A1420,'Site-uri'!$A$2:$A$20,0))</f>
        <v>1clic-ia.eu</v>
      </c>
      <c r="C1420" s="10" t="s">
        <v>126</v>
      </c>
      <c r="D1420" s="10" t="s">
        <v>231</v>
      </c>
      <c r="E1420" s="10" t="str">
        <f aca="false">INDEX(Canale!$C$2:$C$30,MATCH(C1420,Canale!$A$2:$A$30,0))</f>
        <v>email_outreach</v>
      </c>
      <c r="F1420" s="10" t="str">
        <f aca="false">INDEX(Canale!$D$2:$D$30,MATCH(C1420,Canale!$A$2:$A$30,0))</f>
        <v>email</v>
      </c>
      <c r="G1420" s="10" t="str">
        <f aca="false">INDEX('Site-uri'!$C$2:$C$20,MATCH(A1420,'Site-uri'!$A$2:$A$20,0))</f>
        <v>/</v>
      </c>
      <c r="H1420" s="10" t="str">
        <f aca="false">Config!$B$3</f>
        <v>2610_ff_lansare</v>
      </c>
      <c r="I1420" s="10" t="str">
        <f aca="false">D1420&amp;"_"&amp;Config!$B$4</f>
        <v>fierbinte_general</v>
      </c>
      <c r="J1420" s="10" t="str">
        <f aca="false">"https://"&amp;B1420&amp;G1420&amp;"?utm_source="&amp;E1420&amp;"&amp;utm_medium="&amp;F1420&amp;"&amp;utm_campaign="&amp;H1420&amp;"&amp;utm_content="&amp;I1420</f>
        <v>https://1clic-ia.eu/?utm_source=email_outreach&amp;utm_medium=email&amp;utm_campaign=2610_ff_lansare&amp;utm_content=fierbinte_general</v>
      </c>
    </row>
    <row r="1421" customFormat="false" ht="15" hidden="false" customHeight="false" outlineLevel="0" collapsed="false">
      <c r="A1421" s="10" t="s">
        <v>82</v>
      </c>
      <c r="B1421" s="10" t="str">
        <f aca="false">INDEX('Site-uri'!$B$2:$B$20,MATCH(A1421,'Site-uri'!$A$2:$A$20,0))</f>
        <v>1clic-ia.eu</v>
      </c>
      <c r="C1421" s="10" t="s">
        <v>126</v>
      </c>
      <c r="D1421" s="10" t="s">
        <v>237</v>
      </c>
      <c r="E1421" s="10" t="str">
        <f aca="false">INDEX(Canale!$C$2:$C$30,MATCH(C1421,Canale!$A$2:$A$30,0))</f>
        <v>email_outreach</v>
      </c>
      <c r="F1421" s="10" t="str">
        <f aca="false">INDEX(Canale!$D$2:$D$30,MATCH(C1421,Canale!$A$2:$A$30,0))</f>
        <v>email</v>
      </c>
      <c r="G1421" s="10" t="str">
        <f aca="false">INDEX('Site-uri'!$C$2:$C$20,MATCH(A1421,'Site-uri'!$A$2:$A$20,0))</f>
        <v>/</v>
      </c>
      <c r="H1421" s="10" t="str">
        <f aca="false">Config!$B$3</f>
        <v>2610_ff_lansare</v>
      </c>
      <c r="I1421" s="10" t="str">
        <f aca="false">D1421&amp;"_"&amp;Config!$B$4</f>
        <v>client_general</v>
      </c>
      <c r="J1421" s="10" t="str">
        <f aca="false">"https://"&amp;B1421&amp;G1421&amp;"?utm_source="&amp;E1421&amp;"&amp;utm_medium="&amp;F1421&amp;"&amp;utm_campaign="&amp;H1421&amp;"&amp;utm_content="&amp;I1421</f>
        <v>https://1clic-ia.eu/?utm_source=email_outreach&amp;utm_medium=email&amp;utm_campaign=2610_ff_lansare&amp;utm_content=client_general</v>
      </c>
    </row>
    <row r="1422" customFormat="false" ht="15" hidden="false" customHeight="false" outlineLevel="0" collapsed="false">
      <c r="A1422" s="10" t="s">
        <v>82</v>
      </c>
      <c r="B1422" s="10" t="str">
        <f aca="false">INDEX('Site-uri'!$B$2:$B$20,MATCH(A1422,'Site-uri'!$A$2:$A$20,0))</f>
        <v>1clic-ia.eu</v>
      </c>
      <c r="C1422" s="10" t="s">
        <v>131</v>
      </c>
      <c r="D1422" s="10" t="s">
        <v>219</v>
      </c>
      <c r="E1422" s="10" t="str">
        <f aca="false">INDEX(Canale!$C$2:$C$30,MATCH(C1422,Canale!$A$2:$A$30,0))</f>
        <v>newsletter</v>
      </c>
      <c r="F1422" s="10" t="str">
        <f aca="false">INDEX(Canale!$D$2:$D$30,MATCH(C1422,Canale!$A$2:$A$30,0))</f>
        <v>email</v>
      </c>
      <c r="G1422" s="10" t="str">
        <f aca="false">INDEX('Site-uri'!$C$2:$C$20,MATCH(A1422,'Site-uri'!$A$2:$A$20,0))</f>
        <v>/</v>
      </c>
      <c r="H1422" s="10" t="str">
        <f aca="false">Config!$B$3</f>
        <v>2610_ff_lansare</v>
      </c>
      <c r="I1422" s="10" t="str">
        <f aca="false">D1422&amp;"_"&amp;Config!$B$4</f>
        <v>rece_general</v>
      </c>
      <c r="J1422" s="10" t="str">
        <f aca="false">"https://"&amp;B1422&amp;G1422&amp;"?utm_source="&amp;E1422&amp;"&amp;utm_medium="&amp;F1422&amp;"&amp;utm_campaign="&amp;H1422&amp;"&amp;utm_content="&amp;I1422</f>
        <v>https://1clic-ia.eu/?utm_source=newsletter&amp;utm_medium=email&amp;utm_campaign=2610_ff_lansare&amp;utm_content=rece_general</v>
      </c>
    </row>
    <row r="1423" customFormat="false" ht="15" hidden="false" customHeight="false" outlineLevel="0" collapsed="false">
      <c r="A1423" s="10" t="s">
        <v>82</v>
      </c>
      <c r="B1423" s="10" t="str">
        <f aca="false">INDEX('Site-uri'!$B$2:$B$20,MATCH(A1423,'Site-uri'!$A$2:$A$20,0))</f>
        <v>1clic-ia.eu</v>
      </c>
      <c r="C1423" s="10" t="s">
        <v>131</v>
      </c>
      <c r="D1423" s="10" t="s">
        <v>225</v>
      </c>
      <c r="E1423" s="10" t="str">
        <f aca="false">INDEX(Canale!$C$2:$C$30,MATCH(C1423,Canale!$A$2:$A$30,0))</f>
        <v>newsletter</v>
      </c>
      <c r="F1423" s="10" t="str">
        <f aca="false">INDEX(Canale!$D$2:$D$30,MATCH(C1423,Canale!$A$2:$A$30,0))</f>
        <v>email</v>
      </c>
      <c r="G1423" s="10" t="str">
        <f aca="false">INDEX('Site-uri'!$C$2:$C$20,MATCH(A1423,'Site-uri'!$A$2:$A$20,0))</f>
        <v>/</v>
      </c>
      <c r="H1423" s="10" t="str">
        <f aca="false">Config!$B$3</f>
        <v>2610_ff_lansare</v>
      </c>
      <c r="I1423" s="10" t="str">
        <f aca="false">D1423&amp;"_"&amp;Config!$B$4</f>
        <v>cald_general</v>
      </c>
      <c r="J1423" s="10" t="str">
        <f aca="false">"https://"&amp;B1423&amp;G1423&amp;"?utm_source="&amp;E1423&amp;"&amp;utm_medium="&amp;F1423&amp;"&amp;utm_campaign="&amp;H1423&amp;"&amp;utm_content="&amp;I1423</f>
        <v>https://1clic-ia.eu/?utm_source=newsletter&amp;utm_medium=email&amp;utm_campaign=2610_ff_lansare&amp;utm_content=cald_general</v>
      </c>
    </row>
    <row r="1424" customFormat="false" ht="15" hidden="false" customHeight="false" outlineLevel="0" collapsed="false">
      <c r="A1424" s="10" t="s">
        <v>82</v>
      </c>
      <c r="B1424" s="10" t="str">
        <f aca="false">INDEX('Site-uri'!$B$2:$B$20,MATCH(A1424,'Site-uri'!$A$2:$A$20,0))</f>
        <v>1clic-ia.eu</v>
      </c>
      <c r="C1424" s="10" t="s">
        <v>131</v>
      </c>
      <c r="D1424" s="10" t="s">
        <v>231</v>
      </c>
      <c r="E1424" s="10" t="str">
        <f aca="false">INDEX(Canale!$C$2:$C$30,MATCH(C1424,Canale!$A$2:$A$30,0))</f>
        <v>newsletter</v>
      </c>
      <c r="F1424" s="10" t="str">
        <f aca="false">INDEX(Canale!$D$2:$D$30,MATCH(C1424,Canale!$A$2:$A$30,0))</f>
        <v>email</v>
      </c>
      <c r="G1424" s="10" t="str">
        <f aca="false">INDEX('Site-uri'!$C$2:$C$20,MATCH(A1424,'Site-uri'!$A$2:$A$20,0))</f>
        <v>/</v>
      </c>
      <c r="H1424" s="10" t="str">
        <f aca="false">Config!$B$3</f>
        <v>2610_ff_lansare</v>
      </c>
      <c r="I1424" s="10" t="str">
        <f aca="false">D1424&amp;"_"&amp;Config!$B$4</f>
        <v>fierbinte_general</v>
      </c>
      <c r="J1424" s="10" t="str">
        <f aca="false">"https://"&amp;B1424&amp;G1424&amp;"?utm_source="&amp;E1424&amp;"&amp;utm_medium="&amp;F1424&amp;"&amp;utm_campaign="&amp;H1424&amp;"&amp;utm_content="&amp;I1424</f>
        <v>https://1clic-ia.eu/?utm_source=newsletter&amp;utm_medium=email&amp;utm_campaign=2610_ff_lansare&amp;utm_content=fierbinte_general</v>
      </c>
    </row>
    <row r="1425" customFormat="false" ht="15" hidden="false" customHeight="false" outlineLevel="0" collapsed="false">
      <c r="A1425" s="10" t="s">
        <v>82</v>
      </c>
      <c r="B1425" s="10" t="str">
        <f aca="false">INDEX('Site-uri'!$B$2:$B$20,MATCH(A1425,'Site-uri'!$A$2:$A$20,0))</f>
        <v>1clic-ia.eu</v>
      </c>
      <c r="C1425" s="10" t="s">
        <v>131</v>
      </c>
      <c r="D1425" s="10" t="s">
        <v>237</v>
      </c>
      <c r="E1425" s="10" t="str">
        <f aca="false">INDEX(Canale!$C$2:$C$30,MATCH(C1425,Canale!$A$2:$A$30,0))</f>
        <v>newsletter</v>
      </c>
      <c r="F1425" s="10" t="str">
        <f aca="false">INDEX(Canale!$D$2:$D$30,MATCH(C1425,Canale!$A$2:$A$30,0))</f>
        <v>email</v>
      </c>
      <c r="G1425" s="10" t="str">
        <f aca="false">INDEX('Site-uri'!$C$2:$C$20,MATCH(A1425,'Site-uri'!$A$2:$A$20,0))</f>
        <v>/</v>
      </c>
      <c r="H1425" s="10" t="str">
        <f aca="false">Config!$B$3</f>
        <v>2610_ff_lansare</v>
      </c>
      <c r="I1425" s="10" t="str">
        <f aca="false">D1425&amp;"_"&amp;Config!$B$4</f>
        <v>client_general</v>
      </c>
      <c r="J1425" s="10" t="str">
        <f aca="false">"https://"&amp;B1425&amp;G1425&amp;"?utm_source="&amp;E1425&amp;"&amp;utm_medium="&amp;F1425&amp;"&amp;utm_campaign="&amp;H1425&amp;"&amp;utm_content="&amp;I1425</f>
        <v>https://1clic-ia.eu/?utm_source=newsletter&amp;utm_medium=email&amp;utm_campaign=2610_ff_lansare&amp;utm_content=client_general</v>
      </c>
    </row>
    <row r="1426" customFormat="false" ht="15" hidden="false" customHeight="false" outlineLevel="0" collapsed="false">
      <c r="A1426" s="10" t="s">
        <v>82</v>
      </c>
      <c r="B1426" s="10" t="str">
        <f aca="false">INDEX('Site-uri'!$B$2:$B$20,MATCH(A1426,'Site-uri'!$A$2:$A$20,0))</f>
        <v>1clic-ia.eu</v>
      </c>
      <c r="C1426" s="10" t="s">
        <v>134</v>
      </c>
      <c r="D1426" s="10" t="s">
        <v>219</v>
      </c>
      <c r="E1426" s="10" t="str">
        <f aca="false">INDEX(Canale!$C$2:$C$30,MATCH(C1426,Canale!$A$2:$A$30,0))</f>
        <v>email_signature</v>
      </c>
      <c r="F1426" s="10" t="str">
        <f aca="false">INDEX(Canale!$D$2:$D$30,MATCH(C1426,Canale!$A$2:$A$30,0))</f>
        <v>email</v>
      </c>
      <c r="G1426" s="10" t="str">
        <f aca="false">INDEX('Site-uri'!$C$2:$C$20,MATCH(A1426,'Site-uri'!$A$2:$A$20,0))</f>
        <v>/</v>
      </c>
      <c r="H1426" s="10" t="str">
        <f aca="false">Config!$B$3</f>
        <v>2610_ff_lansare</v>
      </c>
      <c r="I1426" s="10" t="str">
        <f aca="false">D1426&amp;"_"&amp;Config!$B$4</f>
        <v>rece_general</v>
      </c>
      <c r="J1426" s="10" t="str">
        <f aca="false">"https://"&amp;B1426&amp;G1426&amp;"?utm_source="&amp;E1426&amp;"&amp;utm_medium="&amp;F1426&amp;"&amp;utm_campaign="&amp;H1426&amp;"&amp;utm_content="&amp;I1426</f>
        <v>https://1clic-ia.eu/?utm_source=email_signature&amp;utm_medium=email&amp;utm_campaign=2610_ff_lansare&amp;utm_content=rece_general</v>
      </c>
    </row>
    <row r="1427" customFormat="false" ht="15" hidden="false" customHeight="false" outlineLevel="0" collapsed="false">
      <c r="A1427" s="10" t="s">
        <v>82</v>
      </c>
      <c r="B1427" s="10" t="str">
        <f aca="false">INDEX('Site-uri'!$B$2:$B$20,MATCH(A1427,'Site-uri'!$A$2:$A$20,0))</f>
        <v>1clic-ia.eu</v>
      </c>
      <c r="C1427" s="10" t="s">
        <v>134</v>
      </c>
      <c r="D1427" s="10" t="s">
        <v>225</v>
      </c>
      <c r="E1427" s="10" t="str">
        <f aca="false">INDEX(Canale!$C$2:$C$30,MATCH(C1427,Canale!$A$2:$A$30,0))</f>
        <v>email_signature</v>
      </c>
      <c r="F1427" s="10" t="str">
        <f aca="false">INDEX(Canale!$D$2:$D$30,MATCH(C1427,Canale!$A$2:$A$30,0))</f>
        <v>email</v>
      </c>
      <c r="G1427" s="10" t="str">
        <f aca="false">INDEX('Site-uri'!$C$2:$C$20,MATCH(A1427,'Site-uri'!$A$2:$A$20,0))</f>
        <v>/</v>
      </c>
      <c r="H1427" s="10" t="str">
        <f aca="false">Config!$B$3</f>
        <v>2610_ff_lansare</v>
      </c>
      <c r="I1427" s="10" t="str">
        <f aca="false">D1427&amp;"_"&amp;Config!$B$4</f>
        <v>cald_general</v>
      </c>
      <c r="J1427" s="10" t="str">
        <f aca="false">"https://"&amp;B1427&amp;G1427&amp;"?utm_source="&amp;E1427&amp;"&amp;utm_medium="&amp;F1427&amp;"&amp;utm_campaign="&amp;H1427&amp;"&amp;utm_content="&amp;I1427</f>
        <v>https://1clic-ia.eu/?utm_source=email_signature&amp;utm_medium=email&amp;utm_campaign=2610_ff_lansare&amp;utm_content=cald_general</v>
      </c>
    </row>
    <row r="1428" customFormat="false" ht="15" hidden="false" customHeight="false" outlineLevel="0" collapsed="false">
      <c r="A1428" s="10" t="s">
        <v>82</v>
      </c>
      <c r="B1428" s="10" t="str">
        <f aca="false">INDEX('Site-uri'!$B$2:$B$20,MATCH(A1428,'Site-uri'!$A$2:$A$20,0))</f>
        <v>1clic-ia.eu</v>
      </c>
      <c r="C1428" s="10" t="s">
        <v>134</v>
      </c>
      <c r="D1428" s="10" t="s">
        <v>231</v>
      </c>
      <c r="E1428" s="10" t="str">
        <f aca="false">INDEX(Canale!$C$2:$C$30,MATCH(C1428,Canale!$A$2:$A$30,0))</f>
        <v>email_signature</v>
      </c>
      <c r="F1428" s="10" t="str">
        <f aca="false">INDEX(Canale!$D$2:$D$30,MATCH(C1428,Canale!$A$2:$A$30,0))</f>
        <v>email</v>
      </c>
      <c r="G1428" s="10" t="str">
        <f aca="false">INDEX('Site-uri'!$C$2:$C$20,MATCH(A1428,'Site-uri'!$A$2:$A$20,0))</f>
        <v>/</v>
      </c>
      <c r="H1428" s="10" t="str">
        <f aca="false">Config!$B$3</f>
        <v>2610_ff_lansare</v>
      </c>
      <c r="I1428" s="10" t="str">
        <f aca="false">D1428&amp;"_"&amp;Config!$B$4</f>
        <v>fierbinte_general</v>
      </c>
      <c r="J1428" s="10" t="str">
        <f aca="false">"https://"&amp;B1428&amp;G1428&amp;"?utm_source="&amp;E1428&amp;"&amp;utm_medium="&amp;F1428&amp;"&amp;utm_campaign="&amp;H1428&amp;"&amp;utm_content="&amp;I1428</f>
        <v>https://1clic-ia.eu/?utm_source=email_signature&amp;utm_medium=email&amp;utm_campaign=2610_ff_lansare&amp;utm_content=fierbinte_general</v>
      </c>
    </row>
    <row r="1429" customFormat="false" ht="15" hidden="false" customHeight="false" outlineLevel="0" collapsed="false">
      <c r="A1429" s="10" t="s">
        <v>82</v>
      </c>
      <c r="B1429" s="10" t="str">
        <f aca="false">INDEX('Site-uri'!$B$2:$B$20,MATCH(A1429,'Site-uri'!$A$2:$A$20,0))</f>
        <v>1clic-ia.eu</v>
      </c>
      <c r="C1429" s="10" t="s">
        <v>134</v>
      </c>
      <c r="D1429" s="10" t="s">
        <v>237</v>
      </c>
      <c r="E1429" s="10" t="str">
        <f aca="false">INDEX(Canale!$C$2:$C$30,MATCH(C1429,Canale!$A$2:$A$30,0))</f>
        <v>email_signature</v>
      </c>
      <c r="F1429" s="10" t="str">
        <f aca="false">INDEX(Canale!$D$2:$D$30,MATCH(C1429,Canale!$A$2:$A$30,0))</f>
        <v>email</v>
      </c>
      <c r="G1429" s="10" t="str">
        <f aca="false">INDEX('Site-uri'!$C$2:$C$20,MATCH(A1429,'Site-uri'!$A$2:$A$20,0))</f>
        <v>/</v>
      </c>
      <c r="H1429" s="10" t="str">
        <f aca="false">Config!$B$3</f>
        <v>2610_ff_lansare</v>
      </c>
      <c r="I1429" s="10" t="str">
        <f aca="false">D1429&amp;"_"&amp;Config!$B$4</f>
        <v>client_general</v>
      </c>
      <c r="J1429" s="10" t="str">
        <f aca="false">"https://"&amp;B1429&amp;G1429&amp;"?utm_source="&amp;E1429&amp;"&amp;utm_medium="&amp;F1429&amp;"&amp;utm_campaign="&amp;H1429&amp;"&amp;utm_content="&amp;I1429</f>
        <v>https://1clic-ia.eu/?utm_source=email_signature&amp;utm_medium=email&amp;utm_campaign=2610_ff_lansare&amp;utm_content=client_general</v>
      </c>
    </row>
    <row r="1430" customFormat="false" ht="15" hidden="false" customHeight="false" outlineLevel="0" collapsed="false">
      <c r="A1430" s="10" t="s">
        <v>82</v>
      </c>
      <c r="B1430" s="10" t="str">
        <f aca="false">INDEX('Site-uri'!$B$2:$B$20,MATCH(A1430,'Site-uri'!$A$2:$A$20,0))</f>
        <v>1clic-ia.eu</v>
      </c>
      <c r="C1430" s="10" t="s">
        <v>137</v>
      </c>
      <c r="D1430" s="10" t="s">
        <v>219</v>
      </c>
      <c r="E1430" s="10" t="str">
        <f aca="false">INDEX(Canale!$C$2:$C$30,MATCH(C1430,Canale!$A$2:$A$30,0))</f>
        <v>whatsapp</v>
      </c>
      <c r="F1430" s="10" t="str">
        <f aca="false">INDEX(Canale!$D$2:$D$30,MATCH(C1430,Canale!$A$2:$A$30,0))</f>
        <v>dm</v>
      </c>
      <c r="G1430" s="10" t="str">
        <f aca="false">INDEX('Site-uri'!$C$2:$C$20,MATCH(A1430,'Site-uri'!$A$2:$A$20,0))</f>
        <v>/</v>
      </c>
      <c r="H1430" s="10" t="str">
        <f aca="false">Config!$B$3</f>
        <v>2610_ff_lansare</v>
      </c>
      <c r="I1430" s="10" t="str">
        <f aca="false">D1430&amp;"_"&amp;Config!$B$4</f>
        <v>rece_general</v>
      </c>
      <c r="J1430" s="10" t="str">
        <f aca="false">"https://"&amp;B1430&amp;G1430&amp;"?utm_source="&amp;E1430&amp;"&amp;utm_medium="&amp;F1430&amp;"&amp;utm_campaign="&amp;H1430&amp;"&amp;utm_content="&amp;I1430</f>
        <v>https://1clic-ia.eu/?utm_source=whatsapp&amp;utm_medium=dm&amp;utm_campaign=2610_ff_lansare&amp;utm_content=rece_general</v>
      </c>
    </row>
    <row r="1431" customFormat="false" ht="15" hidden="false" customHeight="false" outlineLevel="0" collapsed="false">
      <c r="A1431" s="10" t="s">
        <v>82</v>
      </c>
      <c r="B1431" s="10" t="str">
        <f aca="false">INDEX('Site-uri'!$B$2:$B$20,MATCH(A1431,'Site-uri'!$A$2:$A$20,0))</f>
        <v>1clic-ia.eu</v>
      </c>
      <c r="C1431" s="10" t="s">
        <v>137</v>
      </c>
      <c r="D1431" s="10" t="s">
        <v>225</v>
      </c>
      <c r="E1431" s="10" t="str">
        <f aca="false">INDEX(Canale!$C$2:$C$30,MATCH(C1431,Canale!$A$2:$A$30,0))</f>
        <v>whatsapp</v>
      </c>
      <c r="F1431" s="10" t="str">
        <f aca="false">INDEX(Canale!$D$2:$D$30,MATCH(C1431,Canale!$A$2:$A$30,0))</f>
        <v>dm</v>
      </c>
      <c r="G1431" s="10" t="str">
        <f aca="false">INDEX('Site-uri'!$C$2:$C$20,MATCH(A1431,'Site-uri'!$A$2:$A$20,0))</f>
        <v>/</v>
      </c>
      <c r="H1431" s="10" t="str">
        <f aca="false">Config!$B$3</f>
        <v>2610_ff_lansare</v>
      </c>
      <c r="I1431" s="10" t="str">
        <f aca="false">D1431&amp;"_"&amp;Config!$B$4</f>
        <v>cald_general</v>
      </c>
      <c r="J1431" s="10" t="str">
        <f aca="false">"https://"&amp;B1431&amp;G1431&amp;"?utm_source="&amp;E1431&amp;"&amp;utm_medium="&amp;F1431&amp;"&amp;utm_campaign="&amp;H1431&amp;"&amp;utm_content="&amp;I1431</f>
        <v>https://1clic-ia.eu/?utm_source=whatsapp&amp;utm_medium=dm&amp;utm_campaign=2610_ff_lansare&amp;utm_content=cald_general</v>
      </c>
    </row>
    <row r="1432" customFormat="false" ht="15" hidden="false" customHeight="false" outlineLevel="0" collapsed="false">
      <c r="A1432" s="10" t="s">
        <v>82</v>
      </c>
      <c r="B1432" s="10" t="str">
        <f aca="false">INDEX('Site-uri'!$B$2:$B$20,MATCH(A1432,'Site-uri'!$A$2:$A$20,0))</f>
        <v>1clic-ia.eu</v>
      </c>
      <c r="C1432" s="10" t="s">
        <v>137</v>
      </c>
      <c r="D1432" s="10" t="s">
        <v>231</v>
      </c>
      <c r="E1432" s="10" t="str">
        <f aca="false">INDEX(Canale!$C$2:$C$30,MATCH(C1432,Canale!$A$2:$A$30,0))</f>
        <v>whatsapp</v>
      </c>
      <c r="F1432" s="10" t="str">
        <f aca="false">INDEX(Canale!$D$2:$D$30,MATCH(C1432,Canale!$A$2:$A$30,0))</f>
        <v>dm</v>
      </c>
      <c r="G1432" s="10" t="str">
        <f aca="false">INDEX('Site-uri'!$C$2:$C$20,MATCH(A1432,'Site-uri'!$A$2:$A$20,0))</f>
        <v>/</v>
      </c>
      <c r="H1432" s="10" t="str">
        <f aca="false">Config!$B$3</f>
        <v>2610_ff_lansare</v>
      </c>
      <c r="I1432" s="10" t="str">
        <f aca="false">D1432&amp;"_"&amp;Config!$B$4</f>
        <v>fierbinte_general</v>
      </c>
      <c r="J1432" s="10" t="str">
        <f aca="false">"https://"&amp;B1432&amp;G1432&amp;"?utm_source="&amp;E1432&amp;"&amp;utm_medium="&amp;F1432&amp;"&amp;utm_campaign="&amp;H1432&amp;"&amp;utm_content="&amp;I1432</f>
        <v>https://1clic-ia.eu/?utm_source=whatsapp&amp;utm_medium=dm&amp;utm_campaign=2610_ff_lansare&amp;utm_content=fierbinte_general</v>
      </c>
    </row>
    <row r="1433" customFormat="false" ht="15" hidden="false" customHeight="false" outlineLevel="0" collapsed="false">
      <c r="A1433" s="10" t="s">
        <v>82</v>
      </c>
      <c r="B1433" s="10" t="str">
        <f aca="false">INDEX('Site-uri'!$B$2:$B$20,MATCH(A1433,'Site-uri'!$A$2:$A$20,0))</f>
        <v>1clic-ia.eu</v>
      </c>
      <c r="C1433" s="10" t="s">
        <v>137</v>
      </c>
      <c r="D1433" s="10" t="s">
        <v>237</v>
      </c>
      <c r="E1433" s="10" t="str">
        <f aca="false">INDEX(Canale!$C$2:$C$30,MATCH(C1433,Canale!$A$2:$A$30,0))</f>
        <v>whatsapp</v>
      </c>
      <c r="F1433" s="10" t="str">
        <f aca="false">INDEX(Canale!$D$2:$D$30,MATCH(C1433,Canale!$A$2:$A$30,0))</f>
        <v>dm</v>
      </c>
      <c r="G1433" s="10" t="str">
        <f aca="false">INDEX('Site-uri'!$C$2:$C$20,MATCH(A1433,'Site-uri'!$A$2:$A$20,0))</f>
        <v>/</v>
      </c>
      <c r="H1433" s="10" t="str">
        <f aca="false">Config!$B$3</f>
        <v>2610_ff_lansare</v>
      </c>
      <c r="I1433" s="10" t="str">
        <f aca="false">D1433&amp;"_"&amp;Config!$B$4</f>
        <v>client_general</v>
      </c>
      <c r="J1433" s="10" t="str">
        <f aca="false">"https://"&amp;B1433&amp;G1433&amp;"?utm_source="&amp;E1433&amp;"&amp;utm_medium="&amp;F1433&amp;"&amp;utm_campaign="&amp;H1433&amp;"&amp;utm_content="&amp;I1433</f>
        <v>https://1clic-ia.eu/?utm_source=whatsapp&amp;utm_medium=dm&amp;utm_campaign=2610_ff_lansare&amp;utm_content=client_general</v>
      </c>
    </row>
    <row r="1434" customFormat="false" ht="15" hidden="false" customHeight="false" outlineLevel="0" collapsed="false">
      <c r="A1434" s="10" t="s">
        <v>82</v>
      </c>
      <c r="B1434" s="10" t="str">
        <f aca="false">INDEX('Site-uri'!$B$2:$B$20,MATCH(A1434,'Site-uri'!$A$2:$A$20,0))</f>
        <v>1clic-ia.eu</v>
      </c>
      <c r="C1434" s="10" t="s">
        <v>141</v>
      </c>
      <c r="D1434" s="10" t="s">
        <v>219</v>
      </c>
      <c r="E1434" s="10" t="str">
        <f aca="false">INDEX(Canale!$C$2:$C$30,MATCH(C1434,Canale!$A$2:$A$30,0))</f>
        <v>google</v>
      </c>
      <c r="F1434" s="10" t="str">
        <f aca="false">INDEX(Canale!$D$2:$D$30,MATCH(C1434,Canale!$A$2:$A$30,0))</f>
        <v>cpc</v>
      </c>
      <c r="G1434" s="10" t="str">
        <f aca="false">INDEX('Site-uri'!$C$2:$C$20,MATCH(A1434,'Site-uri'!$A$2:$A$20,0))</f>
        <v>/</v>
      </c>
      <c r="H1434" s="10" t="str">
        <f aca="false">Config!$B$3</f>
        <v>2610_ff_lansare</v>
      </c>
      <c r="I1434" s="10" t="str">
        <f aca="false">D1434&amp;"_"&amp;Config!$B$4</f>
        <v>rece_general</v>
      </c>
      <c r="J1434" s="10" t="str">
        <f aca="false">"https://"&amp;B1434&amp;G1434&amp;"?utm_source="&amp;E1434&amp;"&amp;utm_medium="&amp;F1434&amp;"&amp;utm_campaign="&amp;H1434&amp;"&amp;utm_content="&amp;I1434</f>
        <v>https://1clic-ia.eu/?utm_source=google&amp;utm_medium=cpc&amp;utm_campaign=2610_ff_lansare&amp;utm_content=rece_general</v>
      </c>
    </row>
    <row r="1435" customFormat="false" ht="15" hidden="false" customHeight="false" outlineLevel="0" collapsed="false">
      <c r="A1435" s="10" t="s">
        <v>82</v>
      </c>
      <c r="B1435" s="10" t="str">
        <f aca="false">INDEX('Site-uri'!$B$2:$B$20,MATCH(A1435,'Site-uri'!$A$2:$A$20,0))</f>
        <v>1clic-ia.eu</v>
      </c>
      <c r="C1435" s="10" t="s">
        <v>141</v>
      </c>
      <c r="D1435" s="10" t="s">
        <v>225</v>
      </c>
      <c r="E1435" s="10" t="str">
        <f aca="false">INDEX(Canale!$C$2:$C$30,MATCH(C1435,Canale!$A$2:$A$30,0))</f>
        <v>google</v>
      </c>
      <c r="F1435" s="10" t="str">
        <f aca="false">INDEX(Canale!$D$2:$D$30,MATCH(C1435,Canale!$A$2:$A$30,0))</f>
        <v>cpc</v>
      </c>
      <c r="G1435" s="10" t="str">
        <f aca="false">INDEX('Site-uri'!$C$2:$C$20,MATCH(A1435,'Site-uri'!$A$2:$A$20,0))</f>
        <v>/</v>
      </c>
      <c r="H1435" s="10" t="str">
        <f aca="false">Config!$B$3</f>
        <v>2610_ff_lansare</v>
      </c>
      <c r="I1435" s="10" t="str">
        <f aca="false">D1435&amp;"_"&amp;Config!$B$4</f>
        <v>cald_general</v>
      </c>
      <c r="J1435" s="10" t="str">
        <f aca="false">"https://"&amp;B1435&amp;G1435&amp;"?utm_source="&amp;E1435&amp;"&amp;utm_medium="&amp;F1435&amp;"&amp;utm_campaign="&amp;H1435&amp;"&amp;utm_content="&amp;I1435</f>
        <v>https://1clic-ia.eu/?utm_source=google&amp;utm_medium=cpc&amp;utm_campaign=2610_ff_lansare&amp;utm_content=cald_general</v>
      </c>
    </row>
    <row r="1436" customFormat="false" ht="15" hidden="false" customHeight="false" outlineLevel="0" collapsed="false">
      <c r="A1436" s="10" t="s">
        <v>82</v>
      </c>
      <c r="B1436" s="10" t="str">
        <f aca="false">INDEX('Site-uri'!$B$2:$B$20,MATCH(A1436,'Site-uri'!$A$2:$A$20,0))</f>
        <v>1clic-ia.eu</v>
      </c>
      <c r="C1436" s="10" t="s">
        <v>141</v>
      </c>
      <c r="D1436" s="10" t="s">
        <v>231</v>
      </c>
      <c r="E1436" s="10" t="str">
        <f aca="false">INDEX(Canale!$C$2:$C$30,MATCH(C1436,Canale!$A$2:$A$30,0))</f>
        <v>google</v>
      </c>
      <c r="F1436" s="10" t="str">
        <f aca="false">INDEX(Canale!$D$2:$D$30,MATCH(C1436,Canale!$A$2:$A$30,0))</f>
        <v>cpc</v>
      </c>
      <c r="G1436" s="10" t="str">
        <f aca="false">INDEX('Site-uri'!$C$2:$C$20,MATCH(A1436,'Site-uri'!$A$2:$A$20,0))</f>
        <v>/</v>
      </c>
      <c r="H1436" s="10" t="str">
        <f aca="false">Config!$B$3</f>
        <v>2610_ff_lansare</v>
      </c>
      <c r="I1436" s="10" t="str">
        <f aca="false">D1436&amp;"_"&amp;Config!$B$4</f>
        <v>fierbinte_general</v>
      </c>
      <c r="J1436" s="10" t="str">
        <f aca="false">"https://"&amp;B1436&amp;G1436&amp;"?utm_source="&amp;E1436&amp;"&amp;utm_medium="&amp;F1436&amp;"&amp;utm_campaign="&amp;H1436&amp;"&amp;utm_content="&amp;I1436</f>
        <v>https://1clic-ia.eu/?utm_source=google&amp;utm_medium=cpc&amp;utm_campaign=2610_ff_lansare&amp;utm_content=fierbinte_general</v>
      </c>
    </row>
    <row r="1437" customFormat="false" ht="15" hidden="false" customHeight="false" outlineLevel="0" collapsed="false">
      <c r="A1437" s="10" t="s">
        <v>82</v>
      </c>
      <c r="B1437" s="10" t="str">
        <f aca="false">INDEX('Site-uri'!$B$2:$B$20,MATCH(A1437,'Site-uri'!$A$2:$A$20,0))</f>
        <v>1clic-ia.eu</v>
      </c>
      <c r="C1437" s="10" t="s">
        <v>141</v>
      </c>
      <c r="D1437" s="10" t="s">
        <v>237</v>
      </c>
      <c r="E1437" s="10" t="str">
        <f aca="false">INDEX(Canale!$C$2:$C$30,MATCH(C1437,Canale!$A$2:$A$30,0))</f>
        <v>google</v>
      </c>
      <c r="F1437" s="10" t="str">
        <f aca="false">INDEX(Canale!$D$2:$D$30,MATCH(C1437,Canale!$A$2:$A$30,0))</f>
        <v>cpc</v>
      </c>
      <c r="G1437" s="10" t="str">
        <f aca="false">INDEX('Site-uri'!$C$2:$C$20,MATCH(A1437,'Site-uri'!$A$2:$A$20,0))</f>
        <v>/</v>
      </c>
      <c r="H1437" s="10" t="str">
        <f aca="false">Config!$B$3</f>
        <v>2610_ff_lansare</v>
      </c>
      <c r="I1437" s="10" t="str">
        <f aca="false">D1437&amp;"_"&amp;Config!$B$4</f>
        <v>client_general</v>
      </c>
      <c r="J1437" s="10" t="str">
        <f aca="false">"https://"&amp;B1437&amp;G1437&amp;"?utm_source="&amp;E1437&amp;"&amp;utm_medium="&amp;F1437&amp;"&amp;utm_campaign="&amp;H1437&amp;"&amp;utm_content="&amp;I1437</f>
        <v>https://1clic-ia.eu/?utm_source=google&amp;utm_medium=cpc&amp;utm_campaign=2610_ff_lansare&amp;utm_content=client_general</v>
      </c>
    </row>
    <row r="1438" customFormat="false" ht="15" hidden="false" customHeight="false" outlineLevel="0" collapsed="false">
      <c r="A1438" s="10" t="s">
        <v>82</v>
      </c>
      <c r="B1438" s="10" t="str">
        <f aca="false">INDEX('Site-uri'!$B$2:$B$20,MATCH(A1438,'Site-uri'!$A$2:$A$20,0))</f>
        <v>1clic-ia.eu</v>
      </c>
      <c r="C1438" s="10" t="s">
        <v>146</v>
      </c>
      <c r="D1438" s="10" t="s">
        <v>219</v>
      </c>
      <c r="E1438" s="10" t="str">
        <f aca="false">INDEX(Canale!$C$2:$C$30,MATCH(C1438,Canale!$A$2:$A$30,0))</f>
        <v>bing</v>
      </c>
      <c r="F1438" s="10" t="str">
        <f aca="false">INDEX(Canale!$D$2:$D$30,MATCH(C1438,Canale!$A$2:$A$30,0))</f>
        <v>cpc</v>
      </c>
      <c r="G1438" s="10" t="str">
        <f aca="false">INDEX('Site-uri'!$C$2:$C$20,MATCH(A1438,'Site-uri'!$A$2:$A$20,0))</f>
        <v>/</v>
      </c>
      <c r="H1438" s="10" t="str">
        <f aca="false">Config!$B$3</f>
        <v>2610_ff_lansare</v>
      </c>
      <c r="I1438" s="10" t="str">
        <f aca="false">D1438&amp;"_"&amp;Config!$B$4</f>
        <v>rece_general</v>
      </c>
      <c r="J1438" s="10" t="str">
        <f aca="false">"https://"&amp;B1438&amp;G1438&amp;"?utm_source="&amp;E1438&amp;"&amp;utm_medium="&amp;F1438&amp;"&amp;utm_campaign="&amp;H1438&amp;"&amp;utm_content="&amp;I1438</f>
        <v>https://1clic-ia.eu/?utm_source=bing&amp;utm_medium=cpc&amp;utm_campaign=2610_ff_lansare&amp;utm_content=rece_general</v>
      </c>
    </row>
    <row r="1439" customFormat="false" ht="15" hidden="false" customHeight="false" outlineLevel="0" collapsed="false">
      <c r="A1439" s="10" t="s">
        <v>82</v>
      </c>
      <c r="B1439" s="10" t="str">
        <f aca="false">INDEX('Site-uri'!$B$2:$B$20,MATCH(A1439,'Site-uri'!$A$2:$A$20,0))</f>
        <v>1clic-ia.eu</v>
      </c>
      <c r="C1439" s="10" t="s">
        <v>146</v>
      </c>
      <c r="D1439" s="10" t="s">
        <v>225</v>
      </c>
      <c r="E1439" s="10" t="str">
        <f aca="false">INDEX(Canale!$C$2:$C$30,MATCH(C1439,Canale!$A$2:$A$30,0))</f>
        <v>bing</v>
      </c>
      <c r="F1439" s="10" t="str">
        <f aca="false">INDEX(Canale!$D$2:$D$30,MATCH(C1439,Canale!$A$2:$A$30,0))</f>
        <v>cpc</v>
      </c>
      <c r="G1439" s="10" t="str">
        <f aca="false">INDEX('Site-uri'!$C$2:$C$20,MATCH(A1439,'Site-uri'!$A$2:$A$20,0))</f>
        <v>/</v>
      </c>
      <c r="H1439" s="10" t="str">
        <f aca="false">Config!$B$3</f>
        <v>2610_ff_lansare</v>
      </c>
      <c r="I1439" s="10" t="str">
        <f aca="false">D1439&amp;"_"&amp;Config!$B$4</f>
        <v>cald_general</v>
      </c>
      <c r="J1439" s="10" t="str">
        <f aca="false">"https://"&amp;B1439&amp;G1439&amp;"?utm_source="&amp;E1439&amp;"&amp;utm_medium="&amp;F1439&amp;"&amp;utm_campaign="&amp;H1439&amp;"&amp;utm_content="&amp;I1439</f>
        <v>https://1clic-ia.eu/?utm_source=bing&amp;utm_medium=cpc&amp;utm_campaign=2610_ff_lansare&amp;utm_content=cald_general</v>
      </c>
    </row>
    <row r="1440" customFormat="false" ht="15" hidden="false" customHeight="false" outlineLevel="0" collapsed="false">
      <c r="A1440" s="10" t="s">
        <v>82</v>
      </c>
      <c r="B1440" s="10" t="str">
        <f aca="false">INDEX('Site-uri'!$B$2:$B$20,MATCH(A1440,'Site-uri'!$A$2:$A$20,0))</f>
        <v>1clic-ia.eu</v>
      </c>
      <c r="C1440" s="10" t="s">
        <v>146</v>
      </c>
      <c r="D1440" s="10" t="s">
        <v>231</v>
      </c>
      <c r="E1440" s="10" t="str">
        <f aca="false">INDEX(Canale!$C$2:$C$30,MATCH(C1440,Canale!$A$2:$A$30,0))</f>
        <v>bing</v>
      </c>
      <c r="F1440" s="10" t="str">
        <f aca="false">INDEX(Canale!$D$2:$D$30,MATCH(C1440,Canale!$A$2:$A$30,0))</f>
        <v>cpc</v>
      </c>
      <c r="G1440" s="10" t="str">
        <f aca="false">INDEX('Site-uri'!$C$2:$C$20,MATCH(A1440,'Site-uri'!$A$2:$A$20,0))</f>
        <v>/</v>
      </c>
      <c r="H1440" s="10" t="str">
        <f aca="false">Config!$B$3</f>
        <v>2610_ff_lansare</v>
      </c>
      <c r="I1440" s="10" t="str">
        <f aca="false">D1440&amp;"_"&amp;Config!$B$4</f>
        <v>fierbinte_general</v>
      </c>
      <c r="J1440" s="10" t="str">
        <f aca="false">"https://"&amp;B1440&amp;G1440&amp;"?utm_source="&amp;E1440&amp;"&amp;utm_medium="&amp;F1440&amp;"&amp;utm_campaign="&amp;H1440&amp;"&amp;utm_content="&amp;I1440</f>
        <v>https://1clic-ia.eu/?utm_source=bing&amp;utm_medium=cpc&amp;utm_campaign=2610_ff_lansare&amp;utm_content=fierbinte_general</v>
      </c>
    </row>
    <row r="1441" customFormat="false" ht="15" hidden="false" customHeight="false" outlineLevel="0" collapsed="false">
      <c r="A1441" s="10" t="s">
        <v>82</v>
      </c>
      <c r="B1441" s="10" t="str">
        <f aca="false">INDEX('Site-uri'!$B$2:$B$20,MATCH(A1441,'Site-uri'!$A$2:$A$20,0))</f>
        <v>1clic-ia.eu</v>
      </c>
      <c r="C1441" s="10" t="s">
        <v>146</v>
      </c>
      <c r="D1441" s="10" t="s">
        <v>237</v>
      </c>
      <c r="E1441" s="10" t="str">
        <f aca="false">INDEX(Canale!$C$2:$C$30,MATCH(C1441,Canale!$A$2:$A$30,0))</f>
        <v>bing</v>
      </c>
      <c r="F1441" s="10" t="str">
        <f aca="false">INDEX(Canale!$D$2:$D$30,MATCH(C1441,Canale!$A$2:$A$30,0))</f>
        <v>cpc</v>
      </c>
      <c r="G1441" s="10" t="str">
        <f aca="false">INDEX('Site-uri'!$C$2:$C$20,MATCH(A1441,'Site-uri'!$A$2:$A$20,0))</f>
        <v>/</v>
      </c>
      <c r="H1441" s="10" t="str">
        <f aca="false">Config!$B$3</f>
        <v>2610_ff_lansare</v>
      </c>
      <c r="I1441" s="10" t="str">
        <f aca="false">D1441&amp;"_"&amp;Config!$B$4</f>
        <v>client_general</v>
      </c>
      <c r="J1441" s="10" t="str">
        <f aca="false">"https://"&amp;B1441&amp;G1441&amp;"?utm_source="&amp;E1441&amp;"&amp;utm_medium="&amp;F1441&amp;"&amp;utm_campaign="&amp;H1441&amp;"&amp;utm_content="&amp;I1441</f>
        <v>https://1clic-ia.eu/?utm_source=bing&amp;utm_medium=cpc&amp;utm_campaign=2610_ff_lansare&amp;utm_content=client_general</v>
      </c>
    </row>
    <row r="1442" customFormat="false" ht="15" hidden="false" customHeight="false" outlineLevel="0" collapsed="false">
      <c r="A1442" s="10" t="s">
        <v>82</v>
      </c>
      <c r="B1442" s="10" t="str">
        <f aca="false">INDEX('Site-uri'!$B$2:$B$20,MATCH(A1442,'Site-uri'!$A$2:$A$20,0))</f>
        <v>1clic-ia.eu</v>
      </c>
      <c r="C1442" s="10" t="s">
        <v>149</v>
      </c>
      <c r="D1442" s="10" t="s">
        <v>219</v>
      </c>
      <c r="E1442" s="10" t="str">
        <f aca="false">INDEX(Canale!$C$2:$C$30,MATCH(C1442,Canale!$A$2:$A$30,0))</f>
        <v>facebook</v>
      </c>
      <c r="F1442" s="10" t="str">
        <f aca="false">INDEX(Canale!$D$2:$D$30,MATCH(C1442,Canale!$A$2:$A$30,0))</f>
        <v>social</v>
      </c>
      <c r="G1442" s="10" t="str">
        <f aca="false">INDEX('Site-uri'!$C$2:$C$20,MATCH(A1442,'Site-uri'!$A$2:$A$20,0))</f>
        <v>/</v>
      </c>
      <c r="H1442" s="10" t="str">
        <f aca="false">Config!$B$3</f>
        <v>2610_ff_lansare</v>
      </c>
      <c r="I1442" s="10" t="str">
        <f aca="false">D1442&amp;"_"&amp;Config!$B$4</f>
        <v>rece_general</v>
      </c>
      <c r="J1442" s="10" t="str">
        <f aca="false">"https://"&amp;B1442&amp;G1442&amp;"?utm_source="&amp;E1442&amp;"&amp;utm_medium="&amp;F1442&amp;"&amp;utm_campaign="&amp;H1442&amp;"&amp;utm_content="&amp;I1442</f>
        <v>https://1clic-ia.eu/?utm_source=facebook&amp;utm_medium=social&amp;utm_campaign=2610_ff_lansare&amp;utm_content=rece_general</v>
      </c>
    </row>
    <row r="1443" customFormat="false" ht="15" hidden="false" customHeight="false" outlineLevel="0" collapsed="false">
      <c r="A1443" s="10" t="s">
        <v>82</v>
      </c>
      <c r="B1443" s="10" t="str">
        <f aca="false">INDEX('Site-uri'!$B$2:$B$20,MATCH(A1443,'Site-uri'!$A$2:$A$20,0))</f>
        <v>1clic-ia.eu</v>
      </c>
      <c r="C1443" s="10" t="s">
        <v>149</v>
      </c>
      <c r="D1443" s="10" t="s">
        <v>225</v>
      </c>
      <c r="E1443" s="10" t="str">
        <f aca="false">INDEX(Canale!$C$2:$C$30,MATCH(C1443,Canale!$A$2:$A$30,0))</f>
        <v>facebook</v>
      </c>
      <c r="F1443" s="10" t="str">
        <f aca="false">INDEX(Canale!$D$2:$D$30,MATCH(C1443,Canale!$A$2:$A$30,0))</f>
        <v>social</v>
      </c>
      <c r="G1443" s="10" t="str">
        <f aca="false">INDEX('Site-uri'!$C$2:$C$20,MATCH(A1443,'Site-uri'!$A$2:$A$20,0))</f>
        <v>/</v>
      </c>
      <c r="H1443" s="10" t="str">
        <f aca="false">Config!$B$3</f>
        <v>2610_ff_lansare</v>
      </c>
      <c r="I1443" s="10" t="str">
        <f aca="false">D1443&amp;"_"&amp;Config!$B$4</f>
        <v>cald_general</v>
      </c>
      <c r="J1443" s="10" t="str">
        <f aca="false">"https://"&amp;B1443&amp;G1443&amp;"?utm_source="&amp;E1443&amp;"&amp;utm_medium="&amp;F1443&amp;"&amp;utm_campaign="&amp;H1443&amp;"&amp;utm_content="&amp;I1443</f>
        <v>https://1clic-ia.eu/?utm_source=facebook&amp;utm_medium=social&amp;utm_campaign=2610_ff_lansare&amp;utm_content=cald_general</v>
      </c>
    </row>
    <row r="1444" customFormat="false" ht="15" hidden="false" customHeight="false" outlineLevel="0" collapsed="false">
      <c r="A1444" s="10" t="s">
        <v>82</v>
      </c>
      <c r="B1444" s="10" t="str">
        <f aca="false">INDEX('Site-uri'!$B$2:$B$20,MATCH(A1444,'Site-uri'!$A$2:$A$20,0))</f>
        <v>1clic-ia.eu</v>
      </c>
      <c r="C1444" s="10" t="s">
        <v>149</v>
      </c>
      <c r="D1444" s="10" t="s">
        <v>231</v>
      </c>
      <c r="E1444" s="10" t="str">
        <f aca="false">INDEX(Canale!$C$2:$C$30,MATCH(C1444,Canale!$A$2:$A$30,0))</f>
        <v>facebook</v>
      </c>
      <c r="F1444" s="10" t="str">
        <f aca="false">INDEX(Canale!$D$2:$D$30,MATCH(C1444,Canale!$A$2:$A$30,0))</f>
        <v>social</v>
      </c>
      <c r="G1444" s="10" t="str">
        <f aca="false">INDEX('Site-uri'!$C$2:$C$20,MATCH(A1444,'Site-uri'!$A$2:$A$20,0))</f>
        <v>/</v>
      </c>
      <c r="H1444" s="10" t="str">
        <f aca="false">Config!$B$3</f>
        <v>2610_ff_lansare</v>
      </c>
      <c r="I1444" s="10" t="str">
        <f aca="false">D1444&amp;"_"&amp;Config!$B$4</f>
        <v>fierbinte_general</v>
      </c>
      <c r="J1444" s="10" t="str">
        <f aca="false">"https://"&amp;B1444&amp;G1444&amp;"?utm_source="&amp;E1444&amp;"&amp;utm_medium="&amp;F1444&amp;"&amp;utm_campaign="&amp;H1444&amp;"&amp;utm_content="&amp;I1444</f>
        <v>https://1clic-ia.eu/?utm_source=facebook&amp;utm_medium=social&amp;utm_campaign=2610_ff_lansare&amp;utm_content=fierbinte_general</v>
      </c>
    </row>
    <row r="1445" customFormat="false" ht="15" hidden="false" customHeight="false" outlineLevel="0" collapsed="false">
      <c r="A1445" s="10" t="s">
        <v>82</v>
      </c>
      <c r="B1445" s="10" t="str">
        <f aca="false">INDEX('Site-uri'!$B$2:$B$20,MATCH(A1445,'Site-uri'!$A$2:$A$20,0))</f>
        <v>1clic-ia.eu</v>
      </c>
      <c r="C1445" s="10" t="s">
        <v>149</v>
      </c>
      <c r="D1445" s="10" t="s">
        <v>237</v>
      </c>
      <c r="E1445" s="10" t="str">
        <f aca="false">INDEX(Canale!$C$2:$C$30,MATCH(C1445,Canale!$A$2:$A$30,0))</f>
        <v>facebook</v>
      </c>
      <c r="F1445" s="10" t="str">
        <f aca="false">INDEX(Canale!$D$2:$D$30,MATCH(C1445,Canale!$A$2:$A$30,0))</f>
        <v>social</v>
      </c>
      <c r="G1445" s="10" t="str">
        <f aca="false">INDEX('Site-uri'!$C$2:$C$20,MATCH(A1445,'Site-uri'!$A$2:$A$20,0))</f>
        <v>/</v>
      </c>
      <c r="H1445" s="10" t="str">
        <f aca="false">Config!$B$3</f>
        <v>2610_ff_lansare</v>
      </c>
      <c r="I1445" s="10" t="str">
        <f aca="false">D1445&amp;"_"&amp;Config!$B$4</f>
        <v>client_general</v>
      </c>
      <c r="J1445" s="10" t="str">
        <f aca="false">"https://"&amp;B1445&amp;G1445&amp;"?utm_source="&amp;E1445&amp;"&amp;utm_medium="&amp;F1445&amp;"&amp;utm_campaign="&amp;H1445&amp;"&amp;utm_content="&amp;I1445</f>
        <v>https://1clic-ia.eu/?utm_source=facebook&amp;utm_medium=social&amp;utm_campaign=2610_ff_lansare&amp;utm_content=client_general</v>
      </c>
    </row>
    <row r="1446" customFormat="false" ht="15" hidden="false" customHeight="false" outlineLevel="0" collapsed="false">
      <c r="A1446" s="10" t="s">
        <v>82</v>
      </c>
      <c r="B1446" s="10" t="str">
        <f aca="false">INDEX('Site-uri'!$B$2:$B$20,MATCH(A1446,'Site-uri'!$A$2:$A$20,0))</f>
        <v>1clic-ia.eu</v>
      </c>
      <c r="C1446" s="10" t="s">
        <v>153</v>
      </c>
      <c r="D1446" s="10" t="s">
        <v>219</v>
      </c>
      <c r="E1446" s="10" t="str">
        <f aca="false">INDEX(Canale!$C$2:$C$30,MATCH(C1446,Canale!$A$2:$A$30,0))</f>
        <v>x</v>
      </c>
      <c r="F1446" s="10" t="str">
        <f aca="false">INDEX(Canale!$D$2:$D$30,MATCH(C1446,Canale!$A$2:$A$30,0))</f>
        <v>social</v>
      </c>
      <c r="G1446" s="10" t="str">
        <f aca="false">INDEX('Site-uri'!$C$2:$C$20,MATCH(A1446,'Site-uri'!$A$2:$A$20,0))</f>
        <v>/</v>
      </c>
      <c r="H1446" s="10" t="str">
        <f aca="false">Config!$B$3</f>
        <v>2610_ff_lansare</v>
      </c>
      <c r="I1446" s="10" t="str">
        <f aca="false">D1446&amp;"_"&amp;Config!$B$4</f>
        <v>rece_general</v>
      </c>
      <c r="J1446" s="10" t="str">
        <f aca="false">"https://"&amp;B1446&amp;G1446&amp;"?utm_source="&amp;E1446&amp;"&amp;utm_medium="&amp;F1446&amp;"&amp;utm_campaign="&amp;H1446&amp;"&amp;utm_content="&amp;I1446</f>
        <v>https://1clic-ia.eu/?utm_source=x&amp;utm_medium=social&amp;utm_campaign=2610_ff_lansare&amp;utm_content=rece_general</v>
      </c>
    </row>
    <row r="1447" customFormat="false" ht="15" hidden="false" customHeight="false" outlineLevel="0" collapsed="false">
      <c r="A1447" s="10" t="s">
        <v>82</v>
      </c>
      <c r="B1447" s="10" t="str">
        <f aca="false">INDEX('Site-uri'!$B$2:$B$20,MATCH(A1447,'Site-uri'!$A$2:$A$20,0))</f>
        <v>1clic-ia.eu</v>
      </c>
      <c r="C1447" s="10" t="s">
        <v>153</v>
      </c>
      <c r="D1447" s="10" t="s">
        <v>225</v>
      </c>
      <c r="E1447" s="10" t="str">
        <f aca="false">INDEX(Canale!$C$2:$C$30,MATCH(C1447,Canale!$A$2:$A$30,0))</f>
        <v>x</v>
      </c>
      <c r="F1447" s="10" t="str">
        <f aca="false">INDEX(Canale!$D$2:$D$30,MATCH(C1447,Canale!$A$2:$A$30,0))</f>
        <v>social</v>
      </c>
      <c r="G1447" s="10" t="str">
        <f aca="false">INDEX('Site-uri'!$C$2:$C$20,MATCH(A1447,'Site-uri'!$A$2:$A$20,0))</f>
        <v>/</v>
      </c>
      <c r="H1447" s="10" t="str">
        <f aca="false">Config!$B$3</f>
        <v>2610_ff_lansare</v>
      </c>
      <c r="I1447" s="10" t="str">
        <f aca="false">D1447&amp;"_"&amp;Config!$B$4</f>
        <v>cald_general</v>
      </c>
      <c r="J1447" s="10" t="str">
        <f aca="false">"https://"&amp;B1447&amp;G1447&amp;"?utm_source="&amp;E1447&amp;"&amp;utm_medium="&amp;F1447&amp;"&amp;utm_campaign="&amp;H1447&amp;"&amp;utm_content="&amp;I1447</f>
        <v>https://1clic-ia.eu/?utm_source=x&amp;utm_medium=social&amp;utm_campaign=2610_ff_lansare&amp;utm_content=cald_general</v>
      </c>
    </row>
    <row r="1448" customFormat="false" ht="15" hidden="false" customHeight="false" outlineLevel="0" collapsed="false">
      <c r="A1448" s="10" t="s">
        <v>82</v>
      </c>
      <c r="B1448" s="10" t="str">
        <f aca="false">INDEX('Site-uri'!$B$2:$B$20,MATCH(A1448,'Site-uri'!$A$2:$A$20,0))</f>
        <v>1clic-ia.eu</v>
      </c>
      <c r="C1448" s="10" t="s">
        <v>153</v>
      </c>
      <c r="D1448" s="10" t="s">
        <v>231</v>
      </c>
      <c r="E1448" s="10" t="str">
        <f aca="false">INDEX(Canale!$C$2:$C$30,MATCH(C1448,Canale!$A$2:$A$30,0))</f>
        <v>x</v>
      </c>
      <c r="F1448" s="10" t="str">
        <f aca="false">INDEX(Canale!$D$2:$D$30,MATCH(C1448,Canale!$A$2:$A$30,0))</f>
        <v>social</v>
      </c>
      <c r="G1448" s="10" t="str">
        <f aca="false">INDEX('Site-uri'!$C$2:$C$20,MATCH(A1448,'Site-uri'!$A$2:$A$20,0))</f>
        <v>/</v>
      </c>
      <c r="H1448" s="10" t="str">
        <f aca="false">Config!$B$3</f>
        <v>2610_ff_lansare</v>
      </c>
      <c r="I1448" s="10" t="str">
        <f aca="false">D1448&amp;"_"&amp;Config!$B$4</f>
        <v>fierbinte_general</v>
      </c>
      <c r="J1448" s="10" t="str">
        <f aca="false">"https://"&amp;B1448&amp;G1448&amp;"?utm_source="&amp;E1448&amp;"&amp;utm_medium="&amp;F1448&amp;"&amp;utm_campaign="&amp;H1448&amp;"&amp;utm_content="&amp;I1448</f>
        <v>https://1clic-ia.eu/?utm_source=x&amp;utm_medium=social&amp;utm_campaign=2610_ff_lansare&amp;utm_content=fierbinte_general</v>
      </c>
    </row>
    <row r="1449" customFormat="false" ht="15" hidden="false" customHeight="false" outlineLevel="0" collapsed="false">
      <c r="A1449" s="10" t="s">
        <v>82</v>
      </c>
      <c r="B1449" s="10" t="str">
        <f aca="false">INDEX('Site-uri'!$B$2:$B$20,MATCH(A1449,'Site-uri'!$A$2:$A$20,0))</f>
        <v>1clic-ia.eu</v>
      </c>
      <c r="C1449" s="10" t="s">
        <v>153</v>
      </c>
      <c r="D1449" s="10" t="s">
        <v>237</v>
      </c>
      <c r="E1449" s="10" t="str">
        <f aca="false">INDEX(Canale!$C$2:$C$30,MATCH(C1449,Canale!$A$2:$A$30,0))</f>
        <v>x</v>
      </c>
      <c r="F1449" s="10" t="str">
        <f aca="false">INDEX(Canale!$D$2:$D$30,MATCH(C1449,Canale!$A$2:$A$30,0))</f>
        <v>social</v>
      </c>
      <c r="G1449" s="10" t="str">
        <f aca="false">INDEX('Site-uri'!$C$2:$C$20,MATCH(A1449,'Site-uri'!$A$2:$A$20,0))</f>
        <v>/</v>
      </c>
      <c r="H1449" s="10" t="str">
        <f aca="false">Config!$B$3</f>
        <v>2610_ff_lansare</v>
      </c>
      <c r="I1449" s="10" t="str">
        <f aca="false">D1449&amp;"_"&amp;Config!$B$4</f>
        <v>client_general</v>
      </c>
      <c r="J1449" s="10" t="str">
        <f aca="false">"https://"&amp;B1449&amp;G1449&amp;"?utm_source="&amp;E1449&amp;"&amp;utm_medium="&amp;F1449&amp;"&amp;utm_campaign="&amp;H1449&amp;"&amp;utm_content="&amp;I1449</f>
        <v>https://1clic-ia.eu/?utm_source=x&amp;utm_medium=social&amp;utm_campaign=2610_ff_lansare&amp;utm_content=client_general</v>
      </c>
    </row>
    <row r="1450" customFormat="false" ht="15" hidden="false" customHeight="false" outlineLevel="0" collapsed="false">
      <c r="A1450" s="10" t="s">
        <v>82</v>
      </c>
      <c r="B1450" s="10" t="str">
        <f aca="false">INDEX('Site-uri'!$B$2:$B$20,MATCH(A1450,'Site-uri'!$A$2:$A$20,0))</f>
        <v>1clic-ia.eu</v>
      </c>
      <c r="C1450" s="10" t="s">
        <v>155</v>
      </c>
      <c r="D1450" s="10" t="s">
        <v>219</v>
      </c>
      <c r="E1450" s="10" t="str">
        <f aca="false">INDEX(Canale!$C$2:$C$30,MATCH(C1450,Canale!$A$2:$A$30,0))</f>
        <v>youtube</v>
      </c>
      <c r="F1450" s="10" t="str">
        <f aca="false">INDEX(Canale!$D$2:$D$30,MATCH(C1450,Canale!$A$2:$A$30,0))</f>
        <v>video</v>
      </c>
      <c r="G1450" s="10" t="str">
        <f aca="false">INDEX('Site-uri'!$C$2:$C$20,MATCH(A1450,'Site-uri'!$A$2:$A$20,0))</f>
        <v>/</v>
      </c>
      <c r="H1450" s="10" t="str">
        <f aca="false">Config!$B$3</f>
        <v>2610_ff_lansare</v>
      </c>
      <c r="I1450" s="10" t="str">
        <f aca="false">D1450&amp;"_"&amp;Config!$B$4</f>
        <v>rece_general</v>
      </c>
      <c r="J1450" s="10" t="str">
        <f aca="false">"https://"&amp;B1450&amp;G1450&amp;"?utm_source="&amp;E1450&amp;"&amp;utm_medium="&amp;F1450&amp;"&amp;utm_campaign="&amp;H1450&amp;"&amp;utm_content="&amp;I1450</f>
        <v>https://1clic-ia.eu/?utm_source=youtube&amp;utm_medium=video&amp;utm_campaign=2610_ff_lansare&amp;utm_content=rece_general</v>
      </c>
    </row>
    <row r="1451" customFormat="false" ht="15" hidden="false" customHeight="false" outlineLevel="0" collapsed="false">
      <c r="A1451" s="10" t="s">
        <v>82</v>
      </c>
      <c r="B1451" s="10" t="str">
        <f aca="false">INDEX('Site-uri'!$B$2:$B$20,MATCH(A1451,'Site-uri'!$A$2:$A$20,0))</f>
        <v>1clic-ia.eu</v>
      </c>
      <c r="C1451" s="10" t="s">
        <v>155</v>
      </c>
      <c r="D1451" s="10" t="s">
        <v>225</v>
      </c>
      <c r="E1451" s="10" t="str">
        <f aca="false">INDEX(Canale!$C$2:$C$30,MATCH(C1451,Canale!$A$2:$A$30,0))</f>
        <v>youtube</v>
      </c>
      <c r="F1451" s="10" t="str">
        <f aca="false">INDEX(Canale!$D$2:$D$30,MATCH(C1451,Canale!$A$2:$A$30,0))</f>
        <v>video</v>
      </c>
      <c r="G1451" s="10" t="str">
        <f aca="false">INDEX('Site-uri'!$C$2:$C$20,MATCH(A1451,'Site-uri'!$A$2:$A$20,0))</f>
        <v>/</v>
      </c>
      <c r="H1451" s="10" t="str">
        <f aca="false">Config!$B$3</f>
        <v>2610_ff_lansare</v>
      </c>
      <c r="I1451" s="10" t="str">
        <f aca="false">D1451&amp;"_"&amp;Config!$B$4</f>
        <v>cald_general</v>
      </c>
      <c r="J1451" s="10" t="str">
        <f aca="false">"https://"&amp;B1451&amp;G1451&amp;"?utm_source="&amp;E1451&amp;"&amp;utm_medium="&amp;F1451&amp;"&amp;utm_campaign="&amp;H1451&amp;"&amp;utm_content="&amp;I1451</f>
        <v>https://1clic-ia.eu/?utm_source=youtube&amp;utm_medium=video&amp;utm_campaign=2610_ff_lansare&amp;utm_content=cald_general</v>
      </c>
    </row>
    <row r="1452" customFormat="false" ht="15" hidden="false" customHeight="false" outlineLevel="0" collapsed="false">
      <c r="A1452" s="10" t="s">
        <v>82</v>
      </c>
      <c r="B1452" s="10" t="str">
        <f aca="false">INDEX('Site-uri'!$B$2:$B$20,MATCH(A1452,'Site-uri'!$A$2:$A$20,0))</f>
        <v>1clic-ia.eu</v>
      </c>
      <c r="C1452" s="10" t="s">
        <v>155</v>
      </c>
      <c r="D1452" s="10" t="s">
        <v>231</v>
      </c>
      <c r="E1452" s="10" t="str">
        <f aca="false">INDEX(Canale!$C$2:$C$30,MATCH(C1452,Canale!$A$2:$A$30,0))</f>
        <v>youtube</v>
      </c>
      <c r="F1452" s="10" t="str">
        <f aca="false">INDEX(Canale!$D$2:$D$30,MATCH(C1452,Canale!$A$2:$A$30,0))</f>
        <v>video</v>
      </c>
      <c r="G1452" s="10" t="str">
        <f aca="false">INDEX('Site-uri'!$C$2:$C$20,MATCH(A1452,'Site-uri'!$A$2:$A$20,0))</f>
        <v>/</v>
      </c>
      <c r="H1452" s="10" t="str">
        <f aca="false">Config!$B$3</f>
        <v>2610_ff_lansare</v>
      </c>
      <c r="I1452" s="10" t="str">
        <f aca="false">D1452&amp;"_"&amp;Config!$B$4</f>
        <v>fierbinte_general</v>
      </c>
      <c r="J1452" s="10" t="str">
        <f aca="false">"https://"&amp;B1452&amp;G1452&amp;"?utm_source="&amp;E1452&amp;"&amp;utm_medium="&amp;F1452&amp;"&amp;utm_campaign="&amp;H1452&amp;"&amp;utm_content="&amp;I1452</f>
        <v>https://1clic-ia.eu/?utm_source=youtube&amp;utm_medium=video&amp;utm_campaign=2610_ff_lansare&amp;utm_content=fierbinte_general</v>
      </c>
    </row>
    <row r="1453" customFormat="false" ht="15" hidden="false" customHeight="false" outlineLevel="0" collapsed="false">
      <c r="A1453" s="10" t="s">
        <v>82</v>
      </c>
      <c r="B1453" s="10" t="str">
        <f aca="false">INDEX('Site-uri'!$B$2:$B$20,MATCH(A1453,'Site-uri'!$A$2:$A$20,0))</f>
        <v>1clic-ia.eu</v>
      </c>
      <c r="C1453" s="10" t="s">
        <v>155</v>
      </c>
      <c r="D1453" s="10" t="s">
        <v>237</v>
      </c>
      <c r="E1453" s="10" t="str">
        <f aca="false">INDEX(Canale!$C$2:$C$30,MATCH(C1453,Canale!$A$2:$A$30,0))</f>
        <v>youtube</v>
      </c>
      <c r="F1453" s="10" t="str">
        <f aca="false">INDEX(Canale!$D$2:$D$30,MATCH(C1453,Canale!$A$2:$A$30,0))</f>
        <v>video</v>
      </c>
      <c r="G1453" s="10" t="str">
        <f aca="false">INDEX('Site-uri'!$C$2:$C$20,MATCH(A1453,'Site-uri'!$A$2:$A$20,0))</f>
        <v>/</v>
      </c>
      <c r="H1453" s="10" t="str">
        <f aca="false">Config!$B$3</f>
        <v>2610_ff_lansare</v>
      </c>
      <c r="I1453" s="10" t="str">
        <f aca="false">D1453&amp;"_"&amp;Config!$B$4</f>
        <v>client_general</v>
      </c>
      <c r="J1453" s="10" t="str">
        <f aca="false">"https://"&amp;B1453&amp;G1453&amp;"?utm_source="&amp;E1453&amp;"&amp;utm_medium="&amp;F1453&amp;"&amp;utm_campaign="&amp;H1453&amp;"&amp;utm_content="&amp;I1453</f>
        <v>https://1clic-ia.eu/?utm_source=youtube&amp;utm_medium=video&amp;utm_campaign=2610_ff_lansare&amp;utm_content=client_general</v>
      </c>
    </row>
    <row r="1454" customFormat="false" ht="15" hidden="false" customHeight="false" outlineLevel="0" collapsed="false">
      <c r="A1454" s="10" t="s">
        <v>82</v>
      </c>
      <c r="B1454" s="10" t="str">
        <f aca="false">INDEX('Site-uri'!$B$2:$B$20,MATCH(A1454,'Site-uri'!$A$2:$A$20,0))</f>
        <v>1clic-ia.eu</v>
      </c>
      <c r="C1454" s="10" t="s">
        <v>160</v>
      </c>
      <c r="D1454" s="10" t="s">
        <v>219</v>
      </c>
      <c r="E1454" s="10" t="str">
        <f aca="false">INDEX(Canale!$C$2:$C$30,MATCH(C1454,Canale!$A$2:$A$30,0))</f>
        <v>medium</v>
      </c>
      <c r="F1454" s="10" t="str">
        <f aca="false">INDEX(Canale!$D$2:$D$30,MATCH(C1454,Canale!$A$2:$A$30,0))</f>
        <v>content</v>
      </c>
      <c r="G1454" s="10" t="str">
        <f aca="false">INDEX('Site-uri'!$C$2:$C$20,MATCH(A1454,'Site-uri'!$A$2:$A$20,0))</f>
        <v>/</v>
      </c>
      <c r="H1454" s="10" t="str">
        <f aca="false">Config!$B$3</f>
        <v>2610_ff_lansare</v>
      </c>
      <c r="I1454" s="10" t="str">
        <f aca="false">D1454&amp;"_"&amp;Config!$B$4</f>
        <v>rece_general</v>
      </c>
      <c r="J1454" s="10" t="str">
        <f aca="false">"https://"&amp;B1454&amp;G1454&amp;"?utm_source="&amp;E1454&amp;"&amp;utm_medium="&amp;F1454&amp;"&amp;utm_campaign="&amp;H1454&amp;"&amp;utm_content="&amp;I1454</f>
        <v>https://1clic-ia.eu/?utm_source=medium&amp;utm_medium=content&amp;utm_campaign=2610_ff_lansare&amp;utm_content=rece_general</v>
      </c>
    </row>
    <row r="1455" customFormat="false" ht="15" hidden="false" customHeight="false" outlineLevel="0" collapsed="false">
      <c r="A1455" s="10" t="s">
        <v>82</v>
      </c>
      <c r="B1455" s="10" t="str">
        <f aca="false">INDEX('Site-uri'!$B$2:$B$20,MATCH(A1455,'Site-uri'!$A$2:$A$20,0))</f>
        <v>1clic-ia.eu</v>
      </c>
      <c r="C1455" s="10" t="s">
        <v>160</v>
      </c>
      <c r="D1455" s="10" t="s">
        <v>225</v>
      </c>
      <c r="E1455" s="10" t="str">
        <f aca="false">INDEX(Canale!$C$2:$C$30,MATCH(C1455,Canale!$A$2:$A$30,0))</f>
        <v>medium</v>
      </c>
      <c r="F1455" s="10" t="str">
        <f aca="false">INDEX(Canale!$D$2:$D$30,MATCH(C1455,Canale!$A$2:$A$30,0))</f>
        <v>content</v>
      </c>
      <c r="G1455" s="10" t="str">
        <f aca="false">INDEX('Site-uri'!$C$2:$C$20,MATCH(A1455,'Site-uri'!$A$2:$A$20,0))</f>
        <v>/</v>
      </c>
      <c r="H1455" s="10" t="str">
        <f aca="false">Config!$B$3</f>
        <v>2610_ff_lansare</v>
      </c>
      <c r="I1455" s="10" t="str">
        <f aca="false">D1455&amp;"_"&amp;Config!$B$4</f>
        <v>cald_general</v>
      </c>
      <c r="J1455" s="10" t="str">
        <f aca="false">"https://"&amp;B1455&amp;G1455&amp;"?utm_source="&amp;E1455&amp;"&amp;utm_medium="&amp;F1455&amp;"&amp;utm_campaign="&amp;H1455&amp;"&amp;utm_content="&amp;I1455</f>
        <v>https://1clic-ia.eu/?utm_source=medium&amp;utm_medium=content&amp;utm_campaign=2610_ff_lansare&amp;utm_content=cald_general</v>
      </c>
    </row>
    <row r="1456" customFormat="false" ht="15" hidden="false" customHeight="false" outlineLevel="0" collapsed="false">
      <c r="A1456" s="10" t="s">
        <v>82</v>
      </c>
      <c r="B1456" s="10" t="str">
        <f aca="false">INDEX('Site-uri'!$B$2:$B$20,MATCH(A1456,'Site-uri'!$A$2:$A$20,0))</f>
        <v>1clic-ia.eu</v>
      </c>
      <c r="C1456" s="10" t="s">
        <v>160</v>
      </c>
      <c r="D1456" s="10" t="s">
        <v>231</v>
      </c>
      <c r="E1456" s="10" t="str">
        <f aca="false">INDEX(Canale!$C$2:$C$30,MATCH(C1456,Canale!$A$2:$A$30,0))</f>
        <v>medium</v>
      </c>
      <c r="F1456" s="10" t="str">
        <f aca="false">INDEX(Canale!$D$2:$D$30,MATCH(C1456,Canale!$A$2:$A$30,0))</f>
        <v>content</v>
      </c>
      <c r="G1456" s="10" t="str">
        <f aca="false">INDEX('Site-uri'!$C$2:$C$20,MATCH(A1456,'Site-uri'!$A$2:$A$20,0))</f>
        <v>/</v>
      </c>
      <c r="H1456" s="10" t="str">
        <f aca="false">Config!$B$3</f>
        <v>2610_ff_lansare</v>
      </c>
      <c r="I1456" s="10" t="str">
        <f aca="false">D1456&amp;"_"&amp;Config!$B$4</f>
        <v>fierbinte_general</v>
      </c>
      <c r="J1456" s="10" t="str">
        <f aca="false">"https://"&amp;B1456&amp;G1456&amp;"?utm_source="&amp;E1456&amp;"&amp;utm_medium="&amp;F1456&amp;"&amp;utm_campaign="&amp;H1456&amp;"&amp;utm_content="&amp;I1456</f>
        <v>https://1clic-ia.eu/?utm_source=medium&amp;utm_medium=content&amp;utm_campaign=2610_ff_lansare&amp;utm_content=fierbinte_general</v>
      </c>
    </row>
    <row r="1457" customFormat="false" ht="15" hidden="false" customHeight="false" outlineLevel="0" collapsed="false">
      <c r="A1457" s="10" t="s">
        <v>82</v>
      </c>
      <c r="B1457" s="10" t="str">
        <f aca="false">INDEX('Site-uri'!$B$2:$B$20,MATCH(A1457,'Site-uri'!$A$2:$A$20,0))</f>
        <v>1clic-ia.eu</v>
      </c>
      <c r="C1457" s="10" t="s">
        <v>160</v>
      </c>
      <c r="D1457" s="10" t="s">
        <v>237</v>
      </c>
      <c r="E1457" s="10" t="str">
        <f aca="false">INDEX(Canale!$C$2:$C$30,MATCH(C1457,Canale!$A$2:$A$30,0))</f>
        <v>medium</v>
      </c>
      <c r="F1457" s="10" t="str">
        <f aca="false">INDEX(Canale!$D$2:$D$30,MATCH(C1457,Canale!$A$2:$A$30,0))</f>
        <v>content</v>
      </c>
      <c r="G1457" s="10" t="str">
        <f aca="false">INDEX('Site-uri'!$C$2:$C$20,MATCH(A1457,'Site-uri'!$A$2:$A$20,0))</f>
        <v>/</v>
      </c>
      <c r="H1457" s="10" t="str">
        <f aca="false">Config!$B$3</f>
        <v>2610_ff_lansare</v>
      </c>
      <c r="I1457" s="10" t="str">
        <f aca="false">D1457&amp;"_"&amp;Config!$B$4</f>
        <v>client_general</v>
      </c>
      <c r="J1457" s="10" t="str">
        <f aca="false">"https://"&amp;B1457&amp;G1457&amp;"?utm_source="&amp;E1457&amp;"&amp;utm_medium="&amp;F1457&amp;"&amp;utm_campaign="&amp;H1457&amp;"&amp;utm_content="&amp;I1457</f>
        <v>https://1clic-ia.eu/?utm_source=medium&amp;utm_medium=content&amp;utm_campaign=2610_ff_lansare&amp;utm_content=client_general</v>
      </c>
    </row>
    <row r="1458" customFormat="false" ht="15" hidden="false" customHeight="false" outlineLevel="0" collapsed="false">
      <c r="A1458" s="10" t="s">
        <v>82</v>
      </c>
      <c r="B1458" s="10" t="str">
        <f aca="false">INDEX('Site-uri'!$B$2:$B$20,MATCH(A1458,'Site-uri'!$A$2:$A$20,0))</f>
        <v>1clic-ia.eu</v>
      </c>
      <c r="C1458" s="10" t="s">
        <v>165</v>
      </c>
      <c r="D1458" s="10" t="s">
        <v>219</v>
      </c>
      <c r="E1458" s="10" t="str">
        <f aca="false">INDEX(Canale!$C$2:$C$30,MATCH(C1458,Canale!$A$2:$A$30,0))</f>
        <v>crunchbase</v>
      </c>
      <c r="F1458" s="10" t="str">
        <f aca="false">INDEX(Canale!$D$2:$D$30,MATCH(C1458,Canale!$A$2:$A$30,0))</f>
        <v>referral</v>
      </c>
      <c r="G1458" s="10" t="str">
        <f aca="false">INDEX('Site-uri'!$C$2:$C$20,MATCH(A1458,'Site-uri'!$A$2:$A$20,0))</f>
        <v>/</v>
      </c>
      <c r="H1458" s="10" t="str">
        <f aca="false">Config!$B$3</f>
        <v>2610_ff_lansare</v>
      </c>
      <c r="I1458" s="10" t="str">
        <f aca="false">D1458&amp;"_"&amp;Config!$B$4</f>
        <v>rece_general</v>
      </c>
      <c r="J1458" s="10" t="str">
        <f aca="false">"https://"&amp;B1458&amp;G1458&amp;"?utm_source="&amp;E1458&amp;"&amp;utm_medium="&amp;F1458&amp;"&amp;utm_campaign="&amp;H1458&amp;"&amp;utm_content="&amp;I1458</f>
        <v>https://1clic-ia.eu/?utm_source=crunchbase&amp;utm_medium=referral&amp;utm_campaign=2610_ff_lansare&amp;utm_content=rece_general</v>
      </c>
    </row>
    <row r="1459" customFormat="false" ht="15" hidden="false" customHeight="false" outlineLevel="0" collapsed="false">
      <c r="A1459" s="10" t="s">
        <v>82</v>
      </c>
      <c r="B1459" s="10" t="str">
        <f aca="false">INDEX('Site-uri'!$B$2:$B$20,MATCH(A1459,'Site-uri'!$A$2:$A$20,0))</f>
        <v>1clic-ia.eu</v>
      </c>
      <c r="C1459" s="10" t="s">
        <v>165</v>
      </c>
      <c r="D1459" s="10" t="s">
        <v>225</v>
      </c>
      <c r="E1459" s="10" t="str">
        <f aca="false">INDEX(Canale!$C$2:$C$30,MATCH(C1459,Canale!$A$2:$A$30,0))</f>
        <v>crunchbase</v>
      </c>
      <c r="F1459" s="10" t="str">
        <f aca="false">INDEX(Canale!$D$2:$D$30,MATCH(C1459,Canale!$A$2:$A$30,0))</f>
        <v>referral</v>
      </c>
      <c r="G1459" s="10" t="str">
        <f aca="false">INDEX('Site-uri'!$C$2:$C$20,MATCH(A1459,'Site-uri'!$A$2:$A$20,0))</f>
        <v>/</v>
      </c>
      <c r="H1459" s="10" t="str">
        <f aca="false">Config!$B$3</f>
        <v>2610_ff_lansare</v>
      </c>
      <c r="I1459" s="10" t="str">
        <f aca="false">D1459&amp;"_"&amp;Config!$B$4</f>
        <v>cald_general</v>
      </c>
      <c r="J1459" s="10" t="str">
        <f aca="false">"https://"&amp;B1459&amp;G1459&amp;"?utm_source="&amp;E1459&amp;"&amp;utm_medium="&amp;F1459&amp;"&amp;utm_campaign="&amp;H1459&amp;"&amp;utm_content="&amp;I1459</f>
        <v>https://1clic-ia.eu/?utm_source=crunchbase&amp;utm_medium=referral&amp;utm_campaign=2610_ff_lansare&amp;utm_content=cald_general</v>
      </c>
    </row>
    <row r="1460" customFormat="false" ht="15" hidden="false" customHeight="false" outlineLevel="0" collapsed="false">
      <c r="A1460" s="10" t="s">
        <v>82</v>
      </c>
      <c r="B1460" s="10" t="str">
        <f aca="false">INDEX('Site-uri'!$B$2:$B$20,MATCH(A1460,'Site-uri'!$A$2:$A$20,0))</f>
        <v>1clic-ia.eu</v>
      </c>
      <c r="C1460" s="10" t="s">
        <v>165</v>
      </c>
      <c r="D1460" s="10" t="s">
        <v>231</v>
      </c>
      <c r="E1460" s="10" t="str">
        <f aca="false">INDEX(Canale!$C$2:$C$30,MATCH(C1460,Canale!$A$2:$A$30,0))</f>
        <v>crunchbase</v>
      </c>
      <c r="F1460" s="10" t="str">
        <f aca="false">INDEX(Canale!$D$2:$D$30,MATCH(C1460,Canale!$A$2:$A$30,0))</f>
        <v>referral</v>
      </c>
      <c r="G1460" s="10" t="str">
        <f aca="false">INDEX('Site-uri'!$C$2:$C$20,MATCH(A1460,'Site-uri'!$A$2:$A$20,0))</f>
        <v>/</v>
      </c>
      <c r="H1460" s="10" t="str">
        <f aca="false">Config!$B$3</f>
        <v>2610_ff_lansare</v>
      </c>
      <c r="I1460" s="10" t="str">
        <f aca="false">D1460&amp;"_"&amp;Config!$B$4</f>
        <v>fierbinte_general</v>
      </c>
      <c r="J1460" s="10" t="str">
        <f aca="false">"https://"&amp;B1460&amp;G1460&amp;"?utm_source="&amp;E1460&amp;"&amp;utm_medium="&amp;F1460&amp;"&amp;utm_campaign="&amp;H1460&amp;"&amp;utm_content="&amp;I1460</f>
        <v>https://1clic-ia.eu/?utm_source=crunchbase&amp;utm_medium=referral&amp;utm_campaign=2610_ff_lansare&amp;utm_content=fierbinte_general</v>
      </c>
    </row>
    <row r="1461" customFormat="false" ht="15" hidden="false" customHeight="false" outlineLevel="0" collapsed="false">
      <c r="A1461" s="10" t="s">
        <v>82</v>
      </c>
      <c r="B1461" s="10" t="str">
        <f aca="false">INDEX('Site-uri'!$B$2:$B$20,MATCH(A1461,'Site-uri'!$A$2:$A$20,0))</f>
        <v>1clic-ia.eu</v>
      </c>
      <c r="C1461" s="10" t="s">
        <v>165</v>
      </c>
      <c r="D1461" s="10" t="s">
        <v>237</v>
      </c>
      <c r="E1461" s="10" t="str">
        <f aca="false">INDEX(Canale!$C$2:$C$30,MATCH(C1461,Canale!$A$2:$A$30,0))</f>
        <v>crunchbase</v>
      </c>
      <c r="F1461" s="10" t="str">
        <f aca="false">INDEX(Canale!$D$2:$D$30,MATCH(C1461,Canale!$A$2:$A$30,0))</f>
        <v>referral</v>
      </c>
      <c r="G1461" s="10" t="str">
        <f aca="false">INDEX('Site-uri'!$C$2:$C$20,MATCH(A1461,'Site-uri'!$A$2:$A$20,0))</f>
        <v>/</v>
      </c>
      <c r="H1461" s="10" t="str">
        <f aca="false">Config!$B$3</f>
        <v>2610_ff_lansare</v>
      </c>
      <c r="I1461" s="10" t="str">
        <f aca="false">D1461&amp;"_"&amp;Config!$B$4</f>
        <v>client_general</v>
      </c>
      <c r="J1461" s="10" t="str">
        <f aca="false">"https://"&amp;B1461&amp;G1461&amp;"?utm_source="&amp;E1461&amp;"&amp;utm_medium="&amp;F1461&amp;"&amp;utm_campaign="&amp;H1461&amp;"&amp;utm_content="&amp;I1461</f>
        <v>https://1clic-ia.eu/?utm_source=crunchbase&amp;utm_medium=referral&amp;utm_campaign=2610_ff_lansare&amp;utm_content=client_general</v>
      </c>
    </row>
    <row r="1462" customFormat="false" ht="15" hidden="false" customHeight="false" outlineLevel="0" collapsed="false">
      <c r="A1462" s="10" t="s">
        <v>82</v>
      </c>
      <c r="B1462" s="10" t="str">
        <f aca="false">INDEX('Site-uri'!$B$2:$B$20,MATCH(A1462,'Site-uri'!$A$2:$A$20,0))</f>
        <v>1clic-ia.eu</v>
      </c>
      <c r="C1462" s="10" t="s">
        <v>170</v>
      </c>
      <c r="D1462" s="10" t="s">
        <v>219</v>
      </c>
      <c r="E1462" s="10" t="str">
        <f aca="false">INDEX(Canale!$C$2:$C$30,MATCH(C1462,Canale!$A$2:$A$30,0))</f>
        <v>zenodo</v>
      </c>
      <c r="F1462" s="10" t="str">
        <f aca="false">INDEX(Canale!$D$2:$D$30,MATCH(C1462,Canale!$A$2:$A$30,0))</f>
        <v>referral</v>
      </c>
      <c r="G1462" s="10" t="str">
        <f aca="false">INDEX('Site-uri'!$C$2:$C$20,MATCH(A1462,'Site-uri'!$A$2:$A$20,0))</f>
        <v>/</v>
      </c>
      <c r="H1462" s="10" t="str">
        <f aca="false">Config!$B$3</f>
        <v>2610_ff_lansare</v>
      </c>
      <c r="I1462" s="10" t="str">
        <f aca="false">D1462&amp;"_"&amp;Config!$B$4</f>
        <v>rece_general</v>
      </c>
      <c r="J1462" s="10" t="str">
        <f aca="false">"https://"&amp;B1462&amp;G1462&amp;"?utm_source="&amp;E1462&amp;"&amp;utm_medium="&amp;F1462&amp;"&amp;utm_campaign="&amp;H1462&amp;"&amp;utm_content="&amp;I1462</f>
        <v>https://1clic-ia.eu/?utm_source=zenodo&amp;utm_medium=referral&amp;utm_campaign=2610_ff_lansare&amp;utm_content=rece_general</v>
      </c>
    </row>
    <row r="1463" customFormat="false" ht="15" hidden="false" customHeight="false" outlineLevel="0" collapsed="false">
      <c r="A1463" s="10" t="s">
        <v>82</v>
      </c>
      <c r="B1463" s="10" t="str">
        <f aca="false">INDEX('Site-uri'!$B$2:$B$20,MATCH(A1463,'Site-uri'!$A$2:$A$20,0))</f>
        <v>1clic-ia.eu</v>
      </c>
      <c r="C1463" s="10" t="s">
        <v>170</v>
      </c>
      <c r="D1463" s="10" t="s">
        <v>225</v>
      </c>
      <c r="E1463" s="10" t="str">
        <f aca="false">INDEX(Canale!$C$2:$C$30,MATCH(C1463,Canale!$A$2:$A$30,0))</f>
        <v>zenodo</v>
      </c>
      <c r="F1463" s="10" t="str">
        <f aca="false">INDEX(Canale!$D$2:$D$30,MATCH(C1463,Canale!$A$2:$A$30,0))</f>
        <v>referral</v>
      </c>
      <c r="G1463" s="10" t="str">
        <f aca="false">INDEX('Site-uri'!$C$2:$C$20,MATCH(A1463,'Site-uri'!$A$2:$A$20,0))</f>
        <v>/</v>
      </c>
      <c r="H1463" s="10" t="str">
        <f aca="false">Config!$B$3</f>
        <v>2610_ff_lansare</v>
      </c>
      <c r="I1463" s="10" t="str">
        <f aca="false">D1463&amp;"_"&amp;Config!$B$4</f>
        <v>cald_general</v>
      </c>
      <c r="J1463" s="10" t="str">
        <f aca="false">"https://"&amp;B1463&amp;G1463&amp;"?utm_source="&amp;E1463&amp;"&amp;utm_medium="&amp;F1463&amp;"&amp;utm_campaign="&amp;H1463&amp;"&amp;utm_content="&amp;I1463</f>
        <v>https://1clic-ia.eu/?utm_source=zenodo&amp;utm_medium=referral&amp;utm_campaign=2610_ff_lansare&amp;utm_content=cald_general</v>
      </c>
    </row>
    <row r="1464" customFormat="false" ht="15" hidden="false" customHeight="false" outlineLevel="0" collapsed="false">
      <c r="A1464" s="10" t="s">
        <v>82</v>
      </c>
      <c r="B1464" s="10" t="str">
        <f aca="false">INDEX('Site-uri'!$B$2:$B$20,MATCH(A1464,'Site-uri'!$A$2:$A$20,0))</f>
        <v>1clic-ia.eu</v>
      </c>
      <c r="C1464" s="10" t="s">
        <v>170</v>
      </c>
      <c r="D1464" s="10" t="s">
        <v>231</v>
      </c>
      <c r="E1464" s="10" t="str">
        <f aca="false">INDEX(Canale!$C$2:$C$30,MATCH(C1464,Canale!$A$2:$A$30,0))</f>
        <v>zenodo</v>
      </c>
      <c r="F1464" s="10" t="str">
        <f aca="false">INDEX(Canale!$D$2:$D$30,MATCH(C1464,Canale!$A$2:$A$30,0))</f>
        <v>referral</v>
      </c>
      <c r="G1464" s="10" t="str">
        <f aca="false">INDEX('Site-uri'!$C$2:$C$20,MATCH(A1464,'Site-uri'!$A$2:$A$20,0))</f>
        <v>/</v>
      </c>
      <c r="H1464" s="10" t="str">
        <f aca="false">Config!$B$3</f>
        <v>2610_ff_lansare</v>
      </c>
      <c r="I1464" s="10" t="str">
        <f aca="false">D1464&amp;"_"&amp;Config!$B$4</f>
        <v>fierbinte_general</v>
      </c>
      <c r="J1464" s="10" t="str">
        <f aca="false">"https://"&amp;B1464&amp;G1464&amp;"?utm_source="&amp;E1464&amp;"&amp;utm_medium="&amp;F1464&amp;"&amp;utm_campaign="&amp;H1464&amp;"&amp;utm_content="&amp;I1464</f>
        <v>https://1clic-ia.eu/?utm_source=zenodo&amp;utm_medium=referral&amp;utm_campaign=2610_ff_lansare&amp;utm_content=fierbinte_general</v>
      </c>
    </row>
    <row r="1465" customFormat="false" ht="15" hidden="false" customHeight="false" outlineLevel="0" collapsed="false">
      <c r="A1465" s="10" t="s">
        <v>82</v>
      </c>
      <c r="B1465" s="10" t="str">
        <f aca="false">INDEX('Site-uri'!$B$2:$B$20,MATCH(A1465,'Site-uri'!$A$2:$A$20,0))</f>
        <v>1clic-ia.eu</v>
      </c>
      <c r="C1465" s="10" t="s">
        <v>170</v>
      </c>
      <c r="D1465" s="10" t="s">
        <v>237</v>
      </c>
      <c r="E1465" s="10" t="str">
        <f aca="false">INDEX(Canale!$C$2:$C$30,MATCH(C1465,Canale!$A$2:$A$30,0))</f>
        <v>zenodo</v>
      </c>
      <c r="F1465" s="10" t="str">
        <f aca="false">INDEX(Canale!$D$2:$D$30,MATCH(C1465,Canale!$A$2:$A$30,0))</f>
        <v>referral</v>
      </c>
      <c r="G1465" s="10" t="str">
        <f aca="false">INDEX('Site-uri'!$C$2:$C$20,MATCH(A1465,'Site-uri'!$A$2:$A$20,0))</f>
        <v>/</v>
      </c>
      <c r="H1465" s="10" t="str">
        <f aca="false">Config!$B$3</f>
        <v>2610_ff_lansare</v>
      </c>
      <c r="I1465" s="10" t="str">
        <f aca="false">D1465&amp;"_"&amp;Config!$B$4</f>
        <v>client_general</v>
      </c>
      <c r="J1465" s="10" t="str">
        <f aca="false">"https://"&amp;B1465&amp;G1465&amp;"?utm_source="&amp;E1465&amp;"&amp;utm_medium="&amp;F1465&amp;"&amp;utm_campaign="&amp;H1465&amp;"&amp;utm_content="&amp;I1465</f>
        <v>https://1clic-ia.eu/?utm_source=zenodo&amp;utm_medium=referral&amp;utm_campaign=2610_ff_lansare&amp;utm_content=client_general</v>
      </c>
    </row>
    <row r="1466" customFormat="false" ht="15" hidden="false" customHeight="false" outlineLevel="0" collapsed="false">
      <c r="A1466" s="10" t="s">
        <v>82</v>
      </c>
      <c r="B1466" s="10" t="str">
        <f aca="false">INDEX('Site-uri'!$B$2:$B$20,MATCH(A1466,'Site-uri'!$A$2:$A$20,0))</f>
        <v>1clic-ia.eu</v>
      </c>
      <c r="C1466" s="10" t="s">
        <v>173</v>
      </c>
      <c r="D1466" s="10" t="s">
        <v>219</v>
      </c>
      <c r="E1466" s="10" t="str">
        <f aca="false">INDEX(Canale!$C$2:$C$30,MATCH(C1466,Canale!$A$2:$A$30,0))</f>
        <v>orcid</v>
      </c>
      <c r="F1466" s="10" t="str">
        <f aca="false">INDEX(Canale!$D$2:$D$30,MATCH(C1466,Canale!$A$2:$A$30,0))</f>
        <v>referral</v>
      </c>
      <c r="G1466" s="10" t="str">
        <f aca="false">INDEX('Site-uri'!$C$2:$C$20,MATCH(A1466,'Site-uri'!$A$2:$A$20,0))</f>
        <v>/</v>
      </c>
      <c r="H1466" s="10" t="str">
        <f aca="false">Config!$B$3</f>
        <v>2610_ff_lansare</v>
      </c>
      <c r="I1466" s="10" t="str">
        <f aca="false">D1466&amp;"_"&amp;Config!$B$4</f>
        <v>rece_general</v>
      </c>
      <c r="J1466" s="10" t="str">
        <f aca="false">"https://"&amp;B1466&amp;G1466&amp;"?utm_source="&amp;E1466&amp;"&amp;utm_medium="&amp;F1466&amp;"&amp;utm_campaign="&amp;H1466&amp;"&amp;utm_content="&amp;I1466</f>
        <v>https://1clic-ia.eu/?utm_source=orcid&amp;utm_medium=referral&amp;utm_campaign=2610_ff_lansare&amp;utm_content=rece_general</v>
      </c>
    </row>
    <row r="1467" customFormat="false" ht="15" hidden="false" customHeight="false" outlineLevel="0" collapsed="false">
      <c r="A1467" s="10" t="s">
        <v>82</v>
      </c>
      <c r="B1467" s="10" t="str">
        <f aca="false">INDEX('Site-uri'!$B$2:$B$20,MATCH(A1467,'Site-uri'!$A$2:$A$20,0))</f>
        <v>1clic-ia.eu</v>
      </c>
      <c r="C1467" s="10" t="s">
        <v>173</v>
      </c>
      <c r="D1467" s="10" t="s">
        <v>225</v>
      </c>
      <c r="E1467" s="10" t="str">
        <f aca="false">INDEX(Canale!$C$2:$C$30,MATCH(C1467,Canale!$A$2:$A$30,0))</f>
        <v>orcid</v>
      </c>
      <c r="F1467" s="10" t="str">
        <f aca="false">INDEX(Canale!$D$2:$D$30,MATCH(C1467,Canale!$A$2:$A$30,0))</f>
        <v>referral</v>
      </c>
      <c r="G1467" s="10" t="str">
        <f aca="false">INDEX('Site-uri'!$C$2:$C$20,MATCH(A1467,'Site-uri'!$A$2:$A$20,0))</f>
        <v>/</v>
      </c>
      <c r="H1467" s="10" t="str">
        <f aca="false">Config!$B$3</f>
        <v>2610_ff_lansare</v>
      </c>
      <c r="I1467" s="10" t="str">
        <f aca="false">D1467&amp;"_"&amp;Config!$B$4</f>
        <v>cald_general</v>
      </c>
      <c r="J1467" s="10" t="str">
        <f aca="false">"https://"&amp;B1467&amp;G1467&amp;"?utm_source="&amp;E1467&amp;"&amp;utm_medium="&amp;F1467&amp;"&amp;utm_campaign="&amp;H1467&amp;"&amp;utm_content="&amp;I1467</f>
        <v>https://1clic-ia.eu/?utm_source=orcid&amp;utm_medium=referral&amp;utm_campaign=2610_ff_lansare&amp;utm_content=cald_general</v>
      </c>
    </row>
    <row r="1468" customFormat="false" ht="15" hidden="false" customHeight="false" outlineLevel="0" collapsed="false">
      <c r="A1468" s="10" t="s">
        <v>82</v>
      </c>
      <c r="B1468" s="10" t="str">
        <f aca="false">INDEX('Site-uri'!$B$2:$B$20,MATCH(A1468,'Site-uri'!$A$2:$A$20,0))</f>
        <v>1clic-ia.eu</v>
      </c>
      <c r="C1468" s="10" t="s">
        <v>173</v>
      </c>
      <c r="D1468" s="10" t="s">
        <v>231</v>
      </c>
      <c r="E1468" s="10" t="str">
        <f aca="false">INDEX(Canale!$C$2:$C$30,MATCH(C1468,Canale!$A$2:$A$30,0))</f>
        <v>orcid</v>
      </c>
      <c r="F1468" s="10" t="str">
        <f aca="false">INDEX(Canale!$D$2:$D$30,MATCH(C1468,Canale!$A$2:$A$30,0))</f>
        <v>referral</v>
      </c>
      <c r="G1468" s="10" t="str">
        <f aca="false">INDEX('Site-uri'!$C$2:$C$20,MATCH(A1468,'Site-uri'!$A$2:$A$20,0))</f>
        <v>/</v>
      </c>
      <c r="H1468" s="10" t="str">
        <f aca="false">Config!$B$3</f>
        <v>2610_ff_lansare</v>
      </c>
      <c r="I1468" s="10" t="str">
        <f aca="false">D1468&amp;"_"&amp;Config!$B$4</f>
        <v>fierbinte_general</v>
      </c>
      <c r="J1468" s="10" t="str">
        <f aca="false">"https://"&amp;B1468&amp;G1468&amp;"?utm_source="&amp;E1468&amp;"&amp;utm_medium="&amp;F1468&amp;"&amp;utm_campaign="&amp;H1468&amp;"&amp;utm_content="&amp;I1468</f>
        <v>https://1clic-ia.eu/?utm_source=orcid&amp;utm_medium=referral&amp;utm_campaign=2610_ff_lansare&amp;utm_content=fierbinte_general</v>
      </c>
    </row>
    <row r="1469" customFormat="false" ht="15" hidden="false" customHeight="false" outlineLevel="0" collapsed="false">
      <c r="A1469" s="10" t="s">
        <v>82</v>
      </c>
      <c r="B1469" s="10" t="str">
        <f aca="false">INDEX('Site-uri'!$B$2:$B$20,MATCH(A1469,'Site-uri'!$A$2:$A$20,0))</f>
        <v>1clic-ia.eu</v>
      </c>
      <c r="C1469" s="10" t="s">
        <v>173</v>
      </c>
      <c r="D1469" s="10" t="s">
        <v>237</v>
      </c>
      <c r="E1469" s="10" t="str">
        <f aca="false">INDEX(Canale!$C$2:$C$30,MATCH(C1469,Canale!$A$2:$A$30,0))</f>
        <v>orcid</v>
      </c>
      <c r="F1469" s="10" t="str">
        <f aca="false">INDEX(Canale!$D$2:$D$30,MATCH(C1469,Canale!$A$2:$A$30,0))</f>
        <v>referral</v>
      </c>
      <c r="G1469" s="10" t="str">
        <f aca="false">INDEX('Site-uri'!$C$2:$C$20,MATCH(A1469,'Site-uri'!$A$2:$A$20,0))</f>
        <v>/</v>
      </c>
      <c r="H1469" s="10" t="str">
        <f aca="false">Config!$B$3</f>
        <v>2610_ff_lansare</v>
      </c>
      <c r="I1469" s="10" t="str">
        <f aca="false">D1469&amp;"_"&amp;Config!$B$4</f>
        <v>client_general</v>
      </c>
      <c r="J1469" s="10" t="str">
        <f aca="false">"https://"&amp;B1469&amp;G1469&amp;"?utm_source="&amp;E1469&amp;"&amp;utm_medium="&amp;F1469&amp;"&amp;utm_campaign="&amp;H1469&amp;"&amp;utm_content="&amp;I1469</f>
        <v>https://1clic-ia.eu/?utm_source=orcid&amp;utm_medium=referral&amp;utm_campaign=2610_ff_lansare&amp;utm_content=client_general</v>
      </c>
    </row>
    <row r="1470" customFormat="false" ht="15" hidden="false" customHeight="false" outlineLevel="0" collapsed="false">
      <c r="A1470" s="10" t="s">
        <v>82</v>
      </c>
      <c r="B1470" s="10" t="str">
        <f aca="false">INDEX('Site-uri'!$B$2:$B$20,MATCH(A1470,'Site-uri'!$A$2:$A$20,0))</f>
        <v>1clic-ia.eu</v>
      </c>
      <c r="C1470" s="10" t="s">
        <v>176</v>
      </c>
      <c r="D1470" s="10" t="s">
        <v>219</v>
      </c>
      <c r="E1470" s="10" t="str">
        <f aca="false">INDEX(Canale!$C$2:$C$30,MATCH(C1470,Canale!$A$2:$A$30,0))</f>
        <v>github</v>
      </c>
      <c r="F1470" s="10" t="str">
        <f aca="false">INDEX(Canale!$D$2:$D$30,MATCH(C1470,Canale!$A$2:$A$30,0))</f>
        <v>referral</v>
      </c>
      <c r="G1470" s="10" t="str">
        <f aca="false">INDEX('Site-uri'!$C$2:$C$20,MATCH(A1470,'Site-uri'!$A$2:$A$20,0))</f>
        <v>/</v>
      </c>
      <c r="H1470" s="10" t="str">
        <f aca="false">Config!$B$3</f>
        <v>2610_ff_lansare</v>
      </c>
      <c r="I1470" s="10" t="str">
        <f aca="false">D1470&amp;"_"&amp;Config!$B$4</f>
        <v>rece_general</v>
      </c>
      <c r="J1470" s="10" t="str">
        <f aca="false">"https://"&amp;B1470&amp;G1470&amp;"?utm_source="&amp;E1470&amp;"&amp;utm_medium="&amp;F1470&amp;"&amp;utm_campaign="&amp;H1470&amp;"&amp;utm_content="&amp;I1470</f>
        <v>https://1clic-ia.eu/?utm_source=github&amp;utm_medium=referral&amp;utm_campaign=2610_ff_lansare&amp;utm_content=rece_general</v>
      </c>
    </row>
    <row r="1471" customFormat="false" ht="15" hidden="false" customHeight="false" outlineLevel="0" collapsed="false">
      <c r="A1471" s="10" t="s">
        <v>82</v>
      </c>
      <c r="B1471" s="10" t="str">
        <f aca="false">INDEX('Site-uri'!$B$2:$B$20,MATCH(A1471,'Site-uri'!$A$2:$A$20,0))</f>
        <v>1clic-ia.eu</v>
      </c>
      <c r="C1471" s="10" t="s">
        <v>176</v>
      </c>
      <c r="D1471" s="10" t="s">
        <v>225</v>
      </c>
      <c r="E1471" s="10" t="str">
        <f aca="false">INDEX(Canale!$C$2:$C$30,MATCH(C1471,Canale!$A$2:$A$30,0))</f>
        <v>github</v>
      </c>
      <c r="F1471" s="10" t="str">
        <f aca="false">INDEX(Canale!$D$2:$D$30,MATCH(C1471,Canale!$A$2:$A$30,0))</f>
        <v>referral</v>
      </c>
      <c r="G1471" s="10" t="str">
        <f aca="false">INDEX('Site-uri'!$C$2:$C$20,MATCH(A1471,'Site-uri'!$A$2:$A$20,0))</f>
        <v>/</v>
      </c>
      <c r="H1471" s="10" t="str">
        <f aca="false">Config!$B$3</f>
        <v>2610_ff_lansare</v>
      </c>
      <c r="I1471" s="10" t="str">
        <f aca="false">D1471&amp;"_"&amp;Config!$B$4</f>
        <v>cald_general</v>
      </c>
      <c r="J1471" s="10" t="str">
        <f aca="false">"https://"&amp;B1471&amp;G1471&amp;"?utm_source="&amp;E1471&amp;"&amp;utm_medium="&amp;F1471&amp;"&amp;utm_campaign="&amp;H1471&amp;"&amp;utm_content="&amp;I1471</f>
        <v>https://1clic-ia.eu/?utm_source=github&amp;utm_medium=referral&amp;utm_campaign=2610_ff_lansare&amp;utm_content=cald_general</v>
      </c>
    </row>
    <row r="1472" customFormat="false" ht="15" hidden="false" customHeight="false" outlineLevel="0" collapsed="false">
      <c r="A1472" s="10" t="s">
        <v>82</v>
      </c>
      <c r="B1472" s="10" t="str">
        <f aca="false">INDEX('Site-uri'!$B$2:$B$20,MATCH(A1472,'Site-uri'!$A$2:$A$20,0))</f>
        <v>1clic-ia.eu</v>
      </c>
      <c r="C1472" s="10" t="s">
        <v>176</v>
      </c>
      <c r="D1472" s="10" t="s">
        <v>231</v>
      </c>
      <c r="E1472" s="10" t="str">
        <f aca="false">INDEX(Canale!$C$2:$C$30,MATCH(C1472,Canale!$A$2:$A$30,0))</f>
        <v>github</v>
      </c>
      <c r="F1472" s="10" t="str">
        <f aca="false">INDEX(Canale!$D$2:$D$30,MATCH(C1472,Canale!$A$2:$A$30,0))</f>
        <v>referral</v>
      </c>
      <c r="G1472" s="10" t="str">
        <f aca="false">INDEX('Site-uri'!$C$2:$C$20,MATCH(A1472,'Site-uri'!$A$2:$A$20,0))</f>
        <v>/</v>
      </c>
      <c r="H1472" s="10" t="str">
        <f aca="false">Config!$B$3</f>
        <v>2610_ff_lansare</v>
      </c>
      <c r="I1472" s="10" t="str">
        <f aca="false">D1472&amp;"_"&amp;Config!$B$4</f>
        <v>fierbinte_general</v>
      </c>
      <c r="J1472" s="10" t="str">
        <f aca="false">"https://"&amp;B1472&amp;G1472&amp;"?utm_source="&amp;E1472&amp;"&amp;utm_medium="&amp;F1472&amp;"&amp;utm_campaign="&amp;H1472&amp;"&amp;utm_content="&amp;I1472</f>
        <v>https://1clic-ia.eu/?utm_source=github&amp;utm_medium=referral&amp;utm_campaign=2610_ff_lansare&amp;utm_content=fierbinte_general</v>
      </c>
    </row>
    <row r="1473" customFormat="false" ht="15" hidden="false" customHeight="false" outlineLevel="0" collapsed="false">
      <c r="A1473" s="10" t="s">
        <v>82</v>
      </c>
      <c r="B1473" s="10" t="str">
        <f aca="false">INDEX('Site-uri'!$B$2:$B$20,MATCH(A1473,'Site-uri'!$A$2:$A$20,0))</f>
        <v>1clic-ia.eu</v>
      </c>
      <c r="C1473" s="10" t="s">
        <v>176</v>
      </c>
      <c r="D1473" s="10" t="s">
        <v>237</v>
      </c>
      <c r="E1473" s="10" t="str">
        <f aca="false">INDEX(Canale!$C$2:$C$30,MATCH(C1473,Canale!$A$2:$A$30,0))</f>
        <v>github</v>
      </c>
      <c r="F1473" s="10" t="str">
        <f aca="false">INDEX(Canale!$D$2:$D$30,MATCH(C1473,Canale!$A$2:$A$30,0))</f>
        <v>referral</v>
      </c>
      <c r="G1473" s="10" t="str">
        <f aca="false">INDEX('Site-uri'!$C$2:$C$20,MATCH(A1473,'Site-uri'!$A$2:$A$20,0))</f>
        <v>/</v>
      </c>
      <c r="H1473" s="10" t="str">
        <f aca="false">Config!$B$3</f>
        <v>2610_ff_lansare</v>
      </c>
      <c r="I1473" s="10" t="str">
        <f aca="false">D1473&amp;"_"&amp;Config!$B$4</f>
        <v>client_general</v>
      </c>
      <c r="J1473" s="10" t="str">
        <f aca="false">"https://"&amp;B1473&amp;G1473&amp;"?utm_source="&amp;E1473&amp;"&amp;utm_medium="&amp;F1473&amp;"&amp;utm_campaign="&amp;H1473&amp;"&amp;utm_content="&amp;I1473</f>
        <v>https://1clic-ia.eu/?utm_source=github&amp;utm_medium=referral&amp;utm_campaign=2610_ff_lansare&amp;utm_content=client_general</v>
      </c>
    </row>
    <row r="1474" customFormat="false" ht="15" hidden="false" customHeight="false" outlineLevel="0" collapsed="false">
      <c r="A1474" s="10" t="s">
        <v>82</v>
      </c>
      <c r="B1474" s="10" t="str">
        <f aca="false">INDEX('Site-uri'!$B$2:$B$20,MATCH(A1474,'Site-uri'!$A$2:$A$20,0))</f>
        <v>1clic-ia.eu</v>
      </c>
      <c r="C1474" s="10" t="s">
        <v>179</v>
      </c>
      <c r="D1474" s="10" t="s">
        <v>219</v>
      </c>
      <c r="E1474" s="10" t="str">
        <f aca="false">INDEX(Canale!$C$2:$C$30,MATCH(C1474,Canale!$A$2:$A$30,0))</f>
        <v>kdp_book</v>
      </c>
      <c r="F1474" s="10" t="str">
        <f aca="false">INDEX(Canale!$D$2:$D$30,MATCH(C1474,Canale!$A$2:$A$30,0))</f>
        <v>book</v>
      </c>
      <c r="G1474" s="10" t="str">
        <f aca="false">INDEX('Site-uri'!$C$2:$C$20,MATCH(A1474,'Site-uri'!$A$2:$A$20,0))</f>
        <v>/</v>
      </c>
      <c r="H1474" s="10" t="str">
        <f aca="false">Config!$B$3</f>
        <v>2610_ff_lansare</v>
      </c>
      <c r="I1474" s="10" t="str">
        <f aca="false">D1474&amp;"_"&amp;Config!$B$4</f>
        <v>rece_general</v>
      </c>
      <c r="J1474" s="10" t="str">
        <f aca="false">"https://"&amp;B1474&amp;G1474&amp;"?utm_source="&amp;E1474&amp;"&amp;utm_medium="&amp;F1474&amp;"&amp;utm_campaign="&amp;H1474&amp;"&amp;utm_content="&amp;I1474</f>
        <v>https://1clic-ia.eu/?utm_source=kdp_book&amp;utm_medium=book&amp;utm_campaign=2610_ff_lansare&amp;utm_content=rece_general</v>
      </c>
    </row>
    <row r="1475" customFormat="false" ht="15" hidden="false" customHeight="false" outlineLevel="0" collapsed="false">
      <c r="A1475" s="10" t="s">
        <v>82</v>
      </c>
      <c r="B1475" s="10" t="str">
        <f aca="false">INDEX('Site-uri'!$B$2:$B$20,MATCH(A1475,'Site-uri'!$A$2:$A$20,0))</f>
        <v>1clic-ia.eu</v>
      </c>
      <c r="C1475" s="10" t="s">
        <v>179</v>
      </c>
      <c r="D1475" s="10" t="s">
        <v>225</v>
      </c>
      <c r="E1475" s="10" t="str">
        <f aca="false">INDEX(Canale!$C$2:$C$30,MATCH(C1475,Canale!$A$2:$A$30,0))</f>
        <v>kdp_book</v>
      </c>
      <c r="F1475" s="10" t="str">
        <f aca="false">INDEX(Canale!$D$2:$D$30,MATCH(C1475,Canale!$A$2:$A$30,0))</f>
        <v>book</v>
      </c>
      <c r="G1475" s="10" t="str">
        <f aca="false">INDEX('Site-uri'!$C$2:$C$20,MATCH(A1475,'Site-uri'!$A$2:$A$20,0))</f>
        <v>/</v>
      </c>
      <c r="H1475" s="10" t="str">
        <f aca="false">Config!$B$3</f>
        <v>2610_ff_lansare</v>
      </c>
      <c r="I1475" s="10" t="str">
        <f aca="false">D1475&amp;"_"&amp;Config!$B$4</f>
        <v>cald_general</v>
      </c>
      <c r="J1475" s="10" t="str">
        <f aca="false">"https://"&amp;B1475&amp;G1475&amp;"?utm_source="&amp;E1475&amp;"&amp;utm_medium="&amp;F1475&amp;"&amp;utm_campaign="&amp;H1475&amp;"&amp;utm_content="&amp;I1475</f>
        <v>https://1clic-ia.eu/?utm_source=kdp_book&amp;utm_medium=book&amp;utm_campaign=2610_ff_lansare&amp;utm_content=cald_general</v>
      </c>
    </row>
    <row r="1476" customFormat="false" ht="15" hidden="false" customHeight="false" outlineLevel="0" collapsed="false">
      <c r="A1476" s="10" t="s">
        <v>82</v>
      </c>
      <c r="B1476" s="10" t="str">
        <f aca="false">INDEX('Site-uri'!$B$2:$B$20,MATCH(A1476,'Site-uri'!$A$2:$A$20,0))</f>
        <v>1clic-ia.eu</v>
      </c>
      <c r="C1476" s="10" t="s">
        <v>179</v>
      </c>
      <c r="D1476" s="10" t="s">
        <v>231</v>
      </c>
      <c r="E1476" s="10" t="str">
        <f aca="false">INDEX(Canale!$C$2:$C$30,MATCH(C1476,Canale!$A$2:$A$30,0))</f>
        <v>kdp_book</v>
      </c>
      <c r="F1476" s="10" t="str">
        <f aca="false">INDEX(Canale!$D$2:$D$30,MATCH(C1476,Canale!$A$2:$A$30,0))</f>
        <v>book</v>
      </c>
      <c r="G1476" s="10" t="str">
        <f aca="false">INDEX('Site-uri'!$C$2:$C$20,MATCH(A1476,'Site-uri'!$A$2:$A$20,0))</f>
        <v>/</v>
      </c>
      <c r="H1476" s="10" t="str">
        <f aca="false">Config!$B$3</f>
        <v>2610_ff_lansare</v>
      </c>
      <c r="I1476" s="10" t="str">
        <f aca="false">D1476&amp;"_"&amp;Config!$B$4</f>
        <v>fierbinte_general</v>
      </c>
      <c r="J1476" s="10" t="str">
        <f aca="false">"https://"&amp;B1476&amp;G1476&amp;"?utm_source="&amp;E1476&amp;"&amp;utm_medium="&amp;F1476&amp;"&amp;utm_campaign="&amp;H1476&amp;"&amp;utm_content="&amp;I1476</f>
        <v>https://1clic-ia.eu/?utm_source=kdp_book&amp;utm_medium=book&amp;utm_campaign=2610_ff_lansare&amp;utm_content=fierbinte_general</v>
      </c>
    </row>
    <row r="1477" customFormat="false" ht="15" hidden="false" customHeight="false" outlineLevel="0" collapsed="false">
      <c r="A1477" s="10" t="s">
        <v>82</v>
      </c>
      <c r="B1477" s="10" t="str">
        <f aca="false">INDEX('Site-uri'!$B$2:$B$20,MATCH(A1477,'Site-uri'!$A$2:$A$20,0))</f>
        <v>1clic-ia.eu</v>
      </c>
      <c r="C1477" s="10" t="s">
        <v>179</v>
      </c>
      <c r="D1477" s="10" t="s">
        <v>237</v>
      </c>
      <c r="E1477" s="10" t="str">
        <f aca="false">INDEX(Canale!$C$2:$C$30,MATCH(C1477,Canale!$A$2:$A$30,0))</f>
        <v>kdp_book</v>
      </c>
      <c r="F1477" s="10" t="str">
        <f aca="false">INDEX(Canale!$D$2:$D$30,MATCH(C1477,Canale!$A$2:$A$30,0))</f>
        <v>book</v>
      </c>
      <c r="G1477" s="10" t="str">
        <f aca="false">INDEX('Site-uri'!$C$2:$C$20,MATCH(A1477,'Site-uri'!$A$2:$A$20,0))</f>
        <v>/</v>
      </c>
      <c r="H1477" s="10" t="str">
        <f aca="false">Config!$B$3</f>
        <v>2610_ff_lansare</v>
      </c>
      <c r="I1477" s="10" t="str">
        <f aca="false">D1477&amp;"_"&amp;Config!$B$4</f>
        <v>client_general</v>
      </c>
      <c r="J1477" s="10" t="str">
        <f aca="false">"https://"&amp;B1477&amp;G1477&amp;"?utm_source="&amp;E1477&amp;"&amp;utm_medium="&amp;F1477&amp;"&amp;utm_campaign="&amp;H1477&amp;"&amp;utm_content="&amp;I1477</f>
        <v>https://1clic-ia.eu/?utm_source=kdp_book&amp;utm_medium=book&amp;utm_campaign=2610_ff_lansare&amp;utm_content=client_general</v>
      </c>
    </row>
    <row r="1478" customFormat="false" ht="15" hidden="false" customHeight="false" outlineLevel="0" collapsed="false">
      <c r="A1478" s="10" t="s">
        <v>82</v>
      </c>
      <c r="B1478" s="10" t="str">
        <f aca="false">INDEX('Site-uri'!$B$2:$B$20,MATCH(A1478,'Site-uri'!$A$2:$A$20,0))</f>
        <v>1clic-ia.eu</v>
      </c>
      <c r="C1478" s="10" t="s">
        <v>184</v>
      </c>
      <c r="D1478" s="10" t="s">
        <v>219</v>
      </c>
      <c r="E1478" s="10" t="str">
        <f aca="false">INDEX(Canale!$C$2:$C$30,MATCH(C1478,Canale!$A$2:$A$30,0))</f>
        <v>udemy</v>
      </c>
      <c r="F1478" s="10" t="str">
        <f aca="false">INDEX(Canale!$D$2:$D$30,MATCH(C1478,Canale!$A$2:$A$30,0))</f>
        <v>course</v>
      </c>
      <c r="G1478" s="10" t="str">
        <f aca="false">INDEX('Site-uri'!$C$2:$C$20,MATCH(A1478,'Site-uri'!$A$2:$A$20,0))</f>
        <v>/</v>
      </c>
      <c r="H1478" s="10" t="str">
        <f aca="false">Config!$B$3</f>
        <v>2610_ff_lansare</v>
      </c>
      <c r="I1478" s="10" t="str">
        <f aca="false">D1478&amp;"_"&amp;Config!$B$4</f>
        <v>rece_general</v>
      </c>
      <c r="J1478" s="10" t="str">
        <f aca="false">"https://"&amp;B1478&amp;G1478&amp;"?utm_source="&amp;E1478&amp;"&amp;utm_medium="&amp;F1478&amp;"&amp;utm_campaign="&amp;H1478&amp;"&amp;utm_content="&amp;I1478</f>
        <v>https://1clic-ia.eu/?utm_source=udemy&amp;utm_medium=course&amp;utm_campaign=2610_ff_lansare&amp;utm_content=rece_general</v>
      </c>
    </row>
    <row r="1479" customFormat="false" ht="15" hidden="false" customHeight="false" outlineLevel="0" collapsed="false">
      <c r="A1479" s="10" t="s">
        <v>82</v>
      </c>
      <c r="B1479" s="10" t="str">
        <f aca="false">INDEX('Site-uri'!$B$2:$B$20,MATCH(A1479,'Site-uri'!$A$2:$A$20,0))</f>
        <v>1clic-ia.eu</v>
      </c>
      <c r="C1479" s="10" t="s">
        <v>184</v>
      </c>
      <c r="D1479" s="10" t="s">
        <v>225</v>
      </c>
      <c r="E1479" s="10" t="str">
        <f aca="false">INDEX(Canale!$C$2:$C$30,MATCH(C1479,Canale!$A$2:$A$30,0))</f>
        <v>udemy</v>
      </c>
      <c r="F1479" s="10" t="str">
        <f aca="false">INDEX(Canale!$D$2:$D$30,MATCH(C1479,Canale!$A$2:$A$30,0))</f>
        <v>course</v>
      </c>
      <c r="G1479" s="10" t="str">
        <f aca="false">INDEX('Site-uri'!$C$2:$C$20,MATCH(A1479,'Site-uri'!$A$2:$A$20,0))</f>
        <v>/</v>
      </c>
      <c r="H1479" s="10" t="str">
        <f aca="false">Config!$B$3</f>
        <v>2610_ff_lansare</v>
      </c>
      <c r="I1479" s="10" t="str">
        <f aca="false">D1479&amp;"_"&amp;Config!$B$4</f>
        <v>cald_general</v>
      </c>
      <c r="J1479" s="10" t="str">
        <f aca="false">"https://"&amp;B1479&amp;G1479&amp;"?utm_source="&amp;E1479&amp;"&amp;utm_medium="&amp;F1479&amp;"&amp;utm_campaign="&amp;H1479&amp;"&amp;utm_content="&amp;I1479</f>
        <v>https://1clic-ia.eu/?utm_source=udemy&amp;utm_medium=course&amp;utm_campaign=2610_ff_lansare&amp;utm_content=cald_general</v>
      </c>
    </row>
    <row r="1480" customFormat="false" ht="15" hidden="false" customHeight="false" outlineLevel="0" collapsed="false">
      <c r="A1480" s="10" t="s">
        <v>82</v>
      </c>
      <c r="B1480" s="10" t="str">
        <f aca="false">INDEX('Site-uri'!$B$2:$B$20,MATCH(A1480,'Site-uri'!$A$2:$A$20,0))</f>
        <v>1clic-ia.eu</v>
      </c>
      <c r="C1480" s="10" t="s">
        <v>184</v>
      </c>
      <c r="D1480" s="10" t="s">
        <v>231</v>
      </c>
      <c r="E1480" s="10" t="str">
        <f aca="false">INDEX(Canale!$C$2:$C$30,MATCH(C1480,Canale!$A$2:$A$30,0))</f>
        <v>udemy</v>
      </c>
      <c r="F1480" s="10" t="str">
        <f aca="false">INDEX(Canale!$D$2:$D$30,MATCH(C1480,Canale!$A$2:$A$30,0))</f>
        <v>course</v>
      </c>
      <c r="G1480" s="10" t="str">
        <f aca="false">INDEX('Site-uri'!$C$2:$C$20,MATCH(A1480,'Site-uri'!$A$2:$A$20,0))</f>
        <v>/</v>
      </c>
      <c r="H1480" s="10" t="str">
        <f aca="false">Config!$B$3</f>
        <v>2610_ff_lansare</v>
      </c>
      <c r="I1480" s="10" t="str">
        <f aca="false">D1480&amp;"_"&amp;Config!$B$4</f>
        <v>fierbinte_general</v>
      </c>
      <c r="J1480" s="10" t="str">
        <f aca="false">"https://"&amp;B1480&amp;G1480&amp;"?utm_source="&amp;E1480&amp;"&amp;utm_medium="&amp;F1480&amp;"&amp;utm_campaign="&amp;H1480&amp;"&amp;utm_content="&amp;I1480</f>
        <v>https://1clic-ia.eu/?utm_source=udemy&amp;utm_medium=course&amp;utm_campaign=2610_ff_lansare&amp;utm_content=fierbinte_general</v>
      </c>
    </row>
    <row r="1481" customFormat="false" ht="15" hidden="false" customHeight="false" outlineLevel="0" collapsed="false">
      <c r="A1481" s="10" t="s">
        <v>82</v>
      </c>
      <c r="B1481" s="10" t="str">
        <f aca="false">INDEX('Site-uri'!$B$2:$B$20,MATCH(A1481,'Site-uri'!$A$2:$A$20,0))</f>
        <v>1clic-ia.eu</v>
      </c>
      <c r="C1481" s="10" t="s">
        <v>184</v>
      </c>
      <c r="D1481" s="10" t="s">
        <v>237</v>
      </c>
      <c r="E1481" s="10" t="str">
        <f aca="false">INDEX(Canale!$C$2:$C$30,MATCH(C1481,Canale!$A$2:$A$30,0))</f>
        <v>udemy</v>
      </c>
      <c r="F1481" s="10" t="str">
        <f aca="false">INDEX(Canale!$D$2:$D$30,MATCH(C1481,Canale!$A$2:$A$30,0))</f>
        <v>course</v>
      </c>
      <c r="G1481" s="10" t="str">
        <f aca="false">INDEX('Site-uri'!$C$2:$C$20,MATCH(A1481,'Site-uri'!$A$2:$A$20,0))</f>
        <v>/</v>
      </c>
      <c r="H1481" s="10" t="str">
        <f aca="false">Config!$B$3</f>
        <v>2610_ff_lansare</v>
      </c>
      <c r="I1481" s="10" t="str">
        <f aca="false">D1481&amp;"_"&amp;Config!$B$4</f>
        <v>client_general</v>
      </c>
      <c r="J1481" s="10" t="str">
        <f aca="false">"https://"&amp;B1481&amp;G1481&amp;"?utm_source="&amp;E1481&amp;"&amp;utm_medium="&amp;F1481&amp;"&amp;utm_campaign="&amp;H1481&amp;"&amp;utm_content="&amp;I1481</f>
        <v>https://1clic-ia.eu/?utm_source=udemy&amp;utm_medium=course&amp;utm_campaign=2610_ff_lansare&amp;utm_content=client_general</v>
      </c>
    </row>
    <row r="1482" customFormat="false" ht="15" hidden="false" customHeight="false" outlineLevel="0" collapsed="false">
      <c r="A1482" s="10" t="s">
        <v>82</v>
      </c>
      <c r="B1482" s="10" t="str">
        <f aca="false">INDEX('Site-uri'!$B$2:$B$20,MATCH(A1482,'Site-uri'!$A$2:$A$20,0))</f>
        <v>1clic-ia.eu</v>
      </c>
      <c r="C1482" s="10" t="s">
        <v>187</v>
      </c>
      <c r="D1482" s="10" t="s">
        <v>219</v>
      </c>
      <c r="E1482" s="10" t="str">
        <f aca="false">INDEX(Canale!$C$2:$C$30,MATCH(C1482,Canale!$A$2:$A$30,0))</f>
        <v>directory</v>
      </c>
      <c r="F1482" s="10" t="str">
        <f aca="false">INDEX(Canale!$D$2:$D$30,MATCH(C1482,Canale!$A$2:$A$30,0))</f>
        <v>referral</v>
      </c>
      <c r="G1482" s="10" t="str">
        <f aca="false">INDEX('Site-uri'!$C$2:$C$20,MATCH(A1482,'Site-uri'!$A$2:$A$20,0))</f>
        <v>/</v>
      </c>
      <c r="H1482" s="10" t="str">
        <f aca="false">Config!$B$3</f>
        <v>2610_ff_lansare</v>
      </c>
      <c r="I1482" s="10" t="str">
        <f aca="false">D1482&amp;"_"&amp;Config!$B$4</f>
        <v>rece_general</v>
      </c>
      <c r="J1482" s="10" t="str">
        <f aca="false">"https://"&amp;B1482&amp;G1482&amp;"?utm_source="&amp;E1482&amp;"&amp;utm_medium="&amp;F1482&amp;"&amp;utm_campaign="&amp;H1482&amp;"&amp;utm_content="&amp;I1482</f>
        <v>https://1clic-ia.eu/?utm_source=directory&amp;utm_medium=referral&amp;utm_campaign=2610_ff_lansare&amp;utm_content=rece_general</v>
      </c>
    </row>
    <row r="1483" customFormat="false" ht="15" hidden="false" customHeight="false" outlineLevel="0" collapsed="false">
      <c r="A1483" s="10" t="s">
        <v>82</v>
      </c>
      <c r="B1483" s="10" t="str">
        <f aca="false">INDEX('Site-uri'!$B$2:$B$20,MATCH(A1483,'Site-uri'!$A$2:$A$20,0))</f>
        <v>1clic-ia.eu</v>
      </c>
      <c r="C1483" s="10" t="s">
        <v>187</v>
      </c>
      <c r="D1483" s="10" t="s">
        <v>225</v>
      </c>
      <c r="E1483" s="10" t="str">
        <f aca="false">INDEX(Canale!$C$2:$C$30,MATCH(C1483,Canale!$A$2:$A$30,0))</f>
        <v>directory</v>
      </c>
      <c r="F1483" s="10" t="str">
        <f aca="false">INDEX(Canale!$D$2:$D$30,MATCH(C1483,Canale!$A$2:$A$30,0))</f>
        <v>referral</v>
      </c>
      <c r="G1483" s="10" t="str">
        <f aca="false">INDEX('Site-uri'!$C$2:$C$20,MATCH(A1483,'Site-uri'!$A$2:$A$20,0))</f>
        <v>/</v>
      </c>
      <c r="H1483" s="10" t="str">
        <f aca="false">Config!$B$3</f>
        <v>2610_ff_lansare</v>
      </c>
      <c r="I1483" s="10" t="str">
        <f aca="false">D1483&amp;"_"&amp;Config!$B$4</f>
        <v>cald_general</v>
      </c>
      <c r="J1483" s="10" t="str">
        <f aca="false">"https://"&amp;B1483&amp;G1483&amp;"?utm_source="&amp;E1483&amp;"&amp;utm_medium="&amp;F1483&amp;"&amp;utm_campaign="&amp;H1483&amp;"&amp;utm_content="&amp;I1483</f>
        <v>https://1clic-ia.eu/?utm_source=directory&amp;utm_medium=referral&amp;utm_campaign=2610_ff_lansare&amp;utm_content=cald_general</v>
      </c>
    </row>
    <row r="1484" customFormat="false" ht="15" hidden="false" customHeight="false" outlineLevel="0" collapsed="false">
      <c r="A1484" s="10" t="s">
        <v>82</v>
      </c>
      <c r="B1484" s="10" t="str">
        <f aca="false">INDEX('Site-uri'!$B$2:$B$20,MATCH(A1484,'Site-uri'!$A$2:$A$20,0))</f>
        <v>1clic-ia.eu</v>
      </c>
      <c r="C1484" s="10" t="s">
        <v>187</v>
      </c>
      <c r="D1484" s="10" t="s">
        <v>231</v>
      </c>
      <c r="E1484" s="10" t="str">
        <f aca="false">INDEX(Canale!$C$2:$C$30,MATCH(C1484,Canale!$A$2:$A$30,0))</f>
        <v>directory</v>
      </c>
      <c r="F1484" s="10" t="str">
        <f aca="false">INDEX(Canale!$D$2:$D$30,MATCH(C1484,Canale!$A$2:$A$30,0))</f>
        <v>referral</v>
      </c>
      <c r="G1484" s="10" t="str">
        <f aca="false">INDEX('Site-uri'!$C$2:$C$20,MATCH(A1484,'Site-uri'!$A$2:$A$20,0))</f>
        <v>/</v>
      </c>
      <c r="H1484" s="10" t="str">
        <f aca="false">Config!$B$3</f>
        <v>2610_ff_lansare</v>
      </c>
      <c r="I1484" s="10" t="str">
        <f aca="false">D1484&amp;"_"&amp;Config!$B$4</f>
        <v>fierbinte_general</v>
      </c>
      <c r="J1484" s="10" t="str">
        <f aca="false">"https://"&amp;B1484&amp;G1484&amp;"?utm_source="&amp;E1484&amp;"&amp;utm_medium="&amp;F1484&amp;"&amp;utm_campaign="&amp;H1484&amp;"&amp;utm_content="&amp;I1484</f>
        <v>https://1clic-ia.eu/?utm_source=directory&amp;utm_medium=referral&amp;utm_campaign=2610_ff_lansare&amp;utm_content=fierbinte_general</v>
      </c>
    </row>
    <row r="1485" customFormat="false" ht="15" hidden="false" customHeight="false" outlineLevel="0" collapsed="false">
      <c r="A1485" s="10" t="s">
        <v>82</v>
      </c>
      <c r="B1485" s="10" t="str">
        <f aca="false">INDEX('Site-uri'!$B$2:$B$20,MATCH(A1485,'Site-uri'!$A$2:$A$20,0))</f>
        <v>1clic-ia.eu</v>
      </c>
      <c r="C1485" s="10" t="s">
        <v>187</v>
      </c>
      <c r="D1485" s="10" t="s">
        <v>237</v>
      </c>
      <c r="E1485" s="10" t="str">
        <f aca="false">INDEX(Canale!$C$2:$C$30,MATCH(C1485,Canale!$A$2:$A$30,0))</f>
        <v>directory</v>
      </c>
      <c r="F1485" s="10" t="str">
        <f aca="false">INDEX(Canale!$D$2:$D$30,MATCH(C1485,Canale!$A$2:$A$30,0))</f>
        <v>referral</v>
      </c>
      <c r="G1485" s="10" t="str">
        <f aca="false">INDEX('Site-uri'!$C$2:$C$20,MATCH(A1485,'Site-uri'!$A$2:$A$20,0))</f>
        <v>/</v>
      </c>
      <c r="H1485" s="10" t="str">
        <f aca="false">Config!$B$3</f>
        <v>2610_ff_lansare</v>
      </c>
      <c r="I1485" s="10" t="str">
        <f aca="false">D1485&amp;"_"&amp;Config!$B$4</f>
        <v>client_general</v>
      </c>
      <c r="J1485" s="10" t="str">
        <f aca="false">"https://"&amp;B1485&amp;G1485&amp;"?utm_source="&amp;E1485&amp;"&amp;utm_medium="&amp;F1485&amp;"&amp;utm_campaign="&amp;H1485&amp;"&amp;utm_content="&amp;I1485</f>
        <v>https://1clic-ia.eu/?utm_source=directory&amp;utm_medium=referral&amp;utm_campaign=2610_ff_lansare&amp;utm_content=client_general</v>
      </c>
    </row>
    <row r="1486" customFormat="false" ht="15" hidden="false" customHeight="false" outlineLevel="0" collapsed="false">
      <c r="A1486" s="10" t="s">
        <v>82</v>
      </c>
      <c r="B1486" s="10" t="str">
        <f aca="false">INDEX('Site-uri'!$B$2:$B$20,MATCH(A1486,'Site-uri'!$A$2:$A$20,0))</f>
        <v>1clic-ia.eu</v>
      </c>
      <c r="C1486" s="10" t="s">
        <v>191</v>
      </c>
      <c r="D1486" s="10" t="s">
        <v>219</v>
      </c>
      <c r="E1486" s="10" t="str">
        <f aca="false">INDEX(Canale!$C$2:$C$30,MATCH(C1486,Canale!$A$2:$A$30,0))</f>
        <v>partner</v>
      </c>
      <c r="F1486" s="10" t="str">
        <f aca="false">INDEX(Canale!$D$2:$D$30,MATCH(C1486,Canale!$A$2:$A$30,0))</f>
        <v>partner</v>
      </c>
      <c r="G1486" s="10" t="str">
        <f aca="false">INDEX('Site-uri'!$C$2:$C$20,MATCH(A1486,'Site-uri'!$A$2:$A$20,0))</f>
        <v>/</v>
      </c>
      <c r="H1486" s="10" t="str">
        <f aca="false">Config!$B$3</f>
        <v>2610_ff_lansare</v>
      </c>
      <c r="I1486" s="10" t="str">
        <f aca="false">D1486&amp;"_"&amp;Config!$B$4</f>
        <v>rece_general</v>
      </c>
      <c r="J1486" s="10" t="str">
        <f aca="false">"https://"&amp;B1486&amp;G1486&amp;"?utm_source="&amp;E1486&amp;"&amp;utm_medium="&amp;F1486&amp;"&amp;utm_campaign="&amp;H1486&amp;"&amp;utm_content="&amp;I1486</f>
        <v>https://1clic-ia.eu/?utm_source=partner&amp;utm_medium=partner&amp;utm_campaign=2610_ff_lansare&amp;utm_content=rece_general</v>
      </c>
    </row>
    <row r="1487" customFormat="false" ht="15" hidden="false" customHeight="false" outlineLevel="0" collapsed="false">
      <c r="A1487" s="10" t="s">
        <v>82</v>
      </c>
      <c r="B1487" s="10" t="str">
        <f aca="false">INDEX('Site-uri'!$B$2:$B$20,MATCH(A1487,'Site-uri'!$A$2:$A$20,0))</f>
        <v>1clic-ia.eu</v>
      </c>
      <c r="C1487" s="10" t="s">
        <v>191</v>
      </c>
      <c r="D1487" s="10" t="s">
        <v>225</v>
      </c>
      <c r="E1487" s="10" t="str">
        <f aca="false">INDEX(Canale!$C$2:$C$30,MATCH(C1487,Canale!$A$2:$A$30,0))</f>
        <v>partner</v>
      </c>
      <c r="F1487" s="10" t="str">
        <f aca="false">INDEX(Canale!$D$2:$D$30,MATCH(C1487,Canale!$A$2:$A$30,0))</f>
        <v>partner</v>
      </c>
      <c r="G1487" s="10" t="str">
        <f aca="false">INDEX('Site-uri'!$C$2:$C$20,MATCH(A1487,'Site-uri'!$A$2:$A$20,0))</f>
        <v>/</v>
      </c>
      <c r="H1487" s="10" t="str">
        <f aca="false">Config!$B$3</f>
        <v>2610_ff_lansare</v>
      </c>
      <c r="I1487" s="10" t="str">
        <f aca="false">D1487&amp;"_"&amp;Config!$B$4</f>
        <v>cald_general</v>
      </c>
      <c r="J1487" s="10" t="str">
        <f aca="false">"https://"&amp;B1487&amp;G1487&amp;"?utm_source="&amp;E1487&amp;"&amp;utm_medium="&amp;F1487&amp;"&amp;utm_campaign="&amp;H1487&amp;"&amp;utm_content="&amp;I1487</f>
        <v>https://1clic-ia.eu/?utm_source=partner&amp;utm_medium=partner&amp;utm_campaign=2610_ff_lansare&amp;utm_content=cald_general</v>
      </c>
    </row>
    <row r="1488" customFormat="false" ht="15" hidden="false" customHeight="false" outlineLevel="0" collapsed="false">
      <c r="A1488" s="10" t="s">
        <v>82</v>
      </c>
      <c r="B1488" s="10" t="str">
        <f aca="false">INDEX('Site-uri'!$B$2:$B$20,MATCH(A1488,'Site-uri'!$A$2:$A$20,0))</f>
        <v>1clic-ia.eu</v>
      </c>
      <c r="C1488" s="10" t="s">
        <v>191</v>
      </c>
      <c r="D1488" s="10" t="s">
        <v>231</v>
      </c>
      <c r="E1488" s="10" t="str">
        <f aca="false">INDEX(Canale!$C$2:$C$30,MATCH(C1488,Canale!$A$2:$A$30,0))</f>
        <v>partner</v>
      </c>
      <c r="F1488" s="10" t="str">
        <f aca="false">INDEX(Canale!$D$2:$D$30,MATCH(C1488,Canale!$A$2:$A$30,0))</f>
        <v>partner</v>
      </c>
      <c r="G1488" s="10" t="str">
        <f aca="false">INDEX('Site-uri'!$C$2:$C$20,MATCH(A1488,'Site-uri'!$A$2:$A$20,0))</f>
        <v>/</v>
      </c>
      <c r="H1488" s="10" t="str">
        <f aca="false">Config!$B$3</f>
        <v>2610_ff_lansare</v>
      </c>
      <c r="I1488" s="10" t="str">
        <f aca="false">D1488&amp;"_"&amp;Config!$B$4</f>
        <v>fierbinte_general</v>
      </c>
      <c r="J1488" s="10" t="str">
        <f aca="false">"https://"&amp;B1488&amp;G1488&amp;"?utm_source="&amp;E1488&amp;"&amp;utm_medium="&amp;F1488&amp;"&amp;utm_campaign="&amp;H1488&amp;"&amp;utm_content="&amp;I1488</f>
        <v>https://1clic-ia.eu/?utm_source=partner&amp;utm_medium=partner&amp;utm_campaign=2610_ff_lansare&amp;utm_content=fierbinte_general</v>
      </c>
    </row>
    <row r="1489" customFormat="false" ht="15" hidden="false" customHeight="false" outlineLevel="0" collapsed="false">
      <c r="A1489" s="10" t="s">
        <v>82</v>
      </c>
      <c r="B1489" s="10" t="str">
        <f aca="false">INDEX('Site-uri'!$B$2:$B$20,MATCH(A1489,'Site-uri'!$A$2:$A$20,0))</f>
        <v>1clic-ia.eu</v>
      </c>
      <c r="C1489" s="10" t="s">
        <v>191</v>
      </c>
      <c r="D1489" s="10" t="s">
        <v>237</v>
      </c>
      <c r="E1489" s="10" t="str">
        <f aca="false">INDEX(Canale!$C$2:$C$30,MATCH(C1489,Canale!$A$2:$A$30,0))</f>
        <v>partner</v>
      </c>
      <c r="F1489" s="10" t="str">
        <f aca="false">INDEX(Canale!$D$2:$D$30,MATCH(C1489,Canale!$A$2:$A$30,0))</f>
        <v>partner</v>
      </c>
      <c r="G1489" s="10" t="str">
        <f aca="false">INDEX('Site-uri'!$C$2:$C$20,MATCH(A1489,'Site-uri'!$A$2:$A$20,0))</f>
        <v>/</v>
      </c>
      <c r="H1489" s="10" t="str">
        <f aca="false">Config!$B$3</f>
        <v>2610_ff_lansare</v>
      </c>
      <c r="I1489" s="10" t="str">
        <f aca="false">D1489&amp;"_"&amp;Config!$B$4</f>
        <v>client_general</v>
      </c>
      <c r="J1489" s="10" t="str">
        <f aca="false">"https://"&amp;B1489&amp;G1489&amp;"?utm_source="&amp;E1489&amp;"&amp;utm_medium="&amp;F1489&amp;"&amp;utm_campaign="&amp;H1489&amp;"&amp;utm_content="&amp;I1489</f>
        <v>https://1clic-ia.eu/?utm_source=partner&amp;utm_medium=partner&amp;utm_campaign=2610_ff_lansare&amp;utm_content=client_general</v>
      </c>
    </row>
    <row r="1490" customFormat="false" ht="15" hidden="false" customHeight="false" outlineLevel="0" collapsed="false">
      <c r="A1490" s="10" t="s">
        <v>82</v>
      </c>
      <c r="B1490" s="10" t="str">
        <f aca="false">INDEX('Site-uri'!$B$2:$B$20,MATCH(A1490,'Site-uri'!$A$2:$A$20,0))</f>
        <v>1clic-ia.eu</v>
      </c>
      <c r="C1490" s="10" t="s">
        <v>193</v>
      </c>
      <c r="D1490" s="10" t="s">
        <v>219</v>
      </c>
      <c r="E1490" s="10" t="str">
        <f aca="false">INDEX(Canale!$C$2:$C$30,MATCH(C1490,Canale!$A$2:$A$30,0))</f>
        <v>pdf_proposal</v>
      </c>
      <c r="F1490" s="10" t="str">
        <f aca="false">INDEX(Canale!$D$2:$D$30,MATCH(C1490,Canale!$A$2:$A$30,0))</f>
        <v>document</v>
      </c>
      <c r="G1490" s="10" t="str">
        <f aca="false">INDEX('Site-uri'!$C$2:$C$20,MATCH(A1490,'Site-uri'!$A$2:$A$20,0))</f>
        <v>/</v>
      </c>
      <c r="H1490" s="10" t="str">
        <f aca="false">Config!$B$3</f>
        <v>2610_ff_lansare</v>
      </c>
      <c r="I1490" s="10" t="str">
        <f aca="false">D1490&amp;"_"&amp;Config!$B$4</f>
        <v>rece_general</v>
      </c>
      <c r="J1490" s="10" t="str">
        <f aca="false">"https://"&amp;B1490&amp;G1490&amp;"?utm_source="&amp;E1490&amp;"&amp;utm_medium="&amp;F1490&amp;"&amp;utm_campaign="&amp;H1490&amp;"&amp;utm_content="&amp;I1490</f>
        <v>https://1clic-ia.eu/?utm_source=pdf_proposal&amp;utm_medium=document&amp;utm_campaign=2610_ff_lansare&amp;utm_content=rece_general</v>
      </c>
    </row>
    <row r="1491" customFormat="false" ht="15" hidden="false" customHeight="false" outlineLevel="0" collapsed="false">
      <c r="A1491" s="10" t="s">
        <v>82</v>
      </c>
      <c r="B1491" s="10" t="str">
        <f aca="false">INDEX('Site-uri'!$B$2:$B$20,MATCH(A1491,'Site-uri'!$A$2:$A$20,0))</f>
        <v>1clic-ia.eu</v>
      </c>
      <c r="C1491" s="10" t="s">
        <v>193</v>
      </c>
      <c r="D1491" s="10" t="s">
        <v>225</v>
      </c>
      <c r="E1491" s="10" t="str">
        <f aca="false">INDEX(Canale!$C$2:$C$30,MATCH(C1491,Canale!$A$2:$A$30,0))</f>
        <v>pdf_proposal</v>
      </c>
      <c r="F1491" s="10" t="str">
        <f aca="false">INDEX(Canale!$D$2:$D$30,MATCH(C1491,Canale!$A$2:$A$30,0))</f>
        <v>document</v>
      </c>
      <c r="G1491" s="10" t="str">
        <f aca="false">INDEX('Site-uri'!$C$2:$C$20,MATCH(A1491,'Site-uri'!$A$2:$A$20,0))</f>
        <v>/</v>
      </c>
      <c r="H1491" s="10" t="str">
        <f aca="false">Config!$B$3</f>
        <v>2610_ff_lansare</v>
      </c>
      <c r="I1491" s="10" t="str">
        <f aca="false">D1491&amp;"_"&amp;Config!$B$4</f>
        <v>cald_general</v>
      </c>
      <c r="J1491" s="10" t="str">
        <f aca="false">"https://"&amp;B1491&amp;G1491&amp;"?utm_source="&amp;E1491&amp;"&amp;utm_medium="&amp;F1491&amp;"&amp;utm_campaign="&amp;H1491&amp;"&amp;utm_content="&amp;I1491</f>
        <v>https://1clic-ia.eu/?utm_source=pdf_proposal&amp;utm_medium=document&amp;utm_campaign=2610_ff_lansare&amp;utm_content=cald_general</v>
      </c>
    </row>
    <row r="1492" customFormat="false" ht="15" hidden="false" customHeight="false" outlineLevel="0" collapsed="false">
      <c r="A1492" s="10" t="s">
        <v>82</v>
      </c>
      <c r="B1492" s="10" t="str">
        <f aca="false">INDEX('Site-uri'!$B$2:$B$20,MATCH(A1492,'Site-uri'!$A$2:$A$20,0))</f>
        <v>1clic-ia.eu</v>
      </c>
      <c r="C1492" s="10" t="s">
        <v>193</v>
      </c>
      <c r="D1492" s="10" t="s">
        <v>231</v>
      </c>
      <c r="E1492" s="10" t="str">
        <f aca="false">INDEX(Canale!$C$2:$C$30,MATCH(C1492,Canale!$A$2:$A$30,0))</f>
        <v>pdf_proposal</v>
      </c>
      <c r="F1492" s="10" t="str">
        <f aca="false">INDEX(Canale!$D$2:$D$30,MATCH(C1492,Canale!$A$2:$A$30,0))</f>
        <v>document</v>
      </c>
      <c r="G1492" s="10" t="str">
        <f aca="false">INDEX('Site-uri'!$C$2:$C$20,MATCH(A1492,'Site-uri'!$A$2:$A$20,0))</f>
        <v>/</v>
      </c>
      <c r="H1492" s="10" t="str">
        <f aca="false">Config!$B$3</f>
        <v>2610_ff_lansare</v>
      </c>
      <c r="I1492" s="10" t="str">
        <f aca="false">D1492&amp;"_"&amp;Config!$B$4</f>
        <v>fierbinte_general</v>
      </c>
      <c r="J1492" s="10" t="str">
        <f aca="false">"https://"&amp;B1492&amp;G1492&amp;"?utm_source="&amp;E1492&amp;"&amp;utm_medium="&amp;F1492&amp;"&amp;utm_campaign="&amp;H1492&amp;"&amp;utm_content="&amp;I1492</f>
        <v>https://1clic-ia.eu/?utm_source=pdf_proposal&amp;utm_medium=document&amp;utm_campaign=2610_ff_lansare&amp;utm_content=fierbinte_general</v>
      </c>
    </row>
    <row r="1493" customFormat="false" ht="15" hidden="false" customHeight="false" outlineLevel="0" collapsed="false">
      <c r="A1493" s="10" t="s">
        <v>82</v>
      </c>
      <c r="B1493" s="10" t="str">
        <f aca="false">INDEX('Site-uri'!$B$2:$B$20,MATCH(A1493,'Site-uri'!$A$2:$A$20,0))</f>
        <v>1clic-ia.eu</v>
      </c>
      <c r="C1493" s="10" t="s">
        <v>193</v>
      </c>
      <c r="D1493" s="10" t="s">
        <v>237</v>
      </c>
      <c r="E1493" s="10" t="str">
        <f aca="false">INDEX(Canale!$C$2:$C$30,MATCH(C1493,Canale!$A$2:$A$30,0))</f>
        <v>pdf_proposal</v>
      </c>
      <c r="F1493" s="10" t="str">
        <f aca="false">INDEX(Canale!$D$2:$D$30,MATCH(C1493,Canale!$A$2:$A$30,0))</f>
        <v>document</v>
      </c>
      <c r="G1493" s="10" t="str">
        <f aca="false">INDEX('Site-uri'!$C$2:$C$20,MATCH(A1493,'Site-uri'!$A$2:$A$20,0))</f>
        <v>/</v>
      </c>
      <c r="H1493" s="10" t="str">
        <f aca="false">Config!$B$3</f>
        <v>2610_ff_lansare</v>
      </c>
      <c r="I1493" s="10" t="str">
        <f aca="false">D1493&amp;"_"&amp;Config!$B$4</f>
        <v>client_general</v>
      </c>
      <c r="J1493" s="10" t="str">
        <f aca="false">"https://"&amp;B1493&amp;G1493&amp;"?utm_source="&amp;E1493&amp;"&amp;utm_medium="&amp;F1493&amp;"&amp;utm_campaign="&amp;H1493&amp;"&amp;utm_content="&amp;I1493</f>
        <v>https://1clic-ia.eu/?utm_source=pdf_proposal&amp;utm_medium=document&amp;utm_campaign=2610_ff_lansare&amp;utm_content=client_general</v>
      </c>
    </row>
    <row r="1494" customFormat="false" ht="15" hidden="false" customHeight="false" outlineLevel="0" collapsed="false">
      <c r="A1494" s="10" t="s">
        <v>82</v>
      </c>
      <c r="B1494" s="10" t="str">
        <f aca="false">INDEX('Site-uri'!$B$2:$B$20,MATCH(A1494,'Site-uri'!$A$2:$A$20,0))</f>
        <v>1clic-ia.eu</v>
      </c>
      <c r="C1494" s="10" t="s">
        <v>198</v>
      </c>
      <c r="D1494" s="10" t="s">
        <v>219</v>
      </c>
      <c r="E1494" s="10" t="str">
        <f aca="false">INDEX(Canale!$C$2:$C$30,MATCH(C1494,Canale!$A$2:$A$30,0))</f>
        <v>qr_print</v>
      </c>
      <c r="F1494" s="10" t="str">
        <f aca="false">INDEX(Canale!$D$2:$D$30,MATCH(C1494,Canale!$A$2:$A$30,0))</f>
        <v>qr</v>
      </c>
      <c r="G1494" s="10" t="str">
        <f aca="false">INDEX('Site-uri'!$C$2:$C$20,MATCH(A1494,'Site-uri'!$A$2:$A$20,0))</f>
        <v>/</v>
      </c>
      <c r="H1494" s="10" t="str">
        <f aca="false">Config!$B$3</f>
        <v>2610_ff_lansare</v>
      </c>
      <c r="I1494" s="10" t="str">
        <f aca="false">D1494&amp;"_"&amp;Config!$B$4</f>
        <v>rece_general</v>
      </c>
      <c r="J1494" s="10" t="str">
        <f aca="false">"https://"&amp;B1494&amp;G1494&amp;"?utm_source="&amp;E1494&amp;"&amp;utm_medium="&amp;F1494&amp;"&amp;utm_campaign="&amp;H1494&amp;"&amp;utm_content="&amp;I1494</f>
        <v>https://1clic-ia.eu/?utm_source=qr_print&amp;utm_medium=qr&amp;utm_campaign=2610_ff_lansare&amp;utm_content=rece_general</v>
      </c>
    </row>
    <row r="1495" customFormat="false" ht="15" hidden="false" customHeight="false" outlineLevel="0" collapsed="false">
      <c r="A1495" s="10" t="s">
        <v>82</v>
      </c>
      <c r="B1495" s="10" t="str">
        <f aca="false">INDEX('Site-uri'!$B$2:$B$20,MATCH(A1495,'Site-uri'!$A$2:$A$20,0))</f>
        <v>1clic-ia.eu</v>
      </c>
      <c r="C1495" s="10" t="s">
        <v>198</v>
      </c>
      <c r="D1495" s="10" t="s">
        <v>225</v>
      </c>
      <c r="E1495" s="10" t="str">
        <f aca="false">INDEX(Canale!$C$2:$C$30,MATCH(C1495,Canale!$A$2:$A$30,0))</f>
        <v>qr_print</v>
      </c>
      <c r="F1495" s="10" t="str">
        <f aca="false">INDEX(Canale!$D$2:$D$30,MATCH(C1495,Canale!$A$2:$A$30,0))</f>
        <v>qr</v>
      </c>
      <c r="G1495" s="10" t="str">
        <f aca="false">INDEX('Site-uri'!$C$2:$C$20,MATCH(A1495,'Site-uri'!$A$2:$A$20,0))</f>
        <v>/</v>
      </c>
      <c r="H1495" s="10" t="str">
        <f aca="false">Config!$B$3</f>
        <v>2610_ff_lansare</v>
      </c>
      <c r="I1495" s="10" t="str">
        <f aca="false">D1495&amp;"_"&amp;Config!$B$4</f>
        <v>cald_general</v>
      </c>
      <c r="J1495" s="10" t="str">
        <f aca="false">"https://"&amp;B1495&amp;G1495&amp;"?utm_source="&amp;E1495&amp;"&amp;utm_medium="&amp;F1495&amp;"&amp;utm_campaign="&amp;H1495&amp;"&amp;utm_content="&amp;I1495</f>
        <v>https://1clic-ia.eu/?utm_source=qr_print&amp;utm_medium=qr&amp;utm_campaign=2610_ff_lansare&amp;utm_content=cald_general</v>
      </c>
    </row>
    <row r="1496" customFormat="false" ht="15" hidden="false" customHeight="false" outlineLevel="0" collapsed="false">
      <c r="A1496" s="10" t="s">
        <v>82</v>
      </c>
      <c r="B1496" s="10" t="str">
        <f aca="false">INDEX('Site-uri'!$B$2:$B$20,MATCH(A1496,'Site-uri'!$A$2:$A$20,0))</f>
        <v>1clic-ia.eu</v>
      </c>
      <c r="C1496" s="10" t="s">
        <v>198</v>
      </c>
      <c r="D1496" s="10" t="s">
        <v>231</v>
      </c>
      <c r="E1496" s="10" t="str">
        <f aca="false">INDEX(Canale!$C$2:$C$30,MATCH(C1496,Canale!$A$2:$A$30,0))</f>
        <v>qr_print</v>
      </c>
      <c r="F1496" s="10" t="str">
        <f aca="false">INDEX(Canale!$D$2:$D$30,MATCH(C1496,Canale!$A$2:$A$30,0))</f>
        <v>qr</v>
      </c>
      <c r="G1496" s="10" t="str">
        <f aca="false">INDEX('Site-uri'!$C$2:$C$20,MATCH(A1496,'Site-uri'!$A$2:$A$20,0))</f>
        <v>/</v>
      </c>
      <c r="H1496" s="10" t="str">
        <f aca="false">Config!$B$3</f>
        <v>2610_ff_lansare</v>
      </c>
      <c r="I1496" s="10" t="str">
        <f aca="false">D1496&amp;"_"&amp;Config!$B$4</f>
        <v>fierbinte_general</v>
      </c>
      <c r="J1496" s="10" t="str">
        <f aca="false">"https://"&amp;B1496&amp;G1496&amp;"?utm_source="&amp;E1496&amp;"&amp;utm_medium="&amp;F1496&amp;"&amp;utm_campaign="&amp;H1496&amp;"&amp;utm_content="&amp;I1496</f>
        <v>https://1clic-ia.eu/?utm_source=qr_print&amp;utm_medium=qr&amp;utm_campaign=2610_ff_lansare&amp;utm_content=fierbinte_general</v>
      </c>
    </row>
    <row r="1497" customFormat="false" ht="15" hidden="false" customHeight="false" outlineLevel="0" collapsed="false">
      <c r="A1497" s="10" t="s">
        <v>82</v>
      </c>
      <c r="B1497" s="10" t="str">
        <f aca="false">INDEX('Site-uri'!$B$2:$B$20,MATCH(A1497,'Site-uri'!$A$2:$A$20,0))</f>
        <v>1clic-ia.eu</v>
      </c>
      <c r="C1497" s="10" t="s">
        <v>198</v>
      </c>
      <c r="D1497" s="10" t="s">
        <v>237</v>
      </c>
      <c r="E1497" s="10" t="str">
        <f aca="false">INDEX(Canale!$C$2:$C$30,MATCH(C1497,Canale!$A$2:$A$30,0))</f>
        <v>qr_print</v>
      </c>
      <c r="F1497" s="10" t="str">
        <f aca="false">INDEX(Canale!$D$2:$D$30,MATCH(C1497,Canale!$A$2:$A$30,0))</f>
        <v>qr</v>
      </c>
      <c r="G1497" s="10" t="str">
        <f aca="false">INDEX('Site-uri'!$C$2:$C$20,MATCH(A1497,'Site-uri'!$A$2:$A$20,0))</f>
        <v>/</v>
      </c>
      <c r="H1497" s="10" t="str">
        <f aca="false">Config!$B$3</f>
        <v>2610_ff_lansare</v>
      </c>
      <c r="I1497" s="10" t="str">
        <f aca="false">D1497&amp;"_"&amp;Config!$B$4</f>
        <v>client_general</v>
      </c>
      <c r="J1497" s="10" t="str">
        <f aca="false">"https://"&amp;B1497&amp;G1497&amp;"?utm_source="&amp;E1497&amp;"&amp;utm_medium="&amp;F1497&amp;"&amp;utm_campaign="&amp;H1497&amp;"&amp;utm_content="&amp;I1497</f>
        <v>https://1clic-ia.eu/?utm_source=qr_print&amp;utm_medium=qr&amp;utm_campaign=2610_ff_lansare&amp;utm_content=client_general</v>
      </c>
    </row>
    <row r="1498" customFormat="false" ht="15" hidden="false" customHeight="false" outlineLevel="0" collapsed="false">
      <c r="A1498" s="10" t="s">
        <v>82</v>
      </c>
      <c r="B1498" s="10" t="str">
        <f aca="false">INDEX('Site-uri'!$B$2:$B$20,MATCH(A1498,'Site-uri'!$A$2:$A$20,0))</f>
        <v>1clic-ia.eu</v>
      </c>
      <c r="C1498" s="10" t="s">
        <v>202</v>
      </c>
      <c r="D1498" s="10" t="s">
        <v>219</v>
      </c>
      <c r="E1498" s="10" t="str">
        <f aca="false">INDEX(Canale!$C$2:$C$30,MATCH(C1498,Canale!$A$2:$A$30,0))</f>
        <v>event</v>
      </c>
      <c r="F1498" s="10" t="str">
        <f aca="false">INDEX(Canale!$D$2:$D$30,MATCH(C1498,Canale!$A$2:$A$30,0))</f>
        <v>event</v>
      </c>
      <c r="G1498" s="10" t="str">
        <f aca="false">INDEX('Site-uri'!$C$2:$C$20,MATCH(A1498,'Site-uri'!$A$2:$A$20,0))</f>
        <v>/</v>
      </c>
      <c r="H1498" s="10" t="str">
        <f aca="false">Config!$B$3</f>
        <v>2610_ff_lansare</v>
      </c>
      <c r="I1498" s="10" t="str">
        <f aca="false">D1498&amp;"_"&amp;Config!$B$4</f>
        <v>rece_general</v>
      </c>
      <c r="J1498" s="10" t="str">
        <f aca="false">"https://"&amp;B1498&amp;G1498&amp;"?utm_source="&amp;E1498&amp;"&amp;utm_medium="&amp;F1498&amp;"&amp;utm_campaign="&amp;H1498&amp;"&amp;utm_content="&amp;I1498</f>
        <v>https://1clic-ia.eu/?utm_source=event&amp;utm_medium=event&amp;utm_campaign=2610_ff_lansare&amp;utm_content=rece_general</v>
      </c>
    </row>
    <row r="1499" customFormat="false" ht="15" hidden="false" customHeight="false" outlineLevel="0" collapsed="false">
      <c r="A1499" s="10" t="s">
        <v>82</v>
      </c>
      <c r="B1499" s="10" t="str">
        <f aca="false">INDEX('Site-uri'!$B$2:$B$20,MATCH(A1499,'Site-uri'!$A$2:$A$20,0))</f>
        <v>1clic-ia.eu</v>
      </c>
      <c r="C1499" s="10" t="s">
        <v>202</v>
      </c>
      <c r="D1499" s="10" t="s">
        <v>225</v>
      </c>
      <c r="E1499" s="10" t="str">
        <f aca="false">INDEX(Canale!$C$2:$C$30,MATCH(C1499,Canale!$A$2:$A$30,0))</f>
        <v>event</v>
      </c>
      <c r="F1499" s="10" t="str">
        <f aca="false">INDEX(Canale!$D$2:$D$30,MATCH(C1499,Canale!$A$2:$A$30,0))</f>
        <v>event</v>
      </c>
      <c r="G1499" s="10" t="str">
        <f aca="false">INDEX('Site-uri'!$C$2:$C$20,MATCH(A1499,'Site-uri'!$A$2:$A$20,0))</f>
        <v>/</v>
      </c>
      <c r="H1499" s="10" t="str">
        <f aca="false">Config!$B$3</f>
        <v>2610_ff_lansare</v>
      </c>
      <c r="I1499" s="10" t="str">
        <f aca="false">D1499&amp;"_"&amp;Config!$B$4</f>
        <v>cald_general</v>
      </c>
      <c r="J1499" s="10" t="str">
        <f aca="false">"https://"&amp;B1499&amp;G1499&amp;"?utm_source="&amp;E1499&amp;"&amp;utm_medium="&amp;F1499&amp;"&amp;utm_campaign="&amp;H1499&amp;"&amp;utm_content="&amp;I1499</f>
        <v>https://1clic-ia.eu/?utm_source=event&amp;utm_medium=event&amp;utm_campaign=2610_ff_lansare&amp;utm_content=cald_general</v>
      </c>
    </row>
    <row r="1500" customFormat="false" ht="15" hidden="false" customHeight="false" outlineLevel="0" collapsed="false">
      <c r="A1500" s="10" t="s">
        <v>82</v>
      </c>
      <c r="B1500" s="10" t="str">
        <f aca="false">INDEX('Site-uri'!$B$2:$B$20,MATCH(A1500,'Site-uri'!$A$2:$A$20,0))</f>
        <v>1clic-ia.eu</v>
      </c>
      <c r="C1500" s="10" t="s">
        <v>202</v>
      </c>
      <c r="D1500" s="10" t="s">
        <v>231</v>
      </c>
      <c r="E1500" s="10" t="str">
        <f aca="false">INDEX(Canale!$C$2:$C$30,MATCH(C1500,Canale!$A$2:$A$30,0))</f>
        <v>event</v>
      </c>
      <c r="F1500" s="10" t="str">
        <f aca="false">INDEX(Canale!$D$2:$D$30,MATCH(C1500,Canale!$A$2:$A$30,0))</f>
        <v>event</v>
      </c>
      <c r="G1500" s="10" t="str">
        <f aca="false">INDEX('Site-uri'!$C$2:$C$20,MATCH(A1500,'Site-uri'!$A$2:$A$20,0))</f>
        <v>/</v>
      </c>
      <c r="H1500" s="10" t="str">
        <f aca="false">Config!$B$3</f>
        <v>2610_ff_lansare</v>
      </c>
      <c r="I1500" s="10" t="str">
        <f aca="false">D1500&amp;"_"&amp;Config!$B$4</f>
        <v>fierbinte_general</v>
      </c>
      <c r="J1500" s="10" t="str">
        <f aca="false">"https://"&amp;B1500&amp;G1500&amp;"?utm_source="&amp;E1500&amp;"&amp;utm_medium="&amp;F1500&amp;"&amp;utm_campaign="&amp;H1500&amp;"&amp;utm_content="&amp;I1500</f>
        <v>https://1clic-ia.eu/?utm_source=event&amp;utm_medium=event&amp;utm_campaign=2610_ff_lansare&amp;utm_content=fierbinte_general</v>
      </c>
    </row>
    <row r="1501" customFormat="false" ht="15" hidden="false" customHeight="false" outlineLevel="0" collapsed="false">
      <c r="A1501" s="10" t="s">
        <v>82</v>
      </c>
      <c r="B1501" s="10" t="str">
        <f aca="false">INDEX('Site-uri'!$B$2:$B$20,MATCH(A1501,'Site-uri'!$A$2:$A$20,0))</f>
        <v>1clic-ia.eu</v>
      </c>
      <c r="C1501" s="10" t="s">
        <v>202</v>
      </c>
      <c r="D1501" s="10" t="s">
        <v>237</v>
      </c>
      <c r="E1501" s="10" t="str">
        <f aca="false">INDEX(Canale!$C$2:$C$30,MATCH(C1501,Canale!$A$2:$A$30,0))</f>
        <v>event</v>
      </c>
      <c r="F1501" s="10" t="str">
        <f aca="false">INDEX(Canale!$D$2:$D$30,MATCH(C1501,Canale!$A$2:$A$30,0))</f>
        <v>event</v>
      </c>
      <c r="G1501" s="10" t="str">
        <f aca="false">INDEX('Site-uri'!$C$2:$C$20,MATCH(A1501,'Site-uri'!$A$2:$A$20,0))</f>
        <v>/</v>
      </c>
      <c r="H1501" s="10" t="str">
        <f aca="false">Config!$B$3</f>
        <v>2610_ff_lansare</v>
      </c>
      <c r="I1501" s="10" t="str">
        <f aca="false">D1501&amp;"_"&amp;Config!$B$4</f>
        <v>client_general</v>
      </c>
      <c r="J1501" s="10" t="str">
        <f aca="false">"https://"&amp;B1501&amp;G1501&amp;"?utm_source="&amp;E1501&amp;"&amp;utm_medium="&amp;F1501&amp;"&amp;utm_campaign="&amp;H1501&amp;"&amp;utm_content="&amp;I1501</f>
        <v>https://1clic-ia.eu/?utm_source=event&amp;utm_medium=event&amp;utm_campaign=2610_ff_lansare&amp;utm_content=client_general</v>
      </c>
    </row>
    <row r="1502" customFormat="false" ht="15" hidden="false" customHeight="false" outlineLevel="0" collapsed="false">
      <c r="A1502" s="10" t="s">
        <v>82</v>
      </c>
      <c r="B1502" s="10" t="str">
        <f aca="false">INDEX('Site-uri'!$B$2:$B$20,MATCH(A1502,'Site-uri'!$A$2:$A$20,0))</f>
        <v>1clic-ia.eu</v>
      </c>
      <c r="C1502" s="10" t="s">
        <v>204</v>
      </c>
      <c r="D1502" s="10" t="s">
        <v>219</v>
      </c>
      <c r="E1502" s="10" t="str">
        <f aca="false">INDEX(Canale!$C$2:$C$30,MATCH(C1502,Canale!$A$2:$A$30,0))</f>
        <v>a2a_agent_card</v>
      </c>
      <c r="F1502" s="10" t="str">
        <f aca="false">INDEX(Canale!$D$2:$D$30,MATCH(C1502,Canale!$A$2:$A$30,0))</f>
        <v>agent</v>
      </c>
      <c r="G1502" s="10" t="str">
        <f aca="false">INDEX('Site-uri'!$C$2:$C$20,MATCH(A1502,'Site-uri'!$A$2:$A$20,0))</f>
        <v>/</v>
      </c>
      <c r="H1502" s="10" t="str">
        <f aca="false">Config!$B$3</f>
        <v>2610_ff_lansare</v>
      </c>
      <c r="I1502" s="10" t="str">
        <f aca="false">D1502&amp;"_"&amp;Config!$B$4</f>
        <v>rece_general</v>
      </c>
      <c r="J1502" s="10" t="str">
        <f aca="false">"https://"&amp;B1502&amp;G1502&amp;"?utm_source="&amp;E1502&amp;"&amp;utm_medium="&amp;F1502&amp;"&amp;utm_campaign="&amp;H1502&amp;"&amp;utm_content="&amp;I1502</f>
        <v>https://1clic-ia.eu/?utm_source=a2a_agent_card&amp;utm_medium=agent&amp;utm_campaign=2610_ff_lansare&amp;utm_content=rece_general</v>
      </c>
    </row>
    <row r="1503" customFormat="false" ht="15" hidden="false" customHeight="false" outlineLevel="0" collapsed="false">
      <c r="A1503" s="10" t="s">
        <v>82</v>
      </c>
      <c r="B1503" s="10" t="str">
        <f aca="false">INDEX('Site-uri'!$B$2:$B$20,MATCH(A1503,'Site-uri'!$A$2:$A$20,0))</f>
        <v>1clic-ia.eu</v>
      </c>
      <c r="C1503" s="10" t="s">
        <v>204</v>
      </c>
      <c r="D1503" s="10" t="s">
        <v>225</v>
      </c>
      <c r="E1503" s="10" t="str">
        <f aca="false">INDEX(Canale!$C$2:$C$30,MATCH(C1503,Canale!$A$2:$A$30,0))</f>
        <v>a2a_agent_card</v>
      </c>
      <c r="F1503" s="10" t="str">
        <f aca="false">INDEX(Canale!$D$2:$D$30,MATCH(C1503,Canale!$A$2:$A$30,0))</f>
        <v>agent</v>
      </c>
      <c r="G1503" s="10" t="str">
        <f aca="false">INDEX('Site-uri'!$C$2:$C$20,MATCH(A1503,'Site-uri'!$A$2:$A$20,0))</f>
        <v>/</v>
      </c>
      <c r="H1503" s="10" t="str">
        <f aca="false">Config!$B$3</f>
        <v>2610_ff_lansare</v>
      </c>
      <c r="I1503" s="10" t="str">
        <f aca="false">D1503&amp;"_"&amp;Config!$B$4</f>
        <v>cald_general</v>
      </c>
      <c r="J1503" s="10" t="str">
        <f aca="false">"https://"&amp;B1503&amp;G1503&amp;"?utm_source="&amp;E1503&amp;"&amp;utm_medium="&amp;F1503&amp;"&amp;utm_campaign="&amp;H1503&amp;"&amp;utm_content="&amp;I1503</f>
        <v>https://1clic-ia.eu/?utm_source=a2a_agent_card&amp;utm_medium=agent&amp;utm_campaign=2610_ff_lansare&amp;utm_content=cald_general</v>
      </c>
    </row>
    <row r="1504" customFormat="false" ht="15" hidden="false" customHeight="false" outlineLevel="0" collapsed="false">
      <c r="A1504" s="10" t="s">
        <v>82</v>
      </c>
      <c r="B1504" s="10" t="str">
        <f aca="false">INDEX('Site-uri'!$B$2:$B$20,MATCH(A1504,'Site-uri'!$A$2:$A$20,0))</f>
        <v>1clic-ia.eu</v>
      </c>
      <c r="C1504" s="10" t="s">
        <v>204</v>
      </c>
      <c r="D1504" s="10" t="s">
        <v>231</v>
      </c>
      <c r="E1504" s="10" t="str">
        <f aca="false">INDEX(Canale!$C$2:$C$30,MATCH(C1504,Canale!$A$2:$A$30,0))</f>
        <v>a2a_agent_card</v>
      </c>
      <c r="F1504" s="10" t="str">
        <f aca="false">INDEX(Canale!$D$2:$D$30,MATCH(C1504,Canale!$A$2:$A$30,0))</f>
        <v>agent</v>
      </c>
      <c r="G1504" s="10" t="str">
        <f aca="false">INDEX('Site-uri'!$C$2:$C$20,MATCH(A1504,'Site-uri'!$A$2:$A$20,0))</f>
        <v>/</v>
      </c>
      <c r="H1504" s="10" t="str">
        <f aca="false">Config!$B$3</f>
        <v>2610_ff_lansare</v>
      </c>
      <c r="I1504" s="10" t="str">
        <f aca="false">D1504&amp;"_"&amp;Config!$B$4</f>
        <v>fierbinte_general</v>
      </c>
      <c r="J1504" s="10" t="str">
        <f aca="false">"https://"&amp;B1504&amp;G1504&amp;"?utm_source="&amp;E1504&amp;"&amp;utm_medium="&amp;F1504&amp;"&amp;utm_campaign="&amp;H1504&amp;"&amp;utm_content="&amp;I1504</f>
        <v>https://1clic-ia.eu/?utm_source=a2a_agent_card&amp;utm_medium=agent&amp;utm_campaign=2610_ff_lansare&amp;utm_content=fierbinte_general</v>
      </c>
    </row>
    <row r="1505" customFormat="false" ht="15" hidden="false" customHeight="false" outlineLevel="0" collapsed="false">
      <c r="A1505" s="10" t="s">
        <v>82</v>
      </c>
      <c r="B1505" s="10" t="str">
        <f aca="false">INDEX('Site-uri'!$B$2:$B$20,MATCH(A1505,'Site-uri'!$A$2:$A$20,0))</f>
        <v>1clic-ia.eu</v>
      </c>
      <c r="C1505" s="10" t="s">
        <v>204</v>
      </c>
      <c r="D1505" s="10" t="s">
        <v>237</v>
      </c>
      <c r="E1505" s="10" t="str">
        <f aca="false">INDEX(Canale!$C$2:$C$30,MATCH(C1505,Canale!$A$2:$A$30,0))</f>
        <v>a2a_agent_card</v>
      </c>
      <c r="F1505" s="10" t="str">
        <f aca="false">INDEX(Canale!$D$2:$D$30,MATCH(C1505,Canale!$A$2:$A$30,0))</f>
        <v>agent</v>
      </c>
      <c r="G1505" s="10" t="str">
        <f aca="false">INDEX('Site-uri'!$C$2:$C$20,MATCH(A1505,'Site-uri'!$A$2:$A$20,0))</f>
        <v>/</v>
      </c>
      <c r="H1505" s="10" t="str">
        <f aca="false">Config!$B$3</f>
        <v>2610_ff_lansare</v>
      </c>
      <c r="I1505" s="10" t="str">
        <f aca="false">D1505&amp;"_"&amp;Config!$B$4</f>
        <v>client_general</v>
      </c>
      <c r="J1505" s="10" t="str">
        <f aca="false">"https://"&amp;B1505&amp;G1505&amp;"?utm_source="&amp;E1505&amp;"&amp;utm_medium="&amp;F1505&amp;"&amp;utm_campaign="&amp;H1505&amp;"&amp;utm_content="&amp;I1505</f>
        <v>https://1clic-ia.eu/?utm_source=a2a_agent_card&amp;utm_medium=agent&amp;utm_campaign=2610_ff_lansare&amp;utm_content=client_general</v>
      </c>
    </row>
    <row r="1506" customFormat="false" ht="15" hidden="false" customHeight="false" outlineLevel="0" collapsed="false">
      <c r="A1506" s="10" t="s">
        <v>82</v>
      </c>
      <c r="B1506" s="10" t="str">
        <f aca="false">INDEX('Site-uri'!$B$2:$B$20,MATCH(A1506,'Site-uri'!$A$2:$A$20,0))</f>
        <v>1clic-ia.eu</v>
      </c>
      <c r="C1506" s="10" t="s">
        <v>209</v>
      </c>
      <c r="D1506" s="10" t="s">
        <v>219</v>
      </c>
      <c r="E1506" s="10" t="str">
        <f aca="false">INDEX(Canale!$C$2:$C$30,MATCH(C1506,Canale!$A$2:$A$30,0))</f>
        <v>llms_txt</v>
      </c>
      <c r="F1506" s="10" t="str">
        <f aca="false">INDEX(Canale!$D$2:$D$30,MATCH(C1506,Canale!$A$2:$A$30,0))</f>
        <v>ai_web</v>
      </c>
      <c r="G1506" s="10" t="str">
        <f aca="false">INDEX('Site-uri'!$C$2:$C$20,MATCH(A1506,'Site-uri'!$A$2:$A$20,0))</f>
        <v>/</v>
      </c>
      <c r="H1506" s="10" t="str">
        <f aca="false">Config!$B$3</f>
        <v>2610_ff_lansare</v>
      </c>
      <c r="I1506" s="10" t="str">
        <f aca="false">D1506&amp;"_"&amp;Config!$B$4</f>
        <v>rece_general</v>
      </c>
      <c r="J1506" s="10" t="str">
        <f aca="false">"https://"&amp;B1506&amp;G1506&amp;"?utm_source="&amp;E1506&amp;"&amp;utm_medium="&amp;F1506&amp;"&amp;utm_campaign="&amp;H1506&amp;"&amp;utm_content="&amp;I1506</f>
        <v>https://1clic-ia.eu/?utm_source=llms_txt&amp;utm_medium=ai_web&amp;utm_campaign=2610_ff_lansare&amp;utm_content=rece_general</v>
      </c>
    </row>
    <row r="1507" customFormat="false" ht="15" hidden="false" customHeight="false" outlineLevel="0" collapsed="false">
      <c r="A1507" s="10" t="s">
        <v>82</v>
      </c>
      <c r="B1507" s="10" t="str">
        <f aca="false">INDEX('Site-uri'!$B$2:$B$20,MATCH(A1507,'Site-uri'!$A$2:$A$20,0))</f>
        <v>1clic-ia.eu</v>
      </c>
      <c r="C1507" s="10" t="s">
        <v>209</v>
      </c>
      <c r="D1507" s="10" t="s">
        <v>225</v>
      </c>
      <c r="E1507" s="10" t="str">
        <f aca="false">INDEX(Canale!$C$2:$C$30,MATCH(C1507,Canale!$A$2:$A$30,0))</f>
        <v>llms_txt</v>
      </c>
      <c r="F1507" s="10" t="str">
        <f aca="false">INDEX(Canale!$D$2:$D$30,MATCH(C1507,Canale!$A$2:$A$30,0))</f>
        <v>ai_web</v>
      </c>
      <c r="G1507" s="10" t="str">
        <f aca="false">INDEX('Site-uri'!$C$2:$C$20,MATCH(A1507,'Site-uri'!$A$2:$A$20,0))</f>
        <v>/</v>
      </c>
      <c r="H1507" s="10" t="str">
        <f aca="false">Config!$B$3</f>
        <v>2610_ff_lansare</v>
      </c>
      <c r="I1507" s="10" t="str">
        <f aca="false">D1507&amp;"_"&amp;Config!$B$4</f>
        <v>cald_general</v>
      </c>
      <c r="J1507" s="10" t="str">
        <f aca="false">"https://"&amp;B1507&amp;G1507&amp;"?utm_source="&amp;E1507&amp;"&amp;utm_medium="&amp;F1507&amp;"&amp;utm_campaign="&amp;H1507&amp;"&amp;utm_content="&amp;I1507</f>
        <v>https://1clic-ia.eu/?utm_source=llms_txt&amp;utm_medium=ai_web&amp;utm_campaign=2610_ff_lansare&amp;utm_content=cald_general</v>
      </c>
    </row>
    <row r="1508" customFormat="false" ht="15" hidden="false" customHeight="false" outlineLevel="0" collapsed="false">
      <c r="A1508" s="10" t="s">
        <v>82</v>
      </c>
      <c r="B1508" s="10" t="str">
        <f aca="false">INDEX('Site-uri'!$B$2:$B$20,MATCH(A1508,'Site-uri'!$A$2:$A$20,0))</f>
        <v>1clic-ia.eu</v>
      </c>
      <c r="C1508" s="10" t="s">
        <v>209</v>
      </c>
      <c r="D1508" s="10" t="s">
        <v>231</v>
      </c>
      <c r="E1508" s="10" t="str">
        <f aca="false">INDEX(Canale!$C$2:$C$30,MATCH(C1508,Canale!$A$2:$A$30,0))</f>
        <v>llms_txt</v>
      </c>
      <c r="F1508" s="10" t="str">
        <f aca="false">INDEX(Canale!$D$2:$D$30,MATCH(C1508,Canale!$A$2:$A$30,0))</f>
        <v>ai_web</v>
      </c>
      <c r="G1508" s="10" t="str">
        <f aca="false">INDEX('Site-uri'!$C$2:$C$20,MATCH(A1508,'Site-uri'!$A$2:$A$20,0))</f>
        <v>/</v>
      </c>
      <c r="H1508" s="10" t="str">
        <f aca="false">Config!$B$3</f>
        <v>2610_ff_lansare</v>
      </c>
      <c r="I1508" s="10" t="str">
        <f aca="false">D1508&amp;"_"&amp;Config!$B$4</f>
        <v>fierbinte_general</v>
      </c>
      <c r="J1508" s="10" t="str">
        <f aca="false">"https://"&amp;B1508&amp;G1508&amp;"?utm_source="&amp;E1508&amp;"&amp;utm_medium="&amp;F1508&amp;"&amp;utm_campaign="&amp;H1508&amp;"&amp;utm_content="&amp;I1508</f>
        <v>https://1clic-ia.eu/?utm_source=llms_txt&amp;utm_medium=ai_web&amp;utm_campaign=2610_ff_lansare&amp;utm_content=fierbinte_general</v>
      </c>
    </row>
    <row r="1509" customFormat="false" ht="15" hidden="false" customHeight="false" outlineLevel="0" collapsed="false">
      <c r="A1509" s="10" t="s">
        <v>82</v>
      </c>
      <c r="B1509" s="10" t="str">
        <f aca="false">INDEX('Site-uri'!$B$2:$B$20,MATCH(A1509,'Site-uri'!$A$2:$A$20,0))</f>
        <v>1clic-ia.eu</v>
      </c>
      <c r="C1509" s="10" t="s">
        <v>209</v>
      </c>
      <c r="D1509" s="10" t="s">
        <v>237</v>
      </c>
      <c r="E1509" s="10" t="str">
        <f aca="false">INDEX(Canale!$C$2:$C$30,MATCH(C1509,Canale!$A$2:$A$30,0))</f>
        <v>llms_txt</v>
      </c>
      <c r="F1509" s="10" t="str">
        <f aca="false">INDEX(Canale!$D$2:$D$30,MATCH(C1509,Canale!$A$2:$A$30,0))</f>
        <v>ai_web</v>
      </c>
      <c r="G1509" s="10" t="str">
        <f aca="false">INDEX('Site-uri'!$C$2:$C$20,MATCH(A1509,'Site-uri'!$A$2:$A$20,0))</f>
        <v>/</v>
      </c>
      <c r="H1509" s="10" t="str">
        <f aca="false">Config!$B$3</f>
        <v>2610_ff_lansare</v>
      </c>
      <c r="I1509" s="10" t="str">
        <f aca="false">D1509&amp;"_"&amp;Config!$B$4</f>
        <v>client_general</v>
      </c>
      <c r="J1509" s="10" t="str">
        <f aca="false">"https://"&amp;B1509&amp;G1509&amp;"?utm_source="&amp;E1509&amp;"&amp;utm_medium="&amp;F1509&amp;"&amp;utm_campaign="&amp;H1509&amp;"&amp;utm_content="&amp;I1509</f>
        <v>https://1clic-ia.eu/?utm_source=llms_txt&amp;utm_medium=ai_web&amp;utm_campaign=2610_ff_lansare&amp;utm_content=client_general</v>
      </c>
    </row>
    <row r="1510" customFormat="false" ht="15" hidden="false" customHeight="false" outlineLevel="0" collapsed="false">
      <c r="A1510" s="10" t="s">
        <v>85</v>
      </c>
      <c r="B1510" s="10" t="str">
        <f aca="false">INDEX('Site-uri'!$B$2:$B$20,MATCH(A1510,'Site-uri'!$A$2:$A$20,0))</f>
        <v>1clic-ia.fr</v>
      </c>
      <c r="C1510" s="10" t="s">
        <v>104</v>
      </c>
      <c r="D1510" s="10" t="s">
        <v>219</v>
      </c>
      <c r="E1510" s="10" t="str">
        <f aca="false">INDEX(Canale!$C$2:$C$30,MATCH(C1510,Canale!$A$2:$A$30,0))</f>
        <v>linkedin_personal</v>
      </c>
      <c r="F1510" s="10" t="str">
        <f aca="false">INDEX(Canale!$D$2:$D$30,MATCH(C1510,Canale!$A$2:$A$30,0))</f>
        <v>social</v>
      </c>
      <c r="G1510" s="10" t="str">
        <f aca="false">INDEX('Site-uri'!$C$2:$C$20,MATCH(A1510,'Site-uri'!$A$2:$A$20,0))</f>
        <v>/</v>
      </c>
      <c r="H1510" s="10" t="str">
        <f aca="false">Config!$B$3</f>
        <v>2610_ff_lansare</v>
      </c>
      <c r="I1510" s="10" t="str">
        <f aca="false">D1510&amp;"_"&amp;Config!$B$4</f>
        <v>rece_general</v>
      </c>
      <c r="J1510" s="10" t="str">
        <f aca="false">"https://"&amp;B1510&amp;G1510&amp;"?utm_source="&amp;E1510&amp;"&amp;utm_medium="&amp;F1510&amp;"&amp;utm_campaign="&amp;H1510&amp;"&amp;utm_content="&amp;I1510</f>
        <v>https://1clic-ia.fr/?utm_source=linkedin_personal&amp;utm_medium=social&amp;utm_campaign=2610_ff_lansare&amp;utm_content=rece_general</v>
      </c>
    </row>
    <row r="1511" customFormat="false" ht="15" hidden="false" customHeight="false" outlineLevel="0" collapsed="false">
      <c r="A1511" s="10" t="s">
        <v>85</v>
      </c>
      <c r="B1511" s="10" t="str">
        <f aca="false">INDEX('Site-uri'!$B$2:$B$20,MATCH(A1511,'Site-uri'!$A$2:$A$20,0))</f>
        <v>1clic-ia.fr</v>
      </c>
      <c r="C1511" s="10" t="s">
        <v>104</v>
      </c>
      <c r="D1511" s="10" t="s">
        <v>225</v>
      </c>
      <c r="E1511" s="10" t="str">
        <f aca="false">INDEX(Canale!$C$2:$C$30,MATCH(C1511,Canale!$A$2:$A$30,0))</f>
        <v>linkedin_personal</v>
      </c>
      <c r="F1511" s="10" t="str">
        <f aca="false">INDEX(Canale!$D$2:$D$30,MATCH(C1511,Canale!$A$2:$A$30,0))</f>
        <v>social</v>
      </c>
      <c r="G1511" s="10" t="str">
        <f aca="false">INDEX('Site-uri'!$C$2:$C$20,MATCH(A1511,'Site-uri'!$A$2:$A$20,0))</f>
        <v>/</v>
      </c>
      <c r="H1511" s="10" t="str">
        <f aca="false">Config!$B$3</f>
        <v>2610_ff_lansare</v>
      </c>
      <c r="I1511" s="10" t="str">
        <f aca="false">D1511&amp;"_"&amp;Config!$B$4</f>
        <v>cald_general</v>
      </c>
      <c r="J1511" s="10" t="str">
        <f aca="false">"https://"&amp;B1511&amp;G1511&amp;"?utm_source="&amp;E1511&amp;"&amp;utm_medium="&amp;F1511&amp;"&amp;utm_campaign="&amp;H1511&amp;"&amp;utm_content="&amp;I1511</f>
        <v>https://1clic-ia.fr/?utm_source=linkedin_personal&amp;utm_medium=social&amp;utm_campaign=2610_ff_lansare&amp;utm_content=cald_general</v>
      </c>
    </row>
    <row r="1512" customFormat="false" ht="15" hidden="false" customHeight="false" outlineLevel="0" collapsed="false">
      <c r="A1512" s="10" t="s">
        <v>85</v>
      </c>
      <c r="B1512" s="10" t="str">
        <f aca="false">INDEX('Site-uri'!$B$2:$B$20,MATCH(A1512,'Site-uri'!$A$2:$A$20,0))</f>
        <v>1clic-ia.fr</v>
      </c>
      <c r="C1512" s="10" t="s">
        <v>104</v>
      </c>
      <c r="D1512" s="10" t="s">
        <v>231</v>
      </c>
      <c r="E1512" s="10" t="str">
        <f aca="false">INDEX(Canale!$C$2:$C$30,MATCH(C1512,Canale!$A$2:$A$30,0))</f>
        <v>linkedin_personal</v>
      </c>
      <c r="F1512" s="10" t="str">
        <f aca="false">INDEX(Canale!$D$2:$D$30,MATCH(C1512,Canale!$A$2:$A$30,0))</f>
        <v>social</v>
      </c>
      <c r="G1512" s="10" t="str">
        <f aca="false">INDEX('Site-uri'!$C$2:$C$20,MATCH(A1512,'Site-uri'!$A$2:$A$20,0))</f>
        <v>/</v>
      </c>
      <c r="H1512" s="10" t="str">
        <f aca="false">Config!$B$3</f>
        <v>2610_ff_lansare</v>
      </c>
      <c r="I1512" s="10" t="str">
        <f aca="false">D1512&amp;"_"&amp;Config!$B$4</f>
        <v>fierbinte_general</v>
      </c>
      <c r="J1512" s="10" t="str">
        <f aca="false">"https://"&amp;B1512&amp;G1512&amp;"?utm_source="&amp;E1512&amp;"&amp;utm_medium="&amp;F1512&amp;"&amp;utm_campaign="&amp;H1512&amp;"&amp;utm_content="&amp;I1512</f>
        <v>https://1clic-ia.fr/?utm_source=linkedin_personal&amp;utm_medium=social&amp;utm_campaign=2610_ff_lansare&amp;utm_content=fierbinte_general</v>
      </c>
    </row>
    <row r="1513" customFormat="false" ht="15" hidden="false" customHeight="false" outlineLevel="0" collapsed="false">
      <c r="A1513" s="10" t="s">
        <v>85</v>
      </c>
      <c r="B1513" s="10" t="str">
        <f aca="false">INDEX('Site-uri'!$B$2:$B$20,MATCH(A1513,'Site-uri'!$A$2:$A$20,0))</f>
        <v>1clic-ia.fr</v>
      </c>
      <c r="C1513" s="10" t="s">
        <v>104</v>
      </c>
      <c r="D1513" s="10" t="s">
        <v>237</v>
      </c>
      <c r="E1513" s="10" t="str">
        <f aca="false">INDEX(Canale!$C$2:$C$30,MATCH(C1513,Canale!$A$2:$A$30,0))</f>
        <v>linkedin_personal</v>
      </c>
      <c r="F1513" s="10" t="str">
        <f aca="false">INDEX(Canale!$D$2:$D$30,MATCH(C1513,Canale!$A$2:$A$30,0))</f>
        <v>social</v>
      </c>
      <c r="G1513" s="10" t="str">
        <f aca="false">INDEX('Site-uri'!$C$2:$C$20,MATCH(A1513,'Site-uri'!$A$2:$A$20,0))</f>
        <v>/</v>
      </c>
      <c r="H1513" s="10" t="str">
        <f aca="false">Config!$B$3</f>
        <v>2610_ff_lansare</v>
      </c>
      <c r="I1513" s="10" t="str">
        <f aca="false">D1513&amp;"_"&amp;Config!$B$4</f>
        <v>client_general</v>
      </c>
      <c r="J1513" s="10" t="str">
        <f aca="false">"https://"&amp;B1513&amp;G1513&amp;"?utm_source="&amp;E1513&amp;"&amp;utm_medium="&amp;F1513&amp;"&amp;utm_campaign="&amp;H1513&amp;"&amp;utm_content="&amp;I1513</f>
        <v>https://1clic-ia.fr/?utm_source=linkedin_personal&amp;utm_medium=social&amp;utm_campaign=2610_ff_lansare&amp;utm_content=client_general</v>
      </c>
    </row>
    <row r="1514" customFormat="false" ht="15" hidden="false" customHeight="false" outlineLevel="0" collapsed="false">
      <c r="A1514" s="10" t="s">
        <v>85</v>
      </c>
      <c r="B1514" s="10" t="str">
        <f aca="false">INDEX('Site-uri'!$B$2:$B$20,MATCH(A1514,'Site-uri'!$A$2:$A$20,0))</f>
        <v>1clic-ia.fr</v>
      </c>
      <c r="C1514" s="10" t="s">
        <v>109</v>
      </c>
      <c r="D1514" s="10" t="s">
        <v>219</v>
      </c>
      <c r="E1514" s="10" t="str">
        <f aca="false">INDEX(Canale!$C$2:$C$30,MATCH(C1514,Canale!$A$2:$A$30,0))</f>
        <v>linkedin_company</v>
      </c>
      <c r="F1514" s="10" t="str">
        <f aca="false">INDEX(Canale!$D$2:$D$30,MATCH(C1514,Canale!$A$2:$A$30,0))</f>
        <v>social</v>
      </c>
      <c r="G1514" s="10" t="str">
        <f aca="false">INDEX('Site-uri'!$C$2:$C$20,MATCH(A1514,'Site-uri'!$A$2:$A$20,0))</f>
        <v>/</v>
      </c>
      <c r="H1514" s="10" t="str">
        <f aca="false">Config!$B$3</f>
        <v>2610_ff_lansare</v>
      </c>
      <c r="I1514" s="10" t="str">
        <f aca="false">D1514&amp;"_"&amp;Config!$B$4</f>
        <v>rece_general</v>
      </c>
      <c r="J1514" s="10" t="str">
        <f aca="false">"https://"&amp;B1514&amp;G1514&amp;"?utm_source="&amp;E1514&amp;"&amp;utm_medium="&amp;F1514&amp;"&amp;utm_campaign="&amp;H1514&amp;"&amp;utm_content="&amp;I1514</f>
        <v>https://1clic-ia.fr/?utm_source=linkedin_company&amp;utm_medium=social&amp;utm_campaign=2610_ff_lansare&amp;utm_content=rece_general</v>
      </c>
    </row>
    <row r="1515" customFormat="false" ht="15" hidden="false" customHeight="false" outlineLevel="0" collapsed="false">
      <c r="A1515" s="10" t="s">
        <v>85</v>
      </c>
      <c r="B1515" s="10" t="str">
        <f aca="false">INDEX('Site-uri'!$B$2:$B$20,MATCH(A1515,'Site-uri'!$A$2:$A$20,0))</f>
        <v>1clic-ia.fr</v>
      </c>
      <c r="C1515" s="10" t="s">
        <v>109</v>
      </c>
      <c r="D1515" s="10" t="s">
        <v>225</v>
      </c>
      <c r="E1515" s="10" t="str">
        <f aca="false">INDEX(Canale!$C$2:$C$30,MATCH(C1515,Canale!$A$2:$A$30,0))</f>
        <v>linkedin_company</v>
      </c>
      <c r="F1515" s="10" t="str">
        <f aca="false">INDEX(Canale!$D$2:$D$30,MATCH(C1515,Canale!$A$2:$A$30,0))</f>
        <v>social</v>
      </c>
      <c r="G1515" s="10" t="str">
        <f aca="false">INDEX('Site-uri'!$C$2:$C$20,MATCH(A1515,'Site-uri'!$A$2:$A$20,0))</f>
        <v>/</v>
      </c>
      <c r="H1515" s="10" t="str">
        <f aca="false">Config!$B$3</f>
        <v>2610_ff_lansare</v>
      </c>
      <c r="I1515" s="10" t="str">
        <f aca="false">D1515&amp;"_"&amp;Config!$B$4</f>
        <v>cald_general</v>
      </c>
      <c r="J1515" s="10" t="str">
        <f aca="false">"https://"&amp;B1515&amp;G1515&amp;"?utm_source="&amp;E1515&amp;"&amp;utm_medium="&amp;F1515&amp;"&amp;utm_campaign="&amp;H1515&amp;"&amp;utm_content="&amp;I1515</f>
        <v>https://1clic-ia.fr/?utm_source=linkedin_company&amp;utm_medium=social&amp;utm_campaign=2610_ff_lansare&amp;utm_content=cald_general</v>
      </c>
    </row>
    <row r="1516" customFormat="false" ht="15" hidden="false" customHeight="false" outlineLevel="0" collapsed="false">
      <c r="A1516" s="10" t="s">
        <v>85</v>
      </c>
      <c r="B1516" s="10" t="str">
        <f aca="false">INDEX('Site-uri'!$B$2:$B$20,MATCH(A1516,'Site-uri'!$A$2:$A$20,0))</f>
        <v>1clic-ia.fr</v>
      </c>
      <c r="C1516" s="10" t="s">
        <v>109</v>
      </c>
      <c r="D1516" s="10" t="s">
        <v>231</v>
      </c>
      <c r="E1516" s="10" t="str">
        <f aca="false">INDEX(Canale!$C$2:$C$30,MATCH(C1516,Canale!$A$2:$A$30,0))</f>
        <v>linkedin_company</v>
      </c>
      <c r="F1516" s="10" t="str">
        <f aca="false">INDEX(Canale!$D$2:$D$30,MATCH(C1516,Canale!$A$2:$A$30,0))</f>
        <v>social</v>
      </c>
      <c r="G1516" s="10" t="str">
        <f aca="false">INDEX('Site-uri'!$C$2:$C$20,MATCH(A1516,'Site-uri'!$A$2:$A$20,0))</f>
        <v>/</v>
      </c>
      <c r="H1516" s="10" t="str">
        <f aca="false">Config!$B$3</f>
        <v>2610_ff_lansare</v>
      </c>
      <c r="I1516" s="10" t="str">
        <f aca="false">D1516&amp;"_"&amp;Config!$B$4</f>
        <v>fierbinte_general</v>
      </c>
      <c r="J1516" s="10" t="str">
        <f aca="false">"https://"&amp;B1516&amp;G1516&amp;"?utm_source="&amp;E1516&amp;"&amp;utm_medium="&amp;F1516&amp;"&amp;utm_campaign="&amp;H1516&amp;"&amp;utm_content="&amp;I1516</f>
        <v>https://1clic-ia.fr/?utm_source=linkedin_company&amp;utm_medium=social&amp;utm_campaign=2610_ff_lansare&amp;utm_content=fierbinte_general</v>
      </c>
    </row>
    <row r="1517" customFormat="false" ht="15" hidden="false" customHeight="false" outlineLevel="0" collapsed="false">
      <c r="A1517" s="10" t="s">
        <v>85</v>
      </c>
      <c r="B1517" s="10" t="str">
        <f aca="false">INDEX('Site-uri'!$B$2:$B$20,MATCH(A1517,'Site-uri'!$A$2:$A$20,0))</f>
        <v>1clic-ia.fr</v>
      </c>
      <c r="C1517" s="10" t="s">
        <v>109</v>
      </c>
      <c r="D1517" s="10" t="s">
        <v>237</v>
      </c>
      <c r="E1517" s="10" t="str">
        <f aca="false">INDEX(Canale!$C$2:$C$30,MATCH(C1517,Canale!$A$2:$A$30,0))</f>
        <v>linkedin_company</v>
      </c>
      <c r="F1517" s="10" t="str">
        <f aca="false">INDEX(Canale!$D$2:$D$30,MATCH(C1517,Canale!$A$2:$A$30,0))</f>
        <v>social</v>
      </c>
      <c r="G1517" s="10" t="str">
        <f aca="false">INDEX('Site-uri'!$C$2:$C$20,MATCH(A1517,'Site-uri'!$A$2:$A$20,0))</f>
        <v>/</v>
      </c>
      <c r="H1517" s="10" t="str">
        <f aca="false">Config!$B$3</f>
        <v>2610_ff_lansare</v>
      </c>
      <c r="I1517" s="10" t="str">
        <f aca="false">D1517&amp;"_"&amp;Config!$B$4</f>
        <v>client_general</v>
      </c>
      <c r="J1517" s="10" t="str">
        <f aca="false">"https://"&amp;B1517&amp;G1517&amp;"?utm_source="&amp;E1517&amp;"&amp;utm_medium="&amp;F1517&amp;"&amp;utm_campaign="&amp;H1517&amp;"&amp;utm_content="&amp;I1517</f>
        <v>https://1clic-ia.fr/?utm_source=linkedin_company&amp;utm_medium=social&amp;utm_campaign=2610_ff_lansare&amp;utm_content=client_general</v>
      </c>
    </row>
    <row r="1518" customFormat="false" ht="15" hidden="false" customHeight="false" outlineLevel="0" collapsed="false">
      <c r="A1518" s="10" t="s">
        <v>85</v>
      </c>
      <c r="B1518" s="10" t="str">
        <f aca="false">INDEX('Site-uri'!$B$2:$B$20,MATCH(A1518,'Site-uri'!$A$2:$A$20,0))</f>
        <v>1clic-ia.fr</v>
      </c>
      <c r="C1518" s="10" t="s">
        <v>112</v>
      </c>
      <c r="D1518" s="10" t="s">
        <v>219</v>
      </c>
      <c r="E1518" s="10" t="str">
        <f aca="false">INDEX(Canale!$C$2:$C$30,MATCH(C1518,Canale!$A$2:$A$30,0))</f>
        <v>linkedin_showcase</v>
      </c>
      <c r="F1518" s="10" t="str">
        <f aca="false">INDEX(Canale!$D$2:$D$30,MATCH(C1518,Canale!$A$2:$A$30,0))</f>
        <v>social</v>
      </c>
      <c r="G1518" s="10" t="str">
        <f aca="false">INDEX('Site-uri'!$C$2:$C$20,MATCH(A1518,'Site-uri'!$A$2:$A$20,0))</f>
        <v>/</v>
      </c>
      <c r="H1518" s="10" t="str">
        <f aca="false">Config!$B$3</f>
        <v>2610_ff_lansare</v>
      </c>
      <c r="I1518" s="10" t="str">
        <f aca="false">D1518&amp;"_"&amp;Config!$B$4</f>
        <v>rece_general</v>
      </c>
      <c r="J1518" s="10" t="str">
        <f aca="false">"https://"&amp;B1518&amp;G1518&amp;"?utm_source="&amp;E1518&amp;"&amp;utm_medium="&amp;F1518&amp;"&amp;utm_campaign="&amp;H1518&amp;"&amp;utm_content="&amp;I1518</f>
        <v>https://1clic-ia.fr/?utm_source=linkedin_showcase&amp;utm_medium=social&amp;utm_campaign=2610_ff_lansare&amp;utm_content=rece_general</v>
      </c>
    </row>
    <row r="1519" customFormat="false" ht="15" hidden="false" customHeight="false" outlineLevel="0" collapsed="false">
      <c r="A1519" s="10" t="s">
        <v>85</v>
      </c>
      <c r="B1519" s="10" t="str">
        <f aca="false">INDEX('Site-uri'!$B$2:$B$20,MATCH(A1519,'Site-uri'!$A$2:$A$20,0))</f>
        <v>1clic-ia.fr</v>
      </c>
      <c r="C1519" s="10" t="s">
        <v>112</v>
      </c>
      <c r="D1519" s="10" t="s">
        <v>225</v>
      </c>
      <c r="E1519" s="10" t="str">
        <f aca="false">INDEX(Canale!$C$2:$C$30,MATCH(C1519,Canale!$A$2:$A$30,0))</f>
        <v>linkedin_showcase</v>
      </c>
      <c r="F1519" s="10" t="str">
        <f aca="false">INDEX(Canale!$D$2:$D$30,MATCH(C1519,Canale!$A$2:$A$30,0))</f>
        <v>social</v>
      </c>
      <c r="G1519" s="10" t="str">
        <f aca="false">INDEX('Site-uri'!$C$2:$C$20,MATCH(A1519,'Site-uri'!$A$2:$A$20,0))</f>
        <v>/</v>
      </c>
      <c r="H1519" s="10" t="str">
        <f aca="false">Config!$B$3</f>
        <v>2610_ff_lansare</v>
      </c>
      <c r="I1519" s="10" t="str">
        <f aca="false">D1519&amp;"_"&amp;Config!$B$4</f>
        <v>cald_general</v>
      </c>
      <c r="J1519" s="10" t="str">
        <f aca="false">"https://"&amp;B1519&amp;G1519&amp;"?utm_source="&amp;E1519&amp;"&amp;utm_medium="&amp;F1519&amp;"&amp;utm_campaign="&amp;H1519&amp;"&amp;utm_content="&amp;I1519</f>
        <v>https://1clic-ia.fr/?utm_source=linkedin_showcase&amp;utm_medium=social&amp;utm_campaign=2610_ff_lansare&amp;utm_content=cald_general</v>
      </c>
    </row>
    <row r="1520" customFormat="false" ht="15" hidden="false" customHeight="false" outlineLevel="0" collapsed="false">
      <c r="A1520" s="10" t="s">
        <v>85</v>
      </c>
      <c r="B1520" s="10" t="str">
        <f aca="false">INDEX('Site-uri'!$B$2:$B$20,MATCH(A1520,'Site-uri'!$A$2:$A$20,0))</f>
        <v>1clic-ia.fr</v>
      </c>
      <c r="C1520" s="10" t="s">
        <v>112</v>
      </c>
      <c r="D1520" s="10" t="s">
        <v>231</v>
      </c>
      <c r="E1520" s="10" t="str">
        <f aca="false">INDEX(Canale!$C$2:$C$30,MATCH(C1520,Canale!$A$2:$A$30,0))</f>
        <v>linkedin_showcase</v>
      </c>
      <c r="F1520" s="10" t="str">
        <f aca="false">INDEX(Canale!$D$2:$D$30,MATCH(C1520,Canale!$A$2:$A$30,0))</f>
        <v>social</v>
      </c>
      <c r="G1520" s="10" t="str">
        <f aca="false">INDEX('Site-uri'!$C$2:$C$20,MATCH(A1520,'Site-uri'!$A$2:$A$20,0))</f>
        <v>/</v>
      </c>
      <c r="H1520" s="10" t="str">
        <f aca="false">Config!$B$3</f>
        <v>2610_ff_lansare</v>
      </c>
      <c r="I1520" s="10" t="str">
        <f aca="false">D1520&amp;"_"&amp;Config!$B$4</f>
        <v>fierbinte_general</v>
      </c>
      <c r="J1520" s="10" t="str">
        <f aca="false">"https://"&amp;B1520&amp;G1520&amp;"?utm_source="&amp;E1520&amp;"&amp;utm_medium="&amp;F1520&amp;"&amp;utm_campaign="&amp;H1520&amp;"&amp;utm_content="&amp;I1520</f>
        <v>https://1clic-ia.fr/?utm_source=linkedin_showcase&amp;utm_medium=social&amp;utm_campaign=2610_ff_lansare&amp;utm_content=fierbinte_general</v>
      </c>
    </row>
    <row r="1521" customFormat="false" ht="15" hidden="false" customHeight="false" outlineLevel="0" collapsed="false">
      <c r="A1521" s="10" t="s">
        <v>85</v>
      </c>
      <c r="B1521" s="10" t="str">
        <f aca="false">INDEX('Site-uri'!$B$2:$B$20,MATCH(A1521,'Site-uri'!$A$2:$A$20,0))</f>
        <v>1clic-ia.fr</v>
      </c>
      <c r="C1521" s="10" t="s">
        <v>112</v>
      </c>
      <c r="D1521" s="10" t="s">
        <v>237</v>
      </c>
      <c r="E1521" s="10" t="str">
        <f aca="false">INDEX(Canale!$C$2:$C$30,MATCH(C1521,Canale!$A$2:$A$30,0))</f>
        <v>linkedin_showcase</v>
      </c>
      <c r="F1521" s="10" t="str">
        <f aca="false">INDEX(Canale!$D$2:$D$30,MATCH(C1521,Canale!$A$2:$A$30,0))</f>
        <v>social</v>
      </c>
      <c r="G1521" s="10" t="str">
        <f aca="false">INDEX('Site-uri'!$C$2:$C$20,MATCH(A1521,'Site-uri'!$A$2:$A$20,0))</f>
        <v>/</v>
      </c>
      <c r="H1521" s="10" t="str">
        <f aca="false">Config!$B$3</f>
        <v>2610_ff_lansare</v>
      </c>
      <c r="I1521" s="10" t="str">
        <f aca="false">D1521&amp;"_"&amp;Config!$B$4</f>
        <v>client_general</v>
      </c>
      <c r="J1521" s="10" t="str">
        <f aca="false">"https://"&amp;B1521&amp;G1521&amp;"?utm_source="&amp;E1521&amp;"&amp;utm_medium="&amp;F1521&amp;"&amp;utm_campaign="&amp;H1521&amp;"&amp;utm_content="&amp;I1521</f>
        <v>https://1clic-ia.fr/?utm_source=linkedin_showcase&amp;utm_medium=social&amp;utm_campaign=2610_ff_lansare&amp;utm_content=client_general</v>
      </c>
    </row>
    <row r="1522" customFormat="false" ht="15" hidden="false" customHeight="false" outlineLevel="0" collapsed="false">
      <c r="A1522" s="10" t="s">
        <v>85</v>
      </c>
      <c r="B1522" s="10" t="str">
        <f aca="false">INDEX('Site-uri'!$B$2:$B$20,MATCH(A1522,'Site-uri'!$A$2:$A$20,0))</f>
        <v>1clic-ia.fr</v>
      </c>
      <c r="C1522" s="10" t="s">
        <v>115</v>
      </c>
      <c r="D1522" s="10" t="s">
        <v>219</v>
      </c>
      <c r="E1522" s="10" t="str">
        <f aca="false">INDEX(Canale!$C$2:$C$30,MATCH(C1522,Canale!$A$2:$A$30,0))</f>
        <v>linkedin_newsletter</v>
      </c>
      <c r="F1522" s="10" t="str">
        <f aca="false">INDEX(Canale!$D$2:$D$30,MATCH(C1522,Canale!$A$2:$A$30,0))</f>
        <v>social</v>
      </c>
      <c r="G1522" s="10" t="str">
        <f aca="false">INDEX('Site-uri'!$C$2:$C$20,MATCH(A1522,'Site-uri'!$A$2:$A$20,0))</f>
        <v>/</v>
      </c>
      <c r="H1522" s="10" t="str">
        <f aca="false">Config!$B$3</f>
        <v>2610_ff_lansare</v>
      </c>
      <c r="I1522" s="10" t="str">
        <f aca="false">D1522&amp;"_"&amp;Config!$B$4</f>
        <v>rece_general</v>
      </c>
      <c r="J1522" s="10" t="str">
        <f aca="false">"https://"&amp;B1522&amp;G1522&amp;"?utm_source="&amp;E1522&amp;"&amp;utm_medium="&amp;F1522&amp;"&amp;utm_campaign="&amp;H1522&amp;"&amp;utm_content="&amp;I1522</f>
        <v>https://1clic-ia.fr/?utm_source=linkedin_newsletter&amp;utm_medium=social&amp;utm_campaign=2610_ff_lansare&amp;utm_content=rece_general</v>
      </c>
    </row>
    <row r="1523" customFormat="false" ht="15" hidden="false" customHeight="false" outlineLevel="0" collapsed="false">
      <c r="A1523" s="10" t="s">
        <v>85</v>
      </c>
      <c r="B1523" s="10" t="str">
        <f aca="false">INDEX('Site-uri'!$B$2:$B$20,MATCH(A1523,'Site-uri'!$A$2:$A$20,0))</f>
        <v>1clic-ia.fr</v>
      </c>
      <c r="C1523" s="10" t="s">
        <v>115</v>
      </c>
      <c r="D1523" s="10" t="s">
        <v>225</v>
      </c>
      <c r="E1523" s="10" t="str">
        <f aca="false">INDEX(Canale!$C$2:$C$30,MATCH(C1523,Canale!$A$2:$A$30,0))</f>
        <v>linkedin_newsletter</v>
      </c>
      <c r="F1523" s="10" t="str">
        <f aca="false">INDEX(Canale!$D$2:$D$30,MATCH(C1523,Canale!$A$2:$A$30,0))</f>
        <v>social</v>
      </c>
      <c r="G1523" s="10" t="str">
        <f aca="false">INDEX('Site-uri'!$C$2:$C$20,MATCH(A1523,'Site-uri'!$A$2:$A$20,0))</f>
        <v>/</v>
      </c>
      <c r="H1523" s="10" t="str">
        <f aca="false">Config!$B$3</f>
        <v>2610_ff_lansare</v>
      </c>
      <c r="I1523" s="10" t="str">
        <f aca="false">D1523&amp;"_"&amp;Config!$B$4</f>
        <v>cald_general</v>
      </c>
      <c r="J1523" s="10" t="str">
        <f aca="false">"https://"&amp;B1523&amp;G1523&amp;"?utm_source="&amp;E1523&amp;"&amp;utm_medium="&amp;F1523&amp;"&amp;utm_campaign="&amp;H1523&amp;"&amp;utm_content="&amp;I1523</f>
        <v>https://1clic-ia.fr/?utm_source=linkedin_newsletter&amp;utm_medium=social&amp;utm_campaign=2610_ff_lansare&amp;utm_content=cald_general</v>
      </c>
    </row>
    <row r="1524" customFormat="false" ht="15" hidden="false" customHeight="false" outlineLevel="0" collapsed="false">
      <c r="A1524" s="10" t="s">
        <v>85</v>
      </c>
      <c r="B1524" s="10" t="str">
        <f aca="false">INDEX('Site-uri'!$B$2:$B$20,MATCH(A1524,'Site-uri'!$A$2:$A$20,0))</f>
        <v>1clic-ia.fr</v>
      </c>
      <c r="C1524" s="10" t="s">
        <v>115</v>
      </c>
      <c r="D1524" s="10" t="s">
        <v>231</v>
      </c>
      <c r="E1524" s="10" t="str">
        <f aca="false">INDEX(Canale!$C$2:$C$30,MATCH(C1524,Canale!$A$2:$A$30,0))</f>
        <v>linkedin_newsletter</v>
      </c>
      <c r="F1524" s="10" t="str">
        <f aca="false">INDEX(Canale!$D$2:$D$30,MATCH(C1524,Canale!$A$2:$A$30,0))</f>
        <v>social</v>
      </c>
      <c r="G1524" s="10" t="str">
        <f aca="false">INDEX('Site-uri'!$C$2:$C$20,MATCH(A1524,'Site-uri'!$A$2:$A$20,0))</f>
        <v>/</v>
      </c>
      <c r="H1524" s="10" t="str">
        <f aca="false">Config!$B$3</f>
        <v>2610_ff_lansare</v>
      </c>
      <c r="I1524" s="10" t="str">
        <f aca="false">D1524&amp;"_"&amp;Config!$B$4</f>
        <v>fierbinte_general</v>
      </c>
      <c r="J1524" s="10" t="str">
        <f aca="false">"https://"&amp;B1524&amp;G1524&amp;"?utm_source="&amp;E1524&amp;"&amp;utm_medium="&amp;F1524&amp;"&amp;utm_campaign="&amp;H1524&amp;"&amp;utm_content="&amp;I1524</f>
        <v>https://1clic-ia.fr/?utm_source=linkedin_newsletter&amp;utm_medium=social&amp;utm_campaign=2610_ff_lansare&amp;utm_content=fierbinte_general</v>
      </c>
    </row>
    <row r="1525" customFormat="false" ht="15" hidden="false" customHeight="false" outlineLevel="0" collapsed="false">
      <c r="A1525" s="10" t="s">
        <v>85</v>
      </c>
      <c r="B1525" s="10" t="str">
        <f aca="false">INDEX('Site-uri'!$B$2:$B$20,MATCH(A1525,'Site-uri'!$A$2:$A$20,0))</f>
        <v>1clic-ia.fr</v>
      </c>
      <c r="C1525" s="10" t="s">
        <v>115</v>
      </c>
      <c r="D1525" s="10" t="s">
        <v>237</v>
      </c>
      <c r="E1525" s="10" t="str">
        <f aca="false">INDEX(Canale!$C$2:$C$30,MATCH(C1525,Canale!$A$2:$A$30,0))</f>
        <v>linkedin_newsletter</v>
      </c>
      <c r="F1525" s="10" t="str">
        <f aca="false">INDEX(Canale!$D$2:$D$30,MATCH(C1525,Canale!$A$2:$A$30,0))</f>
        <v>social</v>
      </c>
      <c r="G1525" s="10" t="str">
        <f aca="false">INDEX('Site-uri'!$C$2:$C$20,MATCH(A1525,'Site-uri'!$A$2:$A$20,0))</f>
        <v>/</v>
      </c>
      <c r="H1525" s="10" t="str">
        <f aca="false">Config!$B$3</f>
        <v>2610_ff_lansare</v>
      </c>
      <c r="I1525" s="10" t="str">
        <f aca="false">D1525&amp;"_"&amp;Config!$B$4</f>
        <v>client_general</v>
      </c>
      <c r="J1525" s="10" t="str">
        <f aca="false">"https://"&amp;B1525&amp;G1525&amp;"?utm_source="&amp;E1525&amp;"&amp;utm_medium="&amp;F1525&amp;"&amp;utm_campaign="&amp;H1525&amp;"&amp;utm_content="&amp;I1525</f>
        <v>https://1clic-ia.fr/?utm_source=linkedin_newsletter&amp;utm_medium=social&amp;utm_campaign=2610_ff_lansare&amp;utm_content=client_general</v>
      </c>
    </row>
    <row r="1526" customFormat="false" ht="15" hidden="false" customHeight="false" outlineLevel="0" collapsed="false">
      <c r="A1526" s="10" t="s">
        <v>85</v>
      </c>
      <c r="B1526" s="10" t="str">
        <f aca="false">INDEX('Site-uri'!$B$2:$B$20,MATCH(A1526,'Site-uri'!$A$2:$A$20,0))</f>
        <v>1clic-ia.fr</v>
      </c>
      <c r="C1526" s="10" t="s">
        <v>118</v>
      </c>
      <c r="D1526" s="10" t="s">
        <v>219</v>
      </c>
      <c r="E1526" s="10" t="str">
        <f aca="false">INDEX(Canale!$C$2:$C$30,MATCH(C1526,Canale!$A$2:$A$30,0))</f>
        <v>linkedin_ads</v>
      </c>
      <c r="F1526" s="10" t="str">
        <f aca="false">INDEX(Canale!$D$2:$D$30,MATCH(C1526,Canale!$A$2:$A$30,0))</f>
        <v>paid_social</v>
      </c>
      <c r="G1526" s="10" t="str">
        <f aca="false">INDEX('Site-uri'!$C$2:$C$20,MATCH(A1526,'Site-uri'!$A$2:$A$20,0))</f>
        <v>/</v>
      </c>
      <c r="H1526" s="10" t="str">
        <f aca="false">Config!$B$3</f>
        <v>2610_ff_lansare</v>
      </c>
      <c r="I1526" s="10" t="str">
        <f aca="false">D1526&amp;"_"&amp;Config!$B$4</f>
        <v>rece_general</v>
      </c>
      <c r="J1526" s="10" t="str">
        <f aca="false">"https://"&amp;B1526&amp;G1526&amp;"?utm_source="&amp;E1526&amp;"&amp;utm_medium="&amp;F1526&amp;"&amp;utm_campaign="&amp;H1526&amp;"&amp;utm_content="&amp;I1526</f>
        <v>https://1clic-ia.fr/?utm_source=linkedin_ads&amp;utm_medium=paid_social&amp;utm_campaign=2610_ff_lansare&amp;utm_content=rece_general</v>
      </c>
    </row>
    <row r="1527" customFormat="false" ht="15" hidden="false" customHeight="false" outlineLevel="0" collapsed="false">
      <c r="A1527" s="10" t="s">
        <v>85</v>
      </c>
      <c r="B1527" s="10" t="str">
        <f aca="false">INDEX('Site-uri'!$B$2:$B$20,MATCH(A1527,'Site-uri'!$A$2:$A$20,0))</f>
        <v>1clic-ia.fr</v>
      </c>
      <c r="C1527" s="10" t="s">
        <v>118</v>
      </c>
      <c r="D1527" s="10" t="s">
        <v>225</v>
      </c>
      <c r="E1527" s="10" t="str">
        <f aca="false">INDEX(Canale!$C$2:$C$30,MATCH(C1527,Canale!$A$2:$A$30,0))</f>
        <v>linkedin_ads</v>
      </c>
      <c r="F1527" s="10" t="str">
        <f aca="false">INDEX(Canale!$D$2:$D$30,MATCH(C1527,Canale!$A$2:$A$30,0))</f>
        <v>paid_social</v>
      </c>
      <c r="G1527" s="10" t="str">
        <f aca="false">INDEX('Site-uri'!$C$2:$C$20,MATCH(A1527,'Site-uri'!$A$2:$A$20,0))</f>
        <v>/</v>
      </c>
      <c r="H1527" s="10" t="str">
        <f aca="false">Config!$B$3</f>
        <v>2610_ff_lansare</v>
      </c>
      <c r="I1527" s="10" t="str">
        <f aca="false">D1527&amp;"_"&amp;Config!$B$4</f>
        <v>cald_general</v>
      </c>
      <c r="J1527" s="10" t="str">
        <f aca="false">"https://"&amp;B1527&amp;G1527&amp;"?utm_source="&amp;E1527&amp;"&amp;utm_medium="&amp;F1527&amp;"&amp;utm_campaign="&amp;H1527&amp;"&amp;utm_content="&amp;I1527</f>
        <v>https://1clic-ia.fr/?utm_source=linkedin_ads&amp;utm_medium=paid_social&amp;utm_campaign=2610_ff_lansare&amp;utm_content=cald_general</v>
      </c>
    </row>
    <row r="1528" customFormat="false" ht="15" hidden="false" customHeight="false" outlineLevel="0" collapsed="false">
      <c r="A1528" s="10" t="s">
        <v>85</v>
      </c>
      <c r="B1528" s="10" t="str">
        <f aca="false">INDEX('Site-uri'!$B$2:$B$20,MATCH(A1528,'Site-uri'!$A$2:$A$20,0))</f>
        <v>1clic-ia.fr</v>
      </c>
      <c r="C1528" s="10" t="s">
        <v>118</v>
      </c>
      <c r="D1528" s="10" t="s">
        <v>231</v>
      </c>
      <c r="E1528" s="10" t="str">
        <f aca="false">INDEX(Canale!$C$2:$C$30,MATCH(C1528,Canale!$A$2:$A$30,0))</f>
        <v>linkedin_ads</v>
      </c>
      <c r="F1528" s="10" t="str">
        <f aca="false">INDEX(Canale!$D$2:$D$30,MATCH(C1528,Canale!$A$2:$A$30,0))</f>
        <v>paid_social</v>
      </c>
      <c r="G1528" s="10" t="str">
        <f aca="false">INDEX('Site-uri'!$C$2:$C$20,MATCH(A1528,'Site-uri'!$A$2:$A$20,0))</f>
        <v>/</v>
      </c>
      <c r="H1528" s="10" t="str">
        <f aca="false">Config!$B$3</f>
        <v>2610_ff_lansare</v>
      </c>
      <c r="I1528" s="10" t="str">
        <f aca="false">D1528&amp;"_"&amp;Config!$B$4</f>
        <v>fierbinte_general</v>
      </c>
      <c r="J1528" s="10" t="str">
        <f aca="false">"https://"&amp;B1528&amp;G1528&amp;"?utm_source="&amp;E1528&amp;"&amp;utm_medium="&amp;F1528&amp;"&amp;utm_campaign="&amp;H1528&amp;"&amp;utm_content="&amp;I1528</f>
        <v>https://1clic-ia.fr/?utm_source=linkedin_ads&amp;utm_medium=paid_social&amp;utm_campaign=2610_ff_lansare&amp;utm_content=fierbinte_general</v>
      </c>
    </row>
    <row r="1529" customFormat="false" ht="15" hidden="false" customHeight="false" outlineLevel="0" collapsed="false">
      <c r="A1529" s="10" t="s">
        <v>85</v>
      </c>
      <c r="B1529" s="10" t="str">
        <f aca="false">INDEX('Site-uri'!$B$2:$B$20,MATCH(A1529,'Site-uri'!$A$2:$A$20,0))</f>
        <v>1clic-ia.fr</v>
      </c>
      <c r="C1529" s="10" t="s">
        <v>118</v>
      </c>
      <c r="D1529" s="10" t="s">
        <v>237</v>
      </c>
      <c r="E1529" s="10" t="str">
        <f aca="false">INDEX(Canale!$C$2:$C$30,MATCH(C1529,Canale!$A$2:$A$30,0))</f>
        <v>linkedin_ads</v>
      </c>
      <c r="F1529" s="10" t="str">
        <f aca="false">INDEX(Canale!$D$2:$D$30,MATCH(C1529,Canale!$A$2:$A$30,0))</f>
        <v>paid_social</v>
      </c>
      <c r="G1529" s="10" t="str">
        <f aca="false">INDEX('Site-uri'!$C$2:$C$20,MATCH(A1529,'Site-uri'!$A$2:$A$20,0))</f>
        <v>/</v>
      </c>
      <c r="H1529" s="10" t="str">
        <f aca="false">Config!$B$3</f>
        <v>2610_ff_lansare</v>
      </c>
      <c r="I1529" s="10" t="str">
        <f aca="false">D1529&amp;"_"&amp;Config!$B$4</f>
        <v>client_general</v>
      </c>
      <c r="J1529" s="10" t="str">
        <f aca="false">"https://"&amp;B1529&amp;G1529&amp;"?utm_source="&amp;E1529&amp;"&amp;utm_medium="&amp;F1529&amp;"&amp;utm_campaign="&amp;H1529&amp;"&amp;utm_content="&amp;I1529</f>
        <v>https://1clic-ia.fr/?utm_source=linkedin_ads&amp;utm_medium=paid_social&amp;utm_campaign=2610_ff_lansare&amp;utm_content=client_general</v>
      </c>
    </row>
    <row r="1530" customFormat="false" ht="15" hidden="false" customHeight="false" outlineLevel="0" collapsed="false">
      <c r="A1530" s="10" t="s">
        <v>85</v>
      </c>
      <c r="B1530" s="10" t="str">
        <f aca="false">INDEX('Site-uri'!$B$2:$B$20,MATCH(A1530,'Site-uri'!$A$2:$A$20,0))</f>
        <v>1clic-ia.fr</v>
      </c>
      <c r="C1530" s="10" t="s">
        <v>122</v>
      </c>
      <c r="D1530" s="10" t="s">
        <v>219</v>
      </c>
      <c r="E1530" s="10" t="str">
        <f aca="false">INDEX(Canale!$C$2:$C$30,MATCH(C1530,Canale!$A$2:$A$30,0))</f>
        <v>linkedin_dm</v>
      </c>
      <c r="F1530" s="10" t="str">
        <f aca="false">INDEX(Canale!$D$2:$D$30,MATCH(C1530,Canale!$A$2:$A$30,0))</f>
        <v>dm</v>
      </c>
      <c r="G1530" s="10" t="str">
        <f aca="false">INDEX('Site-uri'!$C$2:$C$20,MATCH(A1530,'Site-uri'!$A$2:$A$20,0))</f>
        <v>/</v>
      </c>
      <c r="H1530" s="10" t="str">
        <f aca="false">Config!$B$3</f>
        <v>2610_ff_lansare</v>
      </c>
      <c r="I1530" s="10" t="str">
        <f aca="false">D1530&amp;"_"&amp;Config!$B$4</f>
        <v>rece_general</v>
      </c>
      <c r="J1530" s="10" t="str">
        <f aca="false">"https://"&amp;B1530&amp;G1530&amp;"?utm_source="&amp;E1530&amp;"&amp;utm_medium="&amp;F1530&amp;"&amp;utm_campaign="&amp;H1530&amp;"&amp;utm_content="&amp;I1530</f>
        <v>https://1clic-ia.fr/?utm_source=linkedin_dm&amp;utm_medium=dm&amp;utm_campaign=2610_ff_lansare&amp;utm_content=rece_general</v>
      </c>
    </row>
    <row r="1531" customFormat="false" ht="15" hidden="false" customHeight="false" outlineLevel="0" collapsed="false">
      <c r="A1531" s="10" t="s">
        <v>85</v>
      </c>
      <c r="B1531" s="10" t="str">
        <f aca="false">INDEX('Site-uri'!$B$2:$B$20,MATCH(A1531,'Site-uri'!$A$2:$A$20,0))</f>
        <v>1clic-ia.fr</v>
      </c>
      <c r="C1531" s="10" t="s">
        <v>122</v>
      </c>
      <c r="D1531" s="10" t="s">
        <v>225</v>
      </c>
      <c r="E1531" s="10" t="str">
        <f aca="false">INDEX(Canale!$C$2:$C$30,MATCH(C1531,Canale!$A$2:$A$30,0))</f>
        <v>linkedin_dm</v>
      </c>
      <c r="F1531" s="10" t="str">
        <f aca="false">INDEX(Canale!$D$2:$D$30,MATCH(C1531,Canale!$A$2:$A$30,0))</f>
        <v>dm</v>
      </c>
      <c r="G1531" s="10" t="str">
        <f aca="false">INDEX('Site-uri'!$C$2:$C$20,MATCH(A1531,'Site-uri'!$A$2:$A$20,0))</f>
        <v>/</v>
      </c>
      <c r="H1531" s="10" t="str">
        <f aca="false">Config!$B$3</f>
        <v>2610_ff_lansare</v>
      </c>
      <c r="I1531" s="10" t="str">
        <f aca="false">D1531&amp;"_"&amp;Config!$B$4</f>
        <v>cald_general</v>
      </c>
      <c r="J1531" s="10" t="str">
        <f aca="false">"https://"&amp;B1531&amp;G1531&amp;"?utm_source="&amp;E1531&amp;"&amp;utm_medium="&amp;F1531&amp;"&amp;utm_campaign="&amp;H1531&amp;"&amp;utm_content="&amp;I1531</f>
        <v>https://1clic-ia.fr/?utm_source=linkedin_dm&amp;utm_medium=dm&amp;utm_campaign=2610_ff_lansare&amp;utm_content=cald_general</v>
      </c>
    </row>
    <row r="1532" customFormat="false" ht="15" hidden="false" customHeight="false" outlineLevel="0" collapsed="false">
      <c r="A1532" s="10" t="s">
        <v>85</v>
      </c>
      <c r="B1532" s="10" t="str">
        <f aca="false">INDEX('Site-uri'!$B$2:$B$20,MATCH(A1532,'Site-uri'!$A$2:$A$20,0))</f>
        <v>1clic-ia.fr</v>
      </c>
      <c r="C1532" s="10" t="s">
        <v>122</v>
      </c>
      <c r="D1532" s="10" t="s">
        <v>231</v>
      </c>
      <c r="E1532" s="10" t="str">
        <f aca="false">INDEX(Canale!$C$2:$C$30,MATCH(C1532,Canale!$A$2:$A$30,0))</f>
        <v>linkedin_dm</v>
      </c>
      <c r="F1532" s="10" t="str">
        <f aca="false">INDEX(Canale!$D$2:$D$30,MATCH(C1532,Canale!$A$2:$A$30,0))</f>
        <v>dm</v>
      </c>
      <c r="G1532" s="10" t="str">
        <f aca="false">INDEX('Site-uri'!$C$2:$C$20,MATCH(A1532,'Site-uri'!$A$2:$A$20,0))</f>
        <v>/</v>
      </c>
      <c r="H1532" s="10" t="str">
        <f aca="false">Config!$B$3</f>
        <v>2610_ff_lansare</v>
      </c>
      <c r="I1532" s="10" t="str">
        <f aca="false">D1532&amp;"_"&amp;Config!$B$4</f>
        <v>fierbinte_general</v>
      </c>
      <c r="J1532" s="10" t="str">
        <f aca="false">"https://"&amp;B1532&amp;G1532&amp;"?utm_source="&amp;E1532&amp;"&amp;utm_medium="&amp;F1532&amp;"&amp;utm_campaign="&amp;H1532&amp;"&amp;utm_content="&amp;I1532</f>
        <v>https://1clic-ia.fr/?utm_source=linkedin_dm&amp;utm_medium=dm&amp;utm_campaign=2610_ff_lansare&amp;utm_content=fierbinte_general</v>
      </c>
    </row>
    <row r="1533" customFormat="false" ht="15" hidden="false" customHeight="false" outlineLevel="0" collapsed="false">
      <c r="A1533" s="10" t="s">
        <v>85</v>
      </c>
      <c r="B1533" s="10" t="str">
        <f aca="false">INDEX('Site-uri'!$B$2:$B$20,MATCH(A1533,'Site-uri'!$A$2:$A$20,0))</f>
        <v>1clic-ia.fr</v>
      </c>
      <c r="C1533" s="10" t="s">
        <v>122</v>
      </c>
      <c r="D1533" s="10" t="s">
        <v>237</v>
      </c>
      <c r="E1533" s="10" t="str">
        <f aca="false">INDEX(Canale!$C$2:$C$30,MATCH(C1533,Canale!$A$2:$A$30,0))</f>
        <v>linkedin_dm</v>
      </c>
      <c r="F1533" s="10" t="str">
        <f aca="false">INDEX(Canale!$D$2:$D$30,MATCH(C1533,Canale!$A$2:$A$30,0))</f>
        <v>dm</v>
      </c>
      <c r="G1533" s="10" t="str">
        <f aca="false">INDEX('Site-uri'!$C$2:$C$20,MATCH(A1533,'Site-uri'!$A$2:$A$20,0))</f>
        <v>/</v>
      </c>
      <c r="H1533" s="10" t="str">
        <f aca="false">Config!$B$3</f>
        <v>2610_ff_lansare</v>
      </c>
      <c r="I1533" s="10" t="str">
        <f aca="false">D1533&amp;"_"&amp;Config!$B$4</f>
        <v>client_general</v>
      </c>
      <c r="J1533" s="10" t="str">
        <f aca="false">"https://"&amp;B1533&amp;G1533&amp;"?utm_source="&amp;E1533&amp;"&amp;utm_medium="&amp;F1533&amp;"&amp;utm_campaign="&amp;H1533&amp;"&amp;utm_content="&amp;I1533</f>
        <v>https://1clic-ia.fr/?utm_source=linkedin_dm&amp;utm_medium=dm&amp;utm_campaign=2610_ff_lansare&amp;utm_content=client_general</v>
      </c>
    </row>
    <row r="1534" customFormat="false" ht="15" hidden="false" customHeight="false" outlineLevel="0" collapsed="false">
      <c r="A1534" s="10" t="s">
        <v>85</v>
      </c>
      <c r="B1534" s="10" t="str">
        <f aca="false">INDEX('Site-uri'!$B$2:$B$20,MATCH(A1534,'Site-uri'!$A$2:$A$20,0))</f>
        <v>1clic-ia.fr</v>
      </c>
      <c r="C1534" s="10" t="s">
        <v>126</v>
      </c>
      <c r="D1534" s="10" t="s">
        <v>219</v>
      </c>
      <c r="E1534" s="10" t="str">
        <f aca="false">INDEX(Canale!$C$2:$C$30,MATCH(C1534,Canale!$A$2:$A$30,0))</f>
        <v>email_outreach</v>
      </c>
      <c r="F1534" s="10" t="str">
        <f aca="false">INDEX(Canale!$D$2:$D$30,MATCH(C1534,Canale!$A$2:$A$30,0))</f>
        <v>email</v>
      </c>
      <c r="G1534" s="10" t="str">
        <f aca="false">INDEX('Site-uri'!$C$2:$C$20,MATCH(A1534,'Site-uri'!$A$2:$A$20,0))</f>
        <v>/</v>
      </c>
      <c r="H1534" s="10" t="str">
        <f aca="false">Config!$B$3</f>
        <v>2610_ff_lansare</v>
      </c>
      <c r="I1534" s="10" t="str">
        <f aca="false">D1534&amp;"_"&amp;Config!$B$4</f>
        <v>rece_general</v>
      </c>
      <c r="J1534" s="10" t="str">
        <f aca="false">"https://"&amp;B1534&amp;G1534&amp;"?utm_source="&amp;E1534&amp;"&amp;utm_medium="&amp;F1534&amp;"&amp;utm_campaign="&amp;H1534&amp;"&amp;utm_content="&amp;I1534</f>
        <v>https://1clic-ia.fr/?utm_source=email_outreach&amp;utm_medium=email&amp;utm_campaign=2610_ff_lansare&amp;utm_content=rece_general</v>
      </c>
    </row>
    <row r="1535" customFormat="false" ht="15" hidden="false" customHeight="false" outlineLevel="0" collapsed="false">
      <c r="A1535" s="10" t="s">
        <v>85</v>
      </c>
      <c r="B1535" s="10" t="str">
        <f aca="false">INDEX('Site-uri'!$B$2:$B$20,MATCH(A1535,'Site-uri'!$A$2:$A$20,0))</f>
        <v>1clic-ia.fr</v>
      </c>
      <c r="C1535" s="10" t="s">
        <v>126</v>
      </c>
      <c r="D1535" s="10" t="s">
        <v>225</v>
      </c>
      <c r="E1535" s="10" t="str">
        <f aca="false">INDEX(Canale!$C$2:$C$30,MATCH(C1535,Canale!$A$2:$A$30,0))</f>
        <v>email_outreach</v>
      </c>
      <c r="F1535" s="10" t="str">
        <f aca="false">INDEX(Canale!$D$2:$D$30,MATCH(C1535,Canale!$A$2:$A$30,0))</f>
        <v>email</v>
      </c>
      <c r="G1535" s="10" t="str">
        <f aca="false">INDEX('Site-uri'!$C$2:$C$20,MATCH(A1535,'Site-uri'!$A$2:$A$20,0))</f>
        <v>/</v>
      </c>
      <c r="H1535" s="10" t="str">
        <f aca="false">Config!$B$3</f>
        <v>2610_ff_lansare</v>
      </c>
      <c r="I1535" s="10" t="str">
        <f aca="false">D1535&amp;"_"&amp;Config!$B$4</f>
        <v>cald_general</v>
      </c>
      <c r="J1535" s="10" t="str">
        <f aca="false">"https://"&amp;B1535&amp;G1535&amp;"?utm_source="&amp;E1535&amp;"&amp;utm_medium="&amp;F1535&amp;"&amp;utm_campaign="&amp;H1535&amp;"&amp;utm_content="&amp;I1535</f>
        <v>https://1clic-ia.fr/?utm_source=email_outreach&amp;utm_medium=email&amp;utm_campaign=2610_ff_lansare&amp;utm_content=cald_general</v>
      </c>
    </row>
    <row r="1536" customFormat="false" ht="15" hidden="false" customHeight="false" outlineLevel="0" collapsed="false">
      <c r="A1536" s="10" t="s">
        <v>85</v>
      </c>
      <c r="B1536" s="10" t="str">
        <f aca="false">INDEX('Site-uri'!$B$2:$B$20,MATCH(A1536,'Site-uri'!$A$2:$A$20,0))</f>
        <v>1clic-ia.fr</v>
      </c>
      <c r="C1536" s="10" t="s">
        <v>126</v>
      </c>
      <c r="D1536" s="10" t="s">
        <v>231</v>
      </c>
      <c r="E1536" s="10" t="str">
        <f aca="false">INDEX(Canale!$C$2:$C$30,MATCH(C1536,Canale!$A$2:$A$30,0))</f>
        <v>email_outreach</v>
      </c>
      <c r="F1536" s="10" t="str">
        <f aca="false">INDEX(Canale!$D$2:$D$30,MATCH(C1536,Canale!$A$2:$A$30,0))</f>
        <v>email</v>
      </c>
      <c r="G1536" s="10" t="str">
        <f aca="false">INDEX('Site-uri'!$C$2:$C$20,MATCH(A1536,'Site-uri'!$A$2:$A$20,0))</f>
        <v>/</v>
      </c>
      <c r="H1536" s="10" t="str">
        <f aca="false">Config!$B$3</f>
        <v>2610_ff_lansare</v>
      </c>
      <c r="I1536" s="10" t="str">
        <f aca="false">D1536&amp;"_"&amp;Config!$B$4</f>
        <v>fierbinte_general</v>
      </c>
      <c r="J1536" s="10" t="str">
        <f aca="false">"https://"&amp;B1536&amp;G1536&amp;"?utm_source="&amp;E1536&amp;"&amp;utm_medium="&amp;F1536&amp;"&amp;utm_campaign="&amp;H1536&amp;"&amp;utm_content="&amp;I1536</f>
        <v>https://1clic-ia.fr/?utm_source=email_outreach&amp;utm_medium=email&amp;utm_campaign=2610_ff_lansare&amp;utm_content=fierbinte_general</v>
      </c>
    </row>
    <row r="1537" customFormat="false" ht="15" hidden="false" customHeight="false" outlineLevel="0" collapsed="false">
      <c r="A1537" s="10" t="s">
        <v>85</v>
      </c>
      <c r="B1537" s="10" t="str">
        <f aca="false">INDEX('Site-uri'!$B$2:$B$20,MATCH(A1537,'Site-uri'!$A$2:$A$20,0))</f>
        <v>1clic-ia.fr</v>
      </c>
      <c r="C1537" s="10" t="s">
        <v>126</v>
      </c>
      <c r="D1537" s="10" t="s">
        <v>237</v>
      </c>
      <c r="E1537" s="10" t="str">
        <f aca="false">INDEX(Canale!$C$2:$C$30,MATCH(C1537,Canale!$A$2:$A$30,0))</f>
        <v>email_outreach</v>
      </c>
      <c r="F1537" s="10" t="str">
        <f aca="false">INDEX(Canale!$D$2:$D$30,MATCH(C1537,Canale!$A$2:$A$30,0))</f>
        <v>email</v>
      </c>
      <c r="G1537" s="10" t="str">
        <f aca="false">INDEX('Site-uri'!$C$2:$C$20,MATCH(A1537,'Site-uri'!$A$2:$A$20,0))</f>
        <v>/</v>
      </c>
      <c r="H1537" s="10" t="str">
        <f aca="false">Config!$B$3</f>
        <v>2610_ff_lansare</v>
      </c>
      <c r="I1537" s="10" t="str">
        <f aca="false">D1537&amp;"_"&amp;Config!$B$4</f>
        <v>client_general</v>
      </c>
      <c r="J1537" s="10" t="str">
        <f aca="false">"https://"&amp;B1537&amp;G1537&amp;"?utm_source="&amp;E1537&amp;"&amp;utm_medium="&amp;F1537&amp;"&amp;utm_campaign="&amp;H1537&amp;"&amp;utm_content="&amp;I1537</f>
        <v>https://1clic-ia.fr/?utm_source=email_outreach&amp;utm_medium=email&amp;utm_campaign=2610_ff_lansare&amp;utm_content=client_general</v>
      </c>
    </row>
    <row r="1538" customFormat="false" ht="15" hidden="false" customHeight="false" outlineLevel="0" collapsed="false">
      <c r="A1538" s="10" t="s">
        <v>85</v>
      </c>
      <c r="B1538" s="10" t="str">
        <f aca="false">INDEX('Site-uri'!$B$2:$B$20,MATCH(A1538,'Site-uri'!$A$2:$A$20,0))</f>
        <v>1clic-ia.fr</v>
      </c>
      <c r="C1538" s="10" t="s">
        <v>131</v>
      </c>
      <c r="D1538" s="10" t="s">
        <v>219</v>
      </c>
      <c r="E1538" s="10" t="str">
        <f aca="false">INDEX(Canale!$C$2:$C$30,MATCH(C1538,Canale!$A$2:$A$30,0))</f>
        <v>newsletter</v>
      </c>
      <c r="F1538" s="10" t="str">
        <f aca="false">INDEX(Canale!$D$2:$D$30,MATCH(C1538,Canale!$A$2:$A$30,0))</f>
        <v>email</v>
      </c>
      <c r="G1538" s="10" t="str">
        <f aca="false">INDEX('Site-uri'!$C$2:$C$20,MATCH(A1538,'Site-uri'!$A$2:$A$20,0))</f>
        <v>/</v>
      </c>
      <c r="H1538" s="10" t="str">
        <f aca="false">Config!$B$3</f>
        <v>2610_ff_lansare</v>
      </c>
      <c r="I1538" s="10" t="str">
        <f aca="false">D1538&amp;"_"&amp;Config!$B$4</f>
        <v>rece_general</v>
      </c>
      <c r="J1538" s="10" t="str">
        <f aca="false">"https://"&amp;B1538&amp;G1538&amp;"?utm_source="&amp;E1538&amp;"&amp;utm_medium="&amp;F1538&amp;"&amp;utm_campaign="&amp;H1538&amp;"&amp;utm_content="&amp;I1538</f>
        <v>https://1clic-ia.fr/?utm_source=newsletter&amp;utm_medium=email&amp;utm_campaign=2610_ff_lansare&amp;utm_content=rece_general</v>
      </c>
    </row>
    <row r="1539" customFormat="false" ht="15" hidden="false" customHeight="false" outlineLevel="0" collapsed="false">
      <c r="A1539" s="10" t="s">
        <v>85</v>
      </c>
      <c r="B1539" s="10" t="str">
        <f aca="false">INDEX('Site-uri'!$B$2:$B$20,MATCH(A1539,'Site-uri'!$A$2:$A$20,0))</f>
        <v>1clic-ia.fr</v>
      </c>
      <c r="C1539" s="10" t="s">
        <v>131</v>
      </c>
      <c r="D1539" s="10" t="s">
        <v>225</v>
      </c>
      <c r="E1539" s="10" t="str">
        <f aca="false">INDEX(Canale!$C$2:$C$30,MATCH(C1539,Canale!$A$2:$A$30,0))</f>
        <v>newsletter</v>
      </c>
      <c r="F1539" s="10" t="str">
        <f aca="false">INDEX(Canale!$D$2:$D$30,MATCH(C1539,Canale!$A$2:$A$30,0))</f>
        <v>email</v>
      </c>
      <c r="G1539" s="10" t="str">
        <f aca="false">INDEX('Site-uri'!$C$2:$C$20,MATCH(A1539,'Site-uri'!$A$2:$A$20,0))</f>
        <v>/</v>
      </c>
      <c r="H1539" s="10" t="str">
        <f aca="false">Config!$B$3</f>
        <v>2610_ff_lansare</v>
      </c>
      <c r="I1539" s="10" t="str">
        <f aca="false">D1539&amp;"_"&amp;Config!$B$4</f>
        <v>cald_general</v>
      </c>
      <c r="J1539" s="10" t="str">
        <f aca="false">"https://"&amp;B1539&amp;G1539&amp;"?utm_source="&amp;E1539&amp;"&amp;utm_medium="&amp;F1539&amp;"&amp;utm_campaign="&amp;H1539&amp;"&amp;utm_content="&amp;I1539</f>
        <v>https://1clic-ia.fr/?utm_source=newsletter&amp;utm_medium=email&amp;utm_campaign=2610_ff_lansare&amp;utm_content=cald_general</v>
      </c>
    </row>
    <row r="1540" customFormat="false" ht="15" hidden="false" customHeight="false" outlineLevel="0" collapsed="false">
      <c r="A1540" s="10" t="s">
        <v>85</v>
      </c>
      <c r="B1540" s="10" t="str">
        <f aca="false">INDEX('Site-uri'!$B$2:$B$20,MATCH(A1540,'Site-uri'!$A$2:$A$20,0))</f>
        <v>1clic-ia.fr</v>
      </c>
      <c r="C1540" s="10" t="s">
        <v>131</v>
      </c>
      <c r="D1540" s="10" t="s">
        <v>231</v>
      </c>
      <c r="E1540" s="10" t="str">
        <f aca="false">INDEX(Canale!$C$2:$C$30,MATCH(C1540,Canale!$A$2:$A$30,0))</f>
        <v>newsletter</v>
      </c>
      <c r="F1540" s="10" t="str">
        <f aca="false">INDEX(Canale!$D$2:$D$30,MATCH(C1540,Canale!$A$2:$A$30,0))</f>
        <v>email</v>
      </c>
      <c r="G1540" s="10" t="str">
        <f aca="false">INDEX('Site-uri'!$C$2:$C$20,MATCH(A1540,'Site-uri'!$A$2:$A$20,0))</f>
        <v>/</v>
      </c>
      <c r="H1540" s="10" t="str">
        <f aca="false">Config!$B$3</f>
        <v>2610_ff_lansare</v>
      </c>
      <c r="I1540" s="10" t="str">
        <f aca="false">D1540&amp;"_"&amp;Config!$B$4</f>
        <v>fierbinte_general</v>
      </c>
      <c r="J1540" s="10" t="str">
        <f aca="false">"https://"&amp;B1540&amp;G1540&amp;"?utm_source="&amp;E1540&amp;"&amp;utm_medium="&amp;F1540&amp;"&amp;utm_campaign="&amp;H1540&amp;"&amp;utm_content="&amp;I1540</f>
        <v>https://1clic-ia.fr/?utm_source=newsletter&amp;utm_medium=email&amp;utm_campaign=2610_ff_lansare&amp;utm_content=fierbinte_general</v>
      </c>
    </row>
    <row r="1541" customFormat="false" ht="15" hidden="false" customHeight="false" outlineLevel="0" collapsed="false">
      <c r="A1541" s="10" t="s">
        <v>85</v>
      </c>
      <c r="B1541" s="10" t="str">
        <f aca="false">INDEX('Site-uri'!$B$2:$B$20,MATCH(A1541,'Site-uri'!$A$2:$A$20,0))</f>
        <v>1clic-ia.fr</v>
      </c>
      <c r="C1541" s="10" t="s">
        <v>131</v>
      </c>
      <c r="D1541" s="10" t="s">
        <v>237</v>
      </c>
      <c r="E1541" s="10" t="str">
        <f aca="false">INDEX(Canale!$C$2:$C$30,MATCH(C1541,Canale!$A$2:$A$30,0))</f>
        <v>newsletter</v>
      </c>
      <c r="F1541" s="10" t="str">
        <f aca="false">INDEX(Canale!$D$2:$D$30,MATCH(C1541,Canale!$A$2:$A$30,0))</f>
        <v>email</v>
      </c>
      <c r="G1541" s="10" t="str">
        <f aca="false">INDEX('Site-uri'!$C$2:$C$20,MATCH(A1541,'Site-uri'!$A$2:$A$20,0))</f>
        <v>/</v>
      </c>
      <c r="H1541" s="10" t="str">
        <f aca="false">Config!$B$3</f>
        <v>2610_ff_lansare</v>
      </c>
      <c r="I1541" s="10" t="str">
        <f aca="false">D1541&amp;"_"&amp;Config!$B$4</f>
        <v>client_general</v>
      </c>
      <c r="J1541" s="10" t="str">
        <f aca="false">"https://"&amp;B1541&amp;G1541&amp;"?utm_source="&amp;E1541&amp;"&amp;utm_medium="&amp;F1541&amp;"&amp;utm_campaign="&amp;H1541&amp;"&amp;utm_content="&amp;I1541</f>
        <v>https://1clic-ia.fr/?utm_source=newsletter&amp;utm_medium=email&amp;utm_campaign=2610_ff_lansare&amp;utm_content=client_general</v>
      </c>
    </row>
    <row r="1542" customFormat="false" ht="15" hidden="false" customHeight="false" outlineLevel="0" collapsed="false">
      <c r="A1542" s="10" t="s">
        <v>85</v>
      </c>
      <c r="B1542" s="10" t="str">
        <f aca="false">INDEX('Site-uri'!$B$2:$B$20,MATCH(A1542,'Site-uri'!$A$2:$A$20,0))</f>
        <v>1clic-ia.fr</v>
      </c>
      <c r="C1542" s="10" t="s">
        <v>134</v>
      </c>
      <c r="D1542" s="10" t="s">
        <v>219</v>
      </c>
      <c r="E1542" s="10" t="str">
        <f aca="false">INDEX(Canale!$C$2:$C$30,MATCH(C1542,Canale!$A$2:$A$30,0))</f>
        <v>email_signature</v>
      </c>
      <c r="F1542" s="10" t="str">
        <f aca="false">INDEX(Canale!$D$2:$D$30,MATCH(C1542,Canale!$A$2:$A$30,0))</f>
        <v>email</v>
      </c>
      <c r="G1542" s="10" t="str">
        <f aca="false">INDEX('Site-uri'!$C$2:$C$20,MATCH(A1542,'Site-uri'!$A$2:$A$20,0))</f>
        <v>/</v>
      </c>
      <c r="H1542" s="10" t="str">
        <f aca="false">Config!$B$3</f>
        <v>2610_ff_lansare</v>
      </c>
      <c r="I1542" s="10" t="str">
        <f aca="false">D1542&amp;"_"&amp;Config!$B$4</f>
        <v>rece_general</v>
      </c>
      <c r="J1542" s="10" t="str">
        <f aca="false">"https://"&amp;B1542&amp;G1542&amp;"?utm_source="&amp;E1542&amp;"&amp;utm_medium="&amp;F1542&amp;"&amp;utm_campaign="&amp;H1542&amp;"&amp;utm_content="&amp;I1542</f>
        <v>https://1clic-ia.fr/?utm_source=email_signature&amp;utm_medium=email&amp;utm_campaign=2610_ff_lansare&amp;utm_content=rece_general</v>
      </c>
    </row>
    <row r="1543" customFormat="false" ht="15" hidden="false" customHeight="false" outlineLevel="0" collapsed="false">
      <c r="A1543" s="10" t="s">
        <v>85</v>
      </c>
      <c r="B1543" s="10" t="str">
        <f aca="false">INDEX('Site-uri'!$B$2:$B$20,MATCH(A1543,'Site-uri'!$A$2:$A$20,0))</f>
        <v>1clic-ia.fr</v>
      </c>
      <c r="C1543" s="10" t="s">
        <v>134</v>
      </c>
      <c r="D1543" s="10" t="s">
        <v>225</v>
      </c>
      <c r="E1543" s="10" t="str">
        <f aca="false">INDEX(Canale!$C$2:$C$30,MATCH(C1543,Canale!$A$2:$A$30,0))</f>
        <v>email_signature</v>
      </c>
      <c r="F1543" s="10" t="str">
        <f aca="false">INDEX(Canale!$D$2:$D$30,MATCH(C1543,Canale!$A$2:$A$30,0))</f>
        <v>email</v>
      </c>
      <c r="G1543" s="10" t="str">
        <f aca="false">INDEX('Site-uri'!$C$2:$C$20,MATCH(A1543,'Site-uri'!$A$2:$A$20,0))</f>
        <v>/</v>
      </c>
      <c r="H1543" s="10" t="str">
        <f aca="false">Config!$B$3</f>
        <v>2610_ff_lansare</v>
      </c>
      <c r="I1543" s="10" t="str">
        <f aca="false">D1543&amp;"_"&amp;Config!$B$4</f>
        <v>cald_general</v>
      </c>
      <c r="J1543" s="10" t="str">
        <f aca="false">"https://"&amp;B1543&amp;G1543&amp;"?utm_source="&amp;E1543&amp;"&amp;utm_medium="&amp;F1543&amp;"&amp;utm_campaign="&amp;H1543&amp;"&amp;utm_content="&amp;I1543</f>
        <v>https://1clic-ia.fr/?utm_source=email_signature&amp;utm_medium=email&amp;utm_campaign=2610_ff_lansare&amp;utm_content=cald_general</v>
      </c>
    </row>
    <row r="1544" customFormat="false" ht="15" hidden="false" customHeight="false" outlineLevel="0" collapsed="false">
      <c r="A1544" s="10" t="s">
        <v>85</v>
      </c>
      <c r="B1544" s="10" t="str">
        <f aca="false">INDEX('Site-uri'!$B$2:$B$20,MATCH(A1544,'Site-uri'!$A$2:$A$20,0))</f>
        <v>1clic-ia.fr</v>
      </c>
      <c r="C1544" s="10" t="s">
        <v>134</v>
      </c>
      <c r="D1544" s="10" t="s">
        <v>231</v>
      </c>
      <c r="E1544" s="10" t="str">
        <f aca="false">INDEX(Canale!$C$2:$C$30,MATCH(C1544,Canale!$A$2:$A$30,0))</f>
        <v>email_signature</v>
      </c>
      <c r="F1544" s="10" t="str">
        <f aca="false">INDEX(Canale!$D$2:$D$30,MATCH(C1544,Canale!$A$2:$A$30,0))</f>
        <v>email</v>
      </c>
      <c r="G1544" s="10" t="str">
        <f aca="false">INDEX('Site-uri'!$C$2:$C$20,MATCH(A1544,'Site-uri'!$A$2:$A$20,0))</f>
        <v>/</v>
      </c>
      <c r="H1544" s="10" t="str">
        <f aca="false">Config!$B$3</f>
        <v>2610_ff_lansare</v>
      </c>
      <c r="I1544" s="10" t="str">
        <f aca="false">D1544&amp;"_"&amp;Config!$B$4</f>
        <v>fierbinte_general</v>
      </c>
      <c r="J1544" s="10" t="str">
        <f aca="false">"https://"&amp;B1544&amp;G1544&amp;"?utm_source="&amp;E1544&amp;"&amp;utm_medium="&amp;F1544&amp;"&amp;utm_campaign="&amp;H1544&amp;"&amp;utm_content="&amp;I1544</f>
        <v>https://1clic-ia.fr/?utm_source=email_signature&amp;utm_medium=email&amp;utm_campaign=2610_ff_lansare&amp;utm_content=fierbinte_general</v>
      </c>
    </row>
    <row r="1545" customFormat="false" ht="15" hidden="false" customHeight="false" outlineLevel="0" collapsed="false">
      <c r="A1545" s="10" t="s">
        <v>85</v>
      </c>
      <c r="B1545" s="10" t="str">
        <f aca="false">INDEX('Site-uri'!$B$2:$B$20,MATCH(A1545,'Site-uri'!$A$2:$A$20,0))</f>
        <v>1clic-ia.fr</v>
      </c>
      <c r="C1545" s="10" t="s">
        <v>134</v>
      </c>
      <c r="D1545" s="10" t="s">
        <v>237</v>
      </c>
      <c r="E1545" s="10" t="str">
        <f aca="false">INDEX(Canale!$C$2:$C$30,MATCH(C1545,Canale!$A$2:$A$30,0))</f>
        <v>email_signature</v>
      </c>
      <c r="F1545" s="10" t="str">
        <f aca="false">INDEX(Canale!$D$2:$D$30,MATCH(C1545,Canale!$A$2:$A$30,0))</f>
        <v>email</v>
      </c>
      <c r="G1545" s="10" t="str">
        <f aca="false">INDEX('Site-uri'!$C$2:$C$20,MATCH(A1545,'Site-uri'!$A$2:$A$20,0))</f>
        <v>/</v>
      </c>
      <c r="H1545" s="10" t="str">
        <f aca="false">Config!$B$3</f>
        <v>2610_ff_lansare</v>
      </c>
      <c r="I1545" s="10" t="str">
        <f aca="false">D1545&amp;"_"&amp;Config!$B$4</f>
        <v>client_general</v>
      </c>
      <c r="J1545" s="10" t="str">
        <f aca="false">"https://"&amp;B1545&amp;G1545&amp;"?utm_source="&amp;E1545&amp;"&amp;utm_medium="&amp;F1545&amp;"&amp;utm_campaign="&amp;H1545&amp;"&amp;utm_content="&amp;I1545</f>
        <v>https://1clic-ia.fr/?utm_source=email_signature&amp;utm_medium=email&amp;utm_campaign=2610_ff_lansare&amp;utm_content=client_general</v>
      </c>
    </row>
    <row r="1546" customFormat="false" ht="15" hidden="false" customHeight="false" outlineLevel="0" collapsed="false">
      <c r="A1546" s="10" t="s">
        <v>85</v>
      </c>
      <c r="B1546" s="10" t="str">
        <f aca="false">INDEX('Site-uri'!$B$2:$B$20,MATCH(A1546,'Site-uri'!$A$2:$A$20,0))</f>
        <v>1clic-ia.fr</v>
      </c>
      <c r="C1546" s="10" t="s">
        <v>137</v>
      </c>
      <c r="D1546" s="10" t="s">
        <v>219</v>
      </c>
      <c r="E1546" s="10" t="str">
        <f aca="false">INDEX(Canale!$C$2:$C$30,MATCH(C1546,Canale!$A$2:$A$30,0))</f>
        <v>whatsapp</v>
      </c>
      <c r="F1546" s="10" t="str">
        <f aca="false">INDEX(Canale!$D$2:$D$30,MATCH(C1546,Canale!$A$2:$A$30,0))</f>
        <v>dm</v>
      </c>
      <c r="G1546" s="10" t="str">
        <f aca="false">INDEX('Site-uri'!$C$2:$C$20,MATCH(A1546,'Site-uri'!$A$2:$A$20,0))</f>
        <v>/</v>
      </c>
      <c r="H1546" s="10" t="str">
        <f aca="false">Config!$B$3</f>
        <v>2610_ff_lansare</v>
      </c>
      <c r="I1546" s="10" t="str">
        <f aca="false">D1546&amp;"_"&amp;Config!$B$4</f>
        <v>rece_general</v>
      </c>
      <c r="J1546" s="10" t="str">
        <f aca="false">"https://"&amp;B1546&amp;G1546&amp;"?utm_source="&amp;E1546&amp;"&amp;utm_medium="&amp;F1546&amp;"&amp;utm_campaign="&amp;H1546&amp;"&amp;utm_content="&amp;I1546</f>
        <v>https://1clic-ia.fr/?utm_source=whatsapp&amp;utm_medium=dm&amp;utm_campaign=2610_ff_lansare&amp;utm_content=rece_general</v>
      </c>
    </row>
    <row r="1547" customFormat="false" ht="15" hidden="false" customHeight="false" outlineLevel="0" collapsed="false">
      <c r="A1547" s="10" t="s">
        <v>85</v>
      </c>
      <c r="B1547" s="10" t="str">
        <f aca="false">INDEX('Site-uri'!$B$2:$B$20,MATCH(A1547,'Site-uri'!$A$2:$A$20,0))</f>
        <v>1clic-ia.fr</v>
      </c>
      <c r="C1547" s="10" t="s">
        <v>137</v>
      </c>
      <c r="D1547" s="10" t="s">
        <v>225</v>
      </c>
      <c r="E1547" s="10" t="str">
        <f aca="false">INDEX(Canale!$C$2:$C$30,MATCH(C1547,Canale!$A$2:$A$30,0))</f>
        <v>whatsapp</v>
      </c>
      <c r="F1547" s="10" t="str">
        <f aca="false">INDEX(Canale!$D$2:$D$30,MATCH(C1547,Canale!$A$2:$A$30,0))</f>
        <v>dm</v>
      </c>
      <c r="G1547" s="10" t="str">
        <f aca="false">INDEX('Site-uri'!$C$2:$C$20,MATCH(A1547,'Site-uri'!$A$2:$A$20,0))</f>
        <v>/</v>
      </c>
      <c r="H1547" s="10" t="str">
        <f aca="false">Config!$B$3</f>
        <v>2610_ff_lansare</v>
      </c>
      <c r="I1547" s="10" t="str">
        <f aca="false">D1547&amp;"_"&amp;Config!$B$4</f>
        <v>cald_general</v>
      </c>
      <c r="J1547" s="10" t="str">
        <f aca="false">"https://"&amp;B1547&amp;G1547&amp;"?utm_source="&amp;E1547&amp;"&amp;utm_medium="&amp;F1547&amp;"&amp;utm_campaign="&amp;H1547&amp;"&amp;utm_content="&amp;I1547</f>
        <v>https://1clic-ia.fr/?utm_source=whatsapp&amp;utm_medium=dm&amp;utm_campaign=2610_ff_lansare&amp;utm_content=cald_general</v>
      </c>
    </row>
    <row r="1548" customFormat="false" ht="15" hidden="false" customHeight="false" outlineLevel="0" collapsed="false">
      <c r="A1548" s="10" t="s">
        <v>85</v>
      </c>
      <c r="B1548" s="10" t="str">
        <f aca="false">INDEX('Site-uri'!$B$2:$B$20,MATCH(A1548,'Site-uri'!$A$2:$A$20,0))</f>
        <v>1clic-ia.fr</v>
      </c>
      <c r="C1548" s="10" t="s">
        <v>137</v>
      </c>
      <c r="D1548" s="10" t="s">
        <v>231</v>
      </c>
      <c r="E1548" s="10" t="str">
        <f aca="false">INDEX(Canale!$C$2:$C$30,MATCH(C1548,Canale!$A$2:$A$30,0))</f>
        <v>whatsapp</v>
      </c>
      <c r="F1548" s="10" t="str">
        <f aca="false">INDEX(Canale!$D$2:$D$30,MATCH(C1548,Canale!$A$2:$A$30,0))</f>
        <v>dm</v>
      </c>
      <c r="G1548" s="10" t="str">
        <f aca="false">INDEX('Site-uri'!$C$2:$C$20,MATCH(A1548,'Site-uri'!$A$2:$A$20,0))</f>
        <v>/</v>
      </c>
      <c r="H1548" s="10" t="str">
        <f aca="false">Config!$B$3</f>
        <v>2610_ff_lansare</v>
      </c>
      <c r="I1548" s="10" t="str">
        <f aca="false">D1548&amp;"_"&amp;Config!$B$4</f>
        <v>fierbinte_general</v>
      </c>
      <c r="J1548" s="10" t="str">
        <f aca="false">"https://"&amp;B1548&amp;G1548&amp;"?utm_source="&amp;E1548&amp;"&amp;utm_medium="&amp;F1548&amp;"&amp;utm_campaign="&amp;H1548&amp;"&amp;utm_content="&amp;I1548</f>
        <v>https://1clic-ia.fr/?utm_source=whatsapp&amp;utm_medium=dm&amp;utm_campaign=2610_ff_lansare&amp;utm_content=fierbinte_general</v>
      </c>
    </row>
    <row r="1549" customFormat="false" ht="15" hidden="false" customHeight="false" outlineLevel="0" collapsed="false">
      <c r="A1549" s="10" t="s">
        <v>85</v>
      </c>
      <c r="B1549" s="10" t="str">
        <f aca="false">INDEX('Site-uri'!$B$2:$B$20,MATCH(A1549,'Site-uri'!$A$2:$A$20,0))</f>
        <v>1clic-ia.fr</v>
      </c>
      <c r="C1549" s="10" t="s">
        <v>137</v>
      </c>
      <c r="D1549" s="10" t="s">
        <v>237</v>
      </c>
      <c r="E1549" s="10" t="str">
        <f aca="false">INDEX(Canale!$C$2:$C$30,MATCH(C1549,Canale!$A$2:$A$30,0))</f>
        <v>whatsapp</v>
      </c>
      <c r="F1549" s="10" t="str">
        <f aca="false">INDEX(Canale!$D$2:$D$30,MATCH(C1549,Canale!$A$2:$A$30,0))</f>
        <v>dm</v>
      </c>
      <c r="G1549" s="10" t="str">
        <f aca="false">INDEX('Site-uri'!$C$2:$C$20,MATCH(A1549,'Site-uri'!$A$2:$A$20,0))</f>
        <v>/</v>
      </c>
      <c r="H1549" s="10" t="str">
        <f aca="false">Config!$B$3</f>
        <v>2610_ff_lansare</v>
      </c>
      <c r="I1549" s="10" t="str">
        <f aca="false">D1549&amp;"_"&amp;Config!$B$4</f>
        <v>client_general</v>
      </c>
      <c r="J1549" s="10" t="str">
        <f aca="false">"https://"&amp;B1549&amp;G1549&amp;"?utm_source="&amp;E1549&amp;"&amp;utm_medium="&amp;F1549&amp;"&amp;utm_campaign="&amp;H1549&amp;"&amp;utm_content="&amp;I1549</f>
        <v>https://1clic-ia.fr/?utm_source=whatsapp&amp;utm_medium=dm&amp;utm_campaign=2610_ff_lansare&amp;utm_content=client_general</v>
      </c>
    </row>
    <row r="1550" customFormat="false" ht="15" hidden="false" customHeight="false" outlineLevel="0" collapsed="false">
      <c r="A1550" s="10" t="s">
        <v>85</v>
      </c>
      <c r="B1550" s="10" t="str">
        <f aca="false">INDEX('Site-uri'!$B$2:$B$20,MATCH(A1550,'Site-uri'!$A$2:$A$20,0))</f>
        <v>1clic-ia.fr</v>
      </c>
      <c r="C1550" s="10" t="s">
        <v>141</v>
      </c>
      <c r="D1550" s="10" t="s">
        <v>219</v>
      </c>
      <c r="E1550" s="10" t="str">
        <f aca="false">INDEX(Canale!$C$2:$C$30,MATCH(C1550,Canale!$A$2:$A$30,0))</f>
        <v>google</v>
      </c>
      <c r="F1550" s="10" t="str">
        <f aca="false">INDEX(Canale!$D$2:$D$30,MATCH(C1550,Canale!$A$2:$A$30,0))</f>
        <v>cpc</v>
      </c>
      <c r="G1550" s="10" t="str">
        <f aca="false">INDEX('Site-uri'!$C$2:$C$20,MATCH(A1550,'Site-uri'!$A$2:$A$20,0))</f>
        <v>/</v>
      </c>
      <c r="H1550" s="10" t="str">
        <f aca="false">Config!$B$3</f>
        <v>2610_ff_lansare</v>
      </c>
      <c r="I1550" s="10" t="str">
        <f aca="false">D1550&amp;"_"&amp;Config!$B$4</f>
        <v>rece_general</v>
      </c>
      <c r="J1550" s="10" t="str">
        <f aca="false">"https://"&amp;B1550&amp;G1550&amp;"?utm_source="&amp;E1550&amp;"&amp;utm_medium="&amp;F1550&amp;"&amp;utm_campaign="&amp;H1550&amp;"&amp;utm_content="&amp;I1550</f>
        <v>https://1clic-ia.fr/?utm_source=google&amp;utm_medium=cpc&amp;utm_campaign=2610_ff_lansare&amp;utm_content=rece_general</v>
      </c>
    </row>
    <row r="1551" customFormat="false" ht="15" hidden="false" customHeight="false" outlineLevel="0" collapsed="false">
      <c r="A1551" s="10" t="s">
        <v>85</v>
      </c>
      <c r="B1551" s="10" t="str">
        <f aca="false">INDEX('Site-uri'!$B$2:$B$20,MATCH(A1551,'Site-uri'!$A$2:$A$20,0))</f>
        <v>1clic-ia.fr</v>
      </c>
      <c r="C1551" s="10" t="s">
        <v>141</v>
      </c>
      <c r="D1551" s="10" t="s">
        <v>225</v>
      </c>
      <c r="E1551" s="10" t="str">
        <f aca="false">INDEX(Canale!$C$2:$C$30,MATCH(C1551,Canale!$A$2:$A$30,0))</f>
        <v>google</v>
      </c>
      <c r="F1551" s="10" t="str">
        <f aca="false">INDEX(Canale!$D$2:$D$30,MATCH(C1551,Canale!$A$2:$A$30,0))</f>
        <v>cpc</v>
      </c>
      <c r="G1551" s="10" t="str">
        <f aca="false">INDEX('Site-uri'!$C$2:$C$20,MATCH(A1551,'Site-uri'!$A$2:$A$20,0))</f>
        <v>/</v>
      </c>
      <c r="H1551" s="10" t="str">
        <f aca="false">Config!$B$3</f>
        <v>2610_ff_lansare</v>
      </c>
      <c r="I1551" s="10" t="str">
        <f aca="false">D1551&amp;"_"&amp;Config!$B$4</f>
        <v>cald_general</v>
      </c>
      <c r="J1551" s="10" t="str">
        <f aca="false">"https://"&amp;B1551&amp;G1551&amp;"?utm_source="&amp;E1551&amp;"&amp;utm_medium="&amp;F1551&amp;"&amp;utm_campaign="&amp;H1551&amp;"&amp;utm_content="&amp;I1551</f>
        <v>https://1clic-ia.fr/?utm_source=google&amp;utm_medium=cpc&amp;utm_campaign=2610_ff_lansare&amp;utm_content=cald_general</v>
      </c>
    </row>
    <row r="1552" customFormat="false" ht="15" hidden="false" customHeight="false" outlineLevel="0" collapsed="false">
      <c r="A1552" s="10" t="s">
        <v>85</v>
      </c>
      <c r="B1552" s="10" t="str">
        <f aca="false">INDEX('Site-uri'!$B$2:$B$20,MATCH(A1552,'Site-uri'!$A$2:$A$20,0))</f>
        <v>1clic-ia.fr</v>
      </c>
      <c r="C1552" s="10" t="s">
        <v>141</v>
      </c>
      <c r="D1552" s="10" t="s">
        <v>231</v>
      </c>
      <c r="E1552" s="10" t="str">
        <f aca="false">INDEX(Canale!$C$2:$C$30,MATCH(C1552,Canale!$A$2:$A$30,0))</f>
        <v>google</v>
      </c>
      <c r="F1552" s="10" t="str">
        <f aca="false">INDEX(Canale!$D$2:$D$30,MATCH(C1552,Canale!$A$2:$A$30,0))</f>
        <v>cpc</v>
      </c>
      <c r="G1552" s="10" t="str">
        <f aca="false">INDEX('Site-uri'!$C$2:$C$20,MATCH(A1552,'Site-uri'!$A$2:$A$20,0))</f>
        <v>/</v>
      </c>
      <c r="H1552" s="10" t="str">
        <f aca="false">Config!$B$3</f>
        <v>2610_ff_lansare</v>
      </c>
      <c r="I1552" s="10" t="str">
        <f aca="false">D1552&amp;"_"&amp;Config!$B$4</f>
        <v>fierbinte_general</v>
      </c>
      <c r="J1552" s="10" t="str">
        <f aca="false">"https://"&amp;B1552&amp;G1552&amp;"?utm_source="&amp;E1552&amp;"&amp;utm_medium="&amp;F1552&amp;"&amp;utm_campaign="&amp;H1552&amp;"&amp;utm_content="&amp;I1552</f>
        <v>https://1clic-ia.fr/?utm_source=google&amp;utm_medium=cpc&amp;utm_campaign=2610_ff_lansare&amp;utm_content=fierbinte_general</v>
      </c>
    </row>
    <row r="1553" customFormat="false" ht="15" hidden="false" customHeight="false" outlineLevel="0" collapsed="false">
      <c r="A1553" s="10" t="s">
        <v>85</v>
      </c>
      <c r="B1553" s="10" t="str">
        <f aca="false">INDEX('Site-uri'!$B$2:$B$20,MATCH(A1553,'Site-uri'!$A$2:$A$20,0))</f>
        <v>1clic-ia.fr</v>
      </c>
      <c r="C1553" s="10" t="s">
        <v>141</v>
      </c>
      <c r="D1553" s="10" t="s">
        <v>237</v>
      </c>
      <c r="E1553" s="10" t="str">
        <f aca="false">INDEX(Canale!$C$2:$C$30,MATCH(C1553,Canale!$A$2:$A$30,0))</f>
        <v>google</v>
      </c>
      <c r="F1553" s="10" t="str">
        <f aca="false">INDEX(Canale!$D$2:$D$30,MATCH(C1553,Canale!$A$2:$A$30,0))</f>
        <v>cpc</v>
      </c>
      <c r="G1553" s="10" t="str">
        <f aca="false">INDEX('Site-uri'!$C$2:$C$20,MATCH(A1553,'Site-uri'!$A$2:$A$20,0))</f>
        <v>/</v>
      </c>
      <c r="H1553" s="10" t="str">
        <f aca="false">Config!$B$3</f>
        <v>2610_ff_lansare</v>
      </c>
      <c r="I1553" s="10" t="str">
        <f aca="false">D1553&amp;"_"&amp;Config!$B$4</f>
        <v>client_general</v>
      </c>
      <c r="J1553" s="10" t="str">
        <f aca="false">"https://"&amp;B1553&amp;G1553&amp;"?utm_source="&amp;E1553&amp;"&amp;utm_medium="&amp;F1553&amp;"&amp;utm_campaign="&amp;H1553&amp;"&amp;utm_content="&amp;I1553</f>
        <v>https://1clic-ia.fr/?utm_source=google&amp;utm_medium=cpc&amp;utm_campaign=2610_ff_lansare&amp;utm_content=client_general</v>
      </c>
    </row>
    <row r="1554" customFormat="false" ht="15" hidden="false" customHeight="false" outlineLevel="0" collapsed="false">
      <c r="A1554" s="10" t="s">
        <v>85</v>
      </c>
      <c r="B1554" s="10" t="str">
        <f aca="false">INDEX('Site-uri'!$B$2:$B$20,MATCH(A1554,'Site-uri'!$A$2:$A$20,0))</f>
        <v>1clic-ia.fr</v>
      </c>
      <c r="C1554" s="10" t="s">
        <v>146</v>
      </c>
      <c r="D1554" s="10" t="s">
        <v>219</v>
      </c>
      <c r="E1554" s="10" t="str">
        <f aca="false">INDEX(Canale!$C$2:$C$30,MATCH(C1554,Canale!$A$2:$A$30,0))</f>
        <v>bing</v>
      </c>
      <c r="F1554" s="10" t="str">
        <f aca="false">INDEX(Canale!$D$2:$D$30,MATCH(C1554,Canale!$A$2:$A$30,0))</f>
        <v>cpc</v>
      </c>
      <c r="G1554" s="10" t="str">
        <f aca="false">INDEX('Site-uri'!$C$2:$C$20,MATCH(A1554,'Site-uri'!$A$2:$A$20,0))</f>
        <v>/</v>
      </c>
      <c r="H1554" s="10" t="str">
        <f aca="false">Config!$B$3</f>
        <v>2610_ff_lansare</v>
      </c>
      <c r="I1554" s="10" t="str">
        <f aca="false">D1554&amp;"_"&amp;Config!$B$4</f>
        <v>rece_general</v>
      </c>
      <c r="J1554" s="10" t="str">
        <f aca="false">"https://"&amp;B1554&amp;G1554&amp;"?utm_source="&amp;E1554&amp;"&amp;utm_medium="&amp;F1554&amp;"&amp;utm_campaign="&amp;H1554&amp;"&amp;utm_content="&amp;I1554</f>
        <v>https://1clic-ia.fr/?utm_source=bing&amp;utm_medium=cpc&amp;utm_campaign=2610_ff_lansare&amp;utm_content=rece_general</v>
      </c>
    </row>
    <row r="1555" customFormat="false" ht="15" hidden="false" customHeight="false" outlineLevel="0" collapsed="false">
      <c r="A1555" s="10" t="s">
        <v>85</v>
      </c>
      <c r="B1555" s="10" t="str">
        <f aca="false">INDEX('Site-uri'!$B$2:$B$20,MATCH(A1555,'Site-uri'!$A$2:$A$20,0))</f>
        <v>1clic-ia.fr</v>
      </c>
      <c r="C1555" s="10" t="s">
        <v>146</v>
      </c>
      <c r="D1555" s="10" t="s">
        <v>225</v>
      </c>
      <c r="E1555" s="10" t="str">
        <f aca="false">INDEX(Canale!$C$2:$C$30,MATCH(C1555,Canale!$A$2:$A$30,0))</f>
        <v>bing</v>
      </c>
      <c r="F1555" s="10" t="str">
        <f aca="false">INDEX(Canale!$D$2:$D$30,MATCH(C1555,Canale!$A$2:$A$30,0))</f>
        <v>cpc</v>
      </c>
      <c r="G1555" s="10" t="str">
        <f aca="false">INDEX('Site-uri'!$C$2:$C$20,MATCH(A1555,'Site-uri'!$A$2:$A$20,0))</f>
        <v>/</v>
      </c>
      <c r="H1555" s="10" t="str">
        <f aca="false">Config!$B$3</f>
        <v>2610_ff_lansare</v>
      </c>
      <c r="I1555" s="10" t="str">
        <f aca="false">D1555&amp;"_"&amp;Config!$B$4</f>
        <v>cald_general</v>
      </c>
      <c r="J1555" s="10" t="str">
        <f aca="false">"https://"&amp;B1555&amp;G1555&amp;"?utm_source="&amp;E1555&amp;"&amp;utm_medium="&amp;F1555&amp;"&amp;utm_campaign="&amp;H1555&amp;"&amp;utm_content="&amp;I1555</f>
        <v>https://1clic-ia.fr/?utm_source=bing&amp;utm_medium=cpc&amp;utm_campaign=2610_ff_lansare&amp;utm_content=cald_general</v>
      </c>
    </row>
    <row r="1556" customFormat="false" ht="15" hidden="false" customHeight="false" outlineLevel="0" collapsed="false">
      <c r="A1556" s="10" t="s">
        <v>85</v>
      </c>
      <c r="B1556" s="10" t="str">
        <f aca="false">INDEX('Site-uri'!$B$2:$B$20,MATCH(A1556,'Site-uri'!$A$2:$A$20,0))</f>
        <v>1clic-ia.fr</v>
      </c>
      <c r="C1556" s="10" t="s">
        <v>146</v>
      </c>
      <c r="D1556" s="10" t="s">
        <v>231</v>
      </c>
      <c r="E1556" s="10" t="str">
        <f aca="false">INDEX(Canale!$C$2:$C$30,MATCH(C1556,Canale!$A$2:$A$30,0))</f>
        <v>bing</v>
      </c>
      <c r="F1556" s="10" t="str">
        <f aca="false">INDEX(Canale!$D$2:$D$30,MATCH(C1556,Canale!$A$2:$A$30,0))</f>
        <v>cpc</v>
      </c>
      <c r="G1556" s="10" t="str">
        <f aca="false">INDEX('Site-uri'!$C$2:$C$20,MATCH(A1556,'Site-uri'!$A$2:$A$20,0))</f>
        <v>/</v>
      </c>
      <c r="H1556" s="10" t="str">
        <f aca="false">Config!$B$3</f>
        <v>2610_ff_lansare</v>
      </c>
      <c r="I1556" s="10" t="str">
        <f aca="false">D1556&amp;"_"&amp;Config!$B$4</f>
        <v>fierbinte_general</v>
      </c>
      <c r="J1556" s="10" t="str">
        <f aca="false">"https://"&amp;B1556&amp;G1556&amp;"?utm_source="&amp;E1556&amp;"&amp;utm_medium="&amp;F1556&amp;"&amp;utm_campaign="&amp;H1556&amp;"&amp;utm_content="&amp;I1556</f>
        <v>https://1clic-ia.fr/?utm_source=bing&amp;utm_medium=cpc&amp;utm_campaign=2610_ff_lansare&amp;utm_content=fierbinte_general</v>
      </c>
    </row>
    <row r="1557" customFormat="false" ht="15" hidden="false" customHeight="false" outlineLevel="0" collapsed="false">
      <c r="A1557" s="10" t="s">
        <v>85</v>
      </c>
      <c r="B1557" s="10" t="str">
        <f aca="false">INDEX('Site-uri'!$B$2:$B$20,MATCH(A1557,'Site-uri'!$A$2:$A$20,0))</f>
        <v>1clic-ia.fr</v>
      </c>
      <c r="C1557" s="10" t="s">
        <v>146</v>
      </c>
      <c r="D1557" s="10" t="s">
        <v>237</v>
      </c>
      <c r="E1557" s="10" t="str">
        <f aca="false">INDEX(Canale!$C$2:$C$30,MATCH(C1557,Canale!$A$2:$A$30,0))</f>
        <v>bing</v>
      </c>
      <c r="F1557" s="10" t="str">
        <f aca="false">INDEX(Canale!$D$2:$D$30,MATCH(C1557,Canale!$A$2:$A$30,0))</f>
        <v>cpc</v>
      </c>
      <c r="G1557" s="10" t="str">
        <f aca="false">INDEX('Site-uri'!$C$2:$C$20,MATCH(A1557,'Site-uri'!$A$2:$A$20,0))</f>
        <v>/</v>
      </c>
      <c r="H1557" s="10" t="str">
        <f aca="false">Config!$B$3</f>
        <v>2610_ff_lansare</v>
      </c>
      <c r="I1557" s="10" t="str">
        <f aca="false">D1557&amp;"_"&amp;Config!$B$4</f>
        <v>client_general</v>
      </c>
      <c r="J1557" s="10" t="str">
        <f aca="false">"https://"&amp;B1557&amp;G1557&amp;"?utm_source="&amp;E1557&amp;"&amp;utm_medium="&amp;F1557&amp;"&amp;utm_campaign="&amp;H1557&amp;"&amp;utm_content="&amp;I1557</f>
        <v>https://1clic-ia.fr/?utm_source=bing&amp;utm_medium=cpc&amp;utm_campaign=2610_ff_lansare&amp;utm_content=client_general</v>
      </c>
    </row>
    <row r="1558" customFormat="false" ht="15" hidden="false" customHeight="false" outlineLevel="0" collapsed="false">
      <c r="A1558" s="10" t="s">
        <v>85</v>
      </c>
      <c r="B1558" s="10" t="str">
        <f aca="false">INDEX('Site-uri'!$B$2:$B$20,MATCH(A1558,'Site-uri'!$A$2:$A$20,0))</f>
        <v>1clic-ia.fr</v>
      </c>
      <c r="C1558" s="10" t="s">
        <v>149</v>
      </c>
      <c r="D1558" s="10" t="s">
        <v>219</v>
      </c>
      <c r="E1558" s="10" t="str">
        <f aca="false">INDEX(Canale!$C$2:$C$30,MATCH(C1558,Canale!$A$2:$A$30,0))</f>
        <v>facebook</v>
      </c>
      <c r="F1558" s="10" t="str">
        <f aca="false">INDEX(Canale!$D$2:$D$30,MATCH(C1558,Canale!$A$2:$A$30,0))</f>
        <v>social</v>
      </c>
      <c r="G1558" s="10" t="str">
        <f aca="false">INDEX('Site-uri'!$C$2:$C$20,MATCH(A1558,'Site-uri'!$A$2:$A$20,0))</f>
        <v>/</v>
      </c>
      <c r="H1558" s="10" t="str">
        <f aca="false">Config!$B$3</f>
        <v>2610_ff_lansare</v>
      </c>
      <c r="I1558" s="10" t="str">
        <f aca="false">D1558&amp;"_"&amp;Config!$B$4</f>
        <v>rece_general</v>
      </c>
      <c r="J1558" s="10" t="str">
        <f aca="false">"https://"&amp;B1558&amp;G1558&amp;"?utm_source="&amp;E1558&amp;"&amp;utm_medium="&amp;F1558&amp;"&amp;utm_campaign="&amp;H1558&amp;"&amp;utm_content="&amp;I1558</f>
        <v>https://1clic-ia.fr/?utm_source=facebook&amp;utm_medium=social&amp;utm_campaign=2610_ff_lansare&amp;utm_content=rece_general</v>
      </c>
    </row>
    <row r="1559" customFormat="false" ht="15" hidden="false" customHeight="false" outlineLevel="0" collapsed="false">
      <c r="A1559" s="10" t="s">
        <v>85</v>
      </c>
      <c r="B1559" s="10" t="str">
        <f aca="false">INDEX('Site-uri'!$B$2:$B$20,MATCH(A1559,'Site-uri'!$A$2:$A$20,0))</f>
        <v>1clic-ia.fr</v>
      </c>
      <c r="C1559" s="10" t="s">
        <v>149</v>
      </c>
      <c r="D1559" s="10" t="s">
        <v>225</v>
      </c>
      <c r="E1559" s="10" t="str">
        <f aca="false">INDEX(Canale!$C$2:$C$30,MATCH(C1559,Canale!$A$2:$A$30,0))</f>
        <v>facebook</v>
      </c>
      <c r="F1559" s="10" t="str">
        <f aca="false">INDEX(Canale!$D$2:$D$30,MATCH(C1559,Canale!$A$2:$A$30,0))</f>
        <v>social</v>
      </c>
      <c r="G1559" s="10" t="str">
        <f aca="false">INDEX('Site-uri'!$C$2:$C$20,MATCH(A1559,'Site-uri'!$A$2:$A$20,0))</f>
        <v>/</v>
      </c>
      <c r="H1559" s="10" t="str">
        <f aca="false">Config!$B$3</f>
        <v>2610_ff_lansare</v>
      </c>
      <c r="I1559" s="10" t="str">
        <f aca="false">D1559&amp;"_"&amp;Config!$B$4</f>
        <v>cald_general</v>
      </c>
      <c r="J1559" s="10" t="str">
        <f aca="false">"https://"&amp;B1559&amp;G1559&amp;"?utm_source="&amp;E1559&amp;"&amp;utm_medium="&amp;F1559&amp;"&amp;utm_campaign="&amp;H1559&amp;"&amp;utm_content="&amp;I1559</f>
        <v>https://1clic-ia.fr/?utm_source=facebook&amp;utm_medium=social&amp;utm_campaign=2610_ff_lansare&amp;utm_content=cald_general</v>
      </c>
    </row>
    <row r="1560" customFormat="false" ht="15" hidden="false" customHeight="false" outlineLevel="0" collapsed="false">
      <c r="A1560" s="10" t="s">
        <v>85</v>
      </c>
      <c r="B1560" s="10" t="str">
        <f aca="false">INDEX('Site-uri'!$B$2:$B$20,MATCH(A1560,'Site-uri'!$A$2:$A$20,0))</f>
        <v>1clic-ia.fr</v>
      </c>
      <c r="C1560" s="10" t="s">
        <v>149</v>
      </c>
      <c r="D1560" s="10" t="s">
        <v>231</v>
      </c>
      <c r="E1560" s="10" t="str">
        <f aca="false">INDEX(Canale!$C$2:$C$30,MATCH(C1560,Canale!$A$2:$A$30,0))</f>
        <v>facebook</v>
      </c>
      <c r="F1560" s="10" t="str">
        <f aca="false">INDEX(Canale!$D$2:$D$30,MATCH(C1560,Canale!$A$2:$A$30,0))</f>
        <v>social</v>
      </c>
      <c r="G1560" s="10" t="str">
        <f aca="false">INDEX('Site-uri'!$C$2:$C$20,MATCH(A1560,'Site-uri'!$A$2:$A$20,0))</f>
        <v>/</v>
      </c>
      <c r="H1560" s="10" t="str">
        <f aca="false">Config!$B$3</f>
        <v>2610_ff_lansare</v>
      </c>
      <c r="I1560" s="10" t="str">
        <f aca="false">D1560&amp;"_"&amp;Config!$B$4</f>
        <v>fierbinte_general</v>
      </c>
      <c r="J1560" s="10" t="str">
        <f aca="false">"https://"&amp;B1560&amp;G1560&amp;"?utm_source="&amp;E1560&amp;"&amp;utm_medium="&amp;F1560&amp;"&amp;utm_campaign="&amp;H1560&amp;"&amp;utm_content="&amp;I1560</f>
        <v>https://1clic-ia.fr/?utm_source=facebook&amp;utm_medium=social&amp;utm_campaign=2610_ff_lansare&amp;utm_content=fierbinte_general</v>
      </c>
    </row>
    <row r="1561" customFormat="false" ht="15" hidden="false" customHeight="false" outlineLevel="0" collapsed="false">
      <c r="A1561" s="10" t="s">
        <v>85</v>
      </c>
      <c r="B1561" s="10" t="str">
        <f aca="false">INDEX('Site-uri'!$B$2:$B$20,MATCH(A1561,'Site-uri'!$A$2:$A$20,0))</f>
        <v>1clic-ia.fr</v>
      </c>
      <c r="C1561" s="10" t="s">
        <v>149</v>
      </c>
      <c r="D1561" s="10" t="s">
        <v>237</v>
      </c>
      <c r="E1561" s="10" t="str">
        <f aca="false">INDEX(Canale!$C$2:$C$30,MATCH(C1561,Canale!$A$2:$A$30,0))</f>
        <v>facebook</v>
      </c>
      <c r="F1561" s="10" t="str">
        <f aca="false">INDEX(Canale!$D$2:$D$30,MATCH(C1561,Canale!$A$2:$A$30,0))</f>
        <v>social</v>
      </c>
      <c r="G1561" s="10" t="str">
        <f aca="false">INDEX('Site-uri'!$C$2:$C$20,MATCH(A1561,'Site-uri'!$A$2:$A$20,0))</f>
        <v>/</v>
      </c>
      <c r="H1561" s="10" t="str">
        <f aca="false">Config!$B$3</f>
        <v>2610_ff_lansare</v>
      </c>
      <c r="I1561" s="10" t="str">
        <f aca="false">D1561&amp;"_"&amp;Config!$B$4</f>
        <v>client_general</v>
      </c>
      <c r="J1561" s="10" t="str">
        <f aca="false">"https://"&amp;B1561&amp;G1561&amp;"?utm_source="&amp;E1561&amp;"&amp;utm_medium="&amp;F1561&amp;"&amp;utm_campaign="&amp;H1561&amp;"&amp;utm_content="&amp;I1561</f>
        <v>https://1clic-ia.fr/?utm_source=facebook&amp;utm_medium=social&amp;utm_campaign=2610_ff_lansare&amp;utm_content=client_general</v>
      </c>
    </row>
    <row r="1562" customFormat="false" ht="15" hidden="false" customHeight="false" outlineLevel="0" collapsed="false">
      <c r="A1562" s="10" t="s">
        <v>85</v>
      </c>
      <c r="B1562" s="10" t="str">
        <f aca="false">INDEX('Site-uri'!$B$2:$B$20,MATCH(A1562,'Site-uri'!$A$2:$A$20,0))</f>
        <v>1clic-ia.fr</v>
      </c>
      <c r="C1562" s="10" t="s">
        <v>153</v>
      </c>
      <c r="D1562" s="10" t="s">
        <v>219</v>
      </c>
      <c r="E1562" s="10" t="str">
        <f aca="false">INDEX(Canale!$C$2:$C$30,MATCH(C1562,Canale!$A$2:$A$30,0))</f>
        <v>x</v>
      </c>
      <c r="F1562" s="10" t="str">
        <f aca="false">INDEX(Canale!$D$2:$D$30,MATCH(C1562,Canale!$A$2:$A$30,0))</f>
        <v>social</v>
      </c>
      <c r="G1562" s="10" t="str">
        <f aca="false">INDEX('Site-uri'!$C$2:$C$20,MATCH(A1562,'Site-uri'!$A$2:$A$20,0))</f>
        <v>/</v>
      </c>
      <c r="H1562" s="10" t="str">
        <f aca="false">Config!$B$3</f>
        <v>2610_ff_lansare</v>
      </c>
      <c r="I1562" s="10" t="str">
        <f aca="false">D1562&amp;"_"&amp;Config!$B$4</f>
        <v>rece_general</v>
      </c>
      <c r="J1562" s="10" t="str">
        <f aca="false">"https://"&amp;B1562&amp;G1562&amp;"?utm_source="&amp;E1562&amp;"&amp;utm_medium="&amp;F1562&amp;"&amp;utm_campaign="&amp;H1562&amp;"&amp;utm_content="&amp;I1562</f>
        <v>https://1clic-ia.fr/?utm_source=x&amp;utm_medium=social&amp;utm_campaign=2610_ff_lansare&amp;utm_content=rece_general</v>
      </c>
    </row>
    <row r="1563" customFormat="false" ht="15" hidden="false" customHeight="false" outlineLevel="0" collapsed="false">
      <c r="A1563" s="10" t="s">
        <v>85</v>
      </c>
      <c r="B1563" s="10" t="str">
        <f aca="false">INDEX('Site-uri'!$B$2:$B$20,MATCH(A1563,'Site-uri'!$A$2:$A$20,0))</f>
        <v>1clic-ia.fr</v>
      </c>
      <c r="C1563" s="10" t="s">
        <v>153</v>
      </c>
      <c r="D1563" s="10" t="s">
        <v>225</v>
      </c>
      <c r="E1563" s="10" t="str">
        <f aca="false">INDEX(Canale!$C$2:$C$30,MATCH(C1563,Canale!$A$2:$A$30,0))</f>
        <v>x</v>
      </c>
      <c r="F1563" s="10" t="str">
        <f aca="false">INDEX(Canale!$D$2:$D$30,MATCH(C1563,Canale!$A$2:$A$30,0))</f>
        <v>social</v>
      </c>
      <c r="G1563" s="10" t="str">
        <f aca="false">INDEX('Site-uri'!$C$2:$C$20,MATCH(A1563,'Site-uri'!$A$2:$A$20,0))</f>
        <v>/</v>
      </c>
      <c r="H1563" s="10" t="str">
        <f aca="false">Config!$B$3</f>
        <v>2610_ff_lansare</v>
      </c>
      <c r="I1563" s="10" t="str">
        <f aca="false">D1563&amp;"_"&amp;Config!$B$4</f>
        <v>cald_general</v>
      </c>
      <c r="J1563" s="10" t="str">
        <f aca="false">"https://"&amp;B1563&amp;G1563&amp;"?utm_source="&amp;E1563&amp;"&amp;utm_medium="&amp;F1563&amp;"&amp;utm_campaign="&amp;H1563&amp;"&amp;utm_content="&amp;I1563</f>
        <v>https://1clic-ia.fr/?utm_source=x&amp;utm_medium=social&amp;utm_campaign=2610_ff_lansare&amp;utm_content=cald_general</v>
      </c>
    </row>
    <row r="1564" customFormat="false" ht="15" hidden="false" customHeight="false" outlineLevel="0" collapsed="false">
      <c r="A1564" s="10" t="s">
        <v>85</v>
      </c>
      <c r="B1564" s="10" t="str">
        <f aca="false">INDEX('Site-uri'!$B$2:$B$20,MATCH(A1564,'Site-uri'!$A$2:$A$20,0))</f>
        <v>1clic-ia.fr</v>
      </c>
      <c r="C1564" s="10" t="s">
        <v>153</v>
      </c>
      <c r="D1564" s="10" t="s">
        <v>231</v>
      </c>
      <c r="E1564" s="10" t="str">
        <f aca="false">INDEX(Canale!$C$2:$C$30,MATCH(C1564,Canale!$A$2:$A$30,0))</f>
        <v>x</v>
      </c>
      <c r="F1564" s="10" t="str">
        <f aca="false">INDEX(Canale!$D$2:$D$30,MATCH(C1564,Canale!$A$2:$A$30,0))</f>
        <v>social</v>
      </c>
      <c r="G1564" s="10" t="str">
        <f aca="false">INDEX('Site-uri'!$C$2:$C$20,MATCH(A1564,'Site-uri'!$A$2:$A$20,0))</f>
        <v>/</v>
      </c>
      <c r="H1564" s="10" t="str">
        <f aca="false">Config!$B$3</f>
        <v>2610_ff_lansare</v>
      </c>
      <c r="I1564" s="10" t="str">
        <f aca="false">D1564&amp;"_"&amp;Config!$B$4</f>
        <v>fierbinte_general</v>
      </c>
      <c r="J1564" s="10" t="str">
        <f aca="false">"https://"&amp;B1564&amp;G1564&amp;"?utm_source="&amp;E1564&amp;"&amp;utm_medium="&amp;F1564&amp;"&amp;utm_campaign="&amp;H1564&amp;"&amp;utm_content="&amp;I1564</f>
        <v>https://1clic-ia.fr/?utm_source=x&amp;utm_medium=social&amp;utm_campaign=2610_ff_lansare&amp;utm_content=fierbinte_general</v>
      </c>
    </row>
    <row r="1565" customFormat="false" ht="15" hidden="false" customHeight="false" outlineLevel="0" collapsed="false">
      <c r="A1565" s="10" t="s">
        <v>85</v>
      </c>
      <c r="B1565" s="10" t="str">
        <f aca="false">INDEX('Site-uri'!$B$2:$B$20,MATCH(A1565,'Site-uri'!$A$2:$A$20,0))</f>
        <v>1clic-ia.fr</v>
      </c>
      <c r="C1565" s="10" t="s">
        <v>153</v>
      </c>
      <c r="D1565" s="10" t="s">
        <v>237</v>
      </c>
      <c r="E1565" s="10" t="str">
        <f aca="false">INDEX(Canale!$C$2:$C$30,MATCH(C1565,Canale!$A$2:$A$30,0))</f>
        <v>x</v>
      </c>
      <c r="F1565" s="10" t="str">
        <f aca="false">INDEX(Canale!$D$2:$D$30,MATCH(C1565,Canale!$A$2:$A$30,0))</f>
        <v>social</v>
      </c>
      <c r="G1565" s="10" t="str">
        <f aca="false">INDEX('Site-uri'!$C$2:$C$20,MATCH(A1565,'Site-uri'!$A$2:$A$20,0))</f>
        <v>/</v>
      </c>
      <c r="H1565" s="10" t="str">
        <f aca="false">Config!$B$3</f>
        <v>2610_ff_lansare</v>
      </c>
      <c r="I1565" s="10" t="str">
        <f aca="false">D1565&amp;"_"&amp;Config!$B$4</f>
        <v>client_general</v>
      </c>
      <c r="J1565" s="10" t="str">
        <f aca="false">"https://"&amp;B1565&amp;G1565&amp;"?utm_source="&amp;E1565&amp;"&amp;utm_medium="&amp;F1565&amp;"&amp;utm_campaign="&amp;H1565&amp;"&amp;utm_content="&amp;I1565</f>
        <v>https://1clic-ia.fr/?utm_source=x&amp;utm_medium=social&amp;utm_campaign=2610_ff_lansare&amp;utm_content=client_general</v>
      </c>
    </row>
    <row r="1566" customFormat="false" ht="15" hidden="false" customHeight="false" outlineLevel="0" collapsed="false">
      <c r="A1566" s="10" t="s">
        <v>85</v>
      </c>
      <c r="B1566" s="10" t="str">
        <f aca="false">INDEX('Site-uri'!$B$2:$B$20,MATCH(A1566,'Site-uri'!$A$2:$A$20,0))</f>
        <v>1clic-ia.fr</v>
      </c>
      <c r="C1566" s="10" t="s">
        <v>155</v>
      </c>
      <c r="D1566" s="10" t="s">
        <v>219</v>
      </c>
      <c r="E1566" s="10" t="str">
        <f aca="false">INDEX(Canale!$C$2:$C$30,MATCH(C1566,Canale!$A$2:$A$30,0))</f>
        <v>youtube</v>
      </c>
      <c r="F1566" s="10" t="str">
        <f aca="false">INDEX(Canale!$D$2:$D$30,MATCH(C1566,Canale!$A$2:$A$30,0))</f>
        <v>video</v>
      </c>
      <c r="G1566" s="10" t="str">
        <f aca="false">INDEX('Site-uri'!$C$2:$C$20,MATCH(A1566,'Site-uri'!$A$2:$A$20,0))</f>
        <v>/</v>
      </c>
      <c r="H1566" s="10" t="str">
        <f aca="false">Config!$B$3</f>
        <v>2610_ff_lansare</v>
      </c>
      <c r="I1566" s="10" t="str">
        <f aca="false">D1566&amp;"_"&amp;Config!$B$4</f>
        <v>rece_general</v>
      </c>
      <c r="J1566" s="10" t="str">
        <f aca="false">"https://"&amp;B1566&amp;G1566&amp;"?utm_source="&amp;E1566&amp;"&amp;utm_medium="&amp;F1566&amp;"&amp;utm_campaign="&amp;H1566&amp;"&amp;utm_content="&amp;I1566</f>
        <v>https://1clic-ia.fr/?utm_source=youtube&amp;utm_medium=video&amp;utm_campaign=2610_ff_lansare&amp;utm_content=rece_general</v>
      </c>
    </row>
    <row r="1567" customFormat="false" ht="15" hidden="false" customHeight="false" outlineLevel="0" collapsed="false">
      <c r="A1567" s="10" t="s">
        <v>85</v>
      </c>
      <c r="B1567" s="10" t="str">
        <f aca="false">INDEX('Site-uri'!$B$2:$B$20,MATCH(A1567,'Site-uri'!$A$2:$A$20,0))</f>
        <v>1clic-ia.fr</v>
      </c>
      <c r="C1567" s="10" t="s">
        <v>155</v>
      </c>
      <c r="D1567" s="10" t="s">
        <v>225</v>
      </c>
      <c r="E1567" s="10" t="str">
        <f aca="false">INDEX(Canale!$C$2:$C$30,MATCH(C1567,Canale!$A$2:$A$30,0))</f>
        <v>youtube</v>
      </c>
      <c r="F1567" s="10" t="str">
        <f aca="false">INDEX(Canale!$D$2:$D$30,MATCH(C1567,Canale!$A$2:$A$30,0))</f>
        <v>video</v>
      </c>
      <c r="G1567" s="10" t="str">
        <f aca="false">INDEX('Site-uri'!$C$2:$C$20,MATCH(A1567,'Site-uri'!$A$2:$A$20,0))</f>
        <v>/</v>
      </c>
      <c r="H1567" s="10" t="str">
        <f aca="false">Config!$B$3</f>
        <v>2610_ff_lansare</v>
      </c>
      <c r="I1567" s="10" t="str">
        <f aca="false">D1567&amp;"_"&amp;Config!$B$4</f>
        <v>cald_general</v>
      </c>
      <c r="J1567" s="10" t="str">
        <f aca="false">"https://"&amp;B1567&amp;G1567&amp;"?utm_source="&amp;E1567&amp;"&amp;utm_medium="&amp;F1567&amp;"&amp;utm_campaign="&amp;H1567&amp;"&amp;utm_content="&amp;I1567</f>
        <v>https://1clic-ia.fr/?utm_source=youtube&amp;utm_medium=video&amp;utm_campaign=2610_ff_lansare&amp;utm_content=cald_general</v>
      </c>
    </row>
    <row r="1568" customFormat="false" ht="15" hidden="false" customHeight="false" outlineLevel="0" collapsed="false">
      <c r="A1568" s="10" t="s">
        <v>85</v>
      </c>
      <c r="B1568" s="10" t="str">
        <f aca="false">INDEX('Site-uri'!$B$2:$B$20,MATCH(A1568,'Site-uri'!$A$2:$A$20,0))</f>
        <v>1clic-ia.fr</v>
      </c>
      <c r="C1568" s="10" t="s">
        <v>155</v>
      </c>
      <c r="D1568" s="10" t="s">
        <v>231</v>
      </c>
      <c r="E1568" s="10" t="str">
        <f aca="false">INDEX(Canale!$C$2:$C$30,MATCH(C1568,Canale!$A$2:$A$30,0))</f>
        <v>youtube</v>
      </c>
      <c r="F1568" s="10" t="str">
        <f aca="false">INDEX(Canale!$D$2:$D$30,MATCH(C1568,Canale!$A$2:$A$30,0))</f>
        <v>video</v>
      </c>
      <c r="G1568" s="10" t="str">
        <f aca="false">INDEX('Site-uri'!$C$2:$C$20,MATCH(A1568,'Site-uri'!$A$2:$A$20,0))</f>
        <v>/</v>
      </c>
      <c r="H1568" s="10" t="str">
        <f aca="false">Config!$B$3</f>
        <v>2610_ff_lansare</v>
      </c>
      <c r="I1568" s="10" t="str">
        <f aca="false">D1568&amp;"_"&amp;Config!$B$4</f>
        <v>fierbinte_general</v>
      </c>
      <c r="J1568" s="10" t="str">
        <f aca="false">"https://"&amp;B1568&amp;G1568&amp;"?utm_source="&amp;E1568&amp;"&amp;utm_medium="&amp;F1568&amp;"&amp;utm_campaign="&amp;H1568&amp;"&amp;utm_content="&amp;I1568</f>
        <v>https://1clic-ia.fr/?utm_source=youtube&amp;utm_medium=video&amp;utm_campaign=2610_ff_lansare&amp;utm_content=fierbinte_general</v>
      </c>
    </row>
    <row r="1569" customFormat="false" ht="15" hidden="false" customHeight="false" outlineLevel="0" collapsed="false">
      <c r="A1569" s="10" t="s">
        <v>85</v>
      </c>
      <c r="B1569" s="10" t="str">
        <f aca="false">INDEX('Site-uri'!$B$2:$B$20,MATCH(A1569,'Site-uri'!$A$2:$A$20,0))</f>
        <v>1clic-ia.fr</v>
      </c>
      <c r="C1569" s="10" t="s">
        <v>155</v>
      </c>
      <c r="D1569" s="10" t="s">
        <v>237</v>
      </c>
      <c r="E1569" s="10" t="str">
        <f aca="false">INDEX(Canale!$C$2:$C$30,MATCH(C1569,Canale!$A$2:$A$30,0))</f>
        <v>youtube</v>
      </c>
      <c r="F1569" s="10" t="str">
        <f aca="false">INDEX(Canale!$D$2:$D$30,MATCH(C1569,Canale!$A$2:$A$30,0))</f>
        <v>video</v>
      </c>
      <c r="G1569" s="10" t="str">
        <f aca="false">INDEX('Site-uri'!$C$2:$C$20,MATCH(A1569,'Site-uri'!$A$2:$A$20,0))</f>
        <v>/</v>
      </c>
      <c r="H1569" s="10" t="str">
        <f aca="false">Config!$B$3</f>
        <v>2610_ff_lansare</v>
      </c>
      <c r="I1569" s="10" t="str">
        <f aca="false">D1569&amp;"_"&amp;Config!$B$4</f>
        <v>client_general</v>
      </c>
      <c r="J1569" s="10" t="str">
        <f aca="false">"https://"&amp;B1569&amp;G1569&amp;"?utm_source="&amp;E1569&amp;"&amp;utm_medium="&amp;F1569&amp;"&amp;utm_campaign="&amp;H1569&amp;"&amp;utm_content="&amp;I1569</f>
        <v>https://1clic-ia.fr/?utm_source=youtube&amp;utm_medium=video&amp;utm_campaign=2610_ff_lansare&amp;utm_content=client_general</v>
      </c>
    </row>
    <row r="1570" customFormat="false" ht="15" hidden="false" customHeight="false" outlineLevel="0" collapsed="false">
      <c r="A1570" s="10" t="s">
        <v>85</v>
      </c>
      <c r="B1570" s="10" t="str">
        <f aca="false">INDEX('Site-uri'!$B$2:$B$20,MATCH(A1570,'Site-uri'!$A$2:$A$20,0))</f>
        <v>1clic-ia.fr</v>
      </c>
      <c r="C1570" s="10" t="s">
        <v>160</v>
      </c>
      <c r="D1570" s="10" t="s">
        <v>219</v>
      </c>
      <c r="E1570" s="10" t="str">
        <f aca="false">INDEX(Canale!$C$2:$C$30,MATCH(C1570,Canale!$A$2:$A$30,0))</f>
        <v>medium</v>
      </c>
      <c r="F1570" s="10" t="str">
        <f aca="false">INDEX(Canale!$D$2:$D$30,MATCH(C1570,Canale!$A$2:$A$30,0))</f>
        <v>content</v>
      </c>
      <c r="G1570" s="10" t="str">
        <f aca="false">INDEX('Site-uri'!$C$2:$C$20,MATCH(A1570,'Site-uri'!$A$2:$A$20,0))</f>
        <v>/</v>
      </c>
      <c r="H1570" s="10" t="str">
        <f aca="false">Config!$B$3</f>
        <v>2610_ff_lansare</v>
      </c>
      <c r="I1570" s="10" t="str">
        <f aca="false">D1570&amp;"_"&amp;Config!$B$4</f>
        <v>rece_general</v>
      </c>
      <c r="J1570" s="10" t="str">
        <f aca="false">"https://"&amp;B1570&amp;G1570&amp;"?utm_source="&amp;E1570&amp;"&amp;utm_medium="&amp;F1570&amp;"&amp;utm_campaign="&amp;H1570&amp;"&amp;utm_content="&amp;I1570</f>
        <v>https://1clic-ia.fr/?utm_source=medium&amp;utm_medium=content&amp;utm_campaign=2610_ff_lansare&amp;utm_content=rece_general</v>
      </c>
    </row>
    <row r="1571" customFormat="false" ht="15" hidden="false" customHeight="false" outlineLevel="0" collapsed="false">
      <c r="A1571" s="10" t="s">
        <v>85</v>
      </c>
      <c r="B1571" s="10" t="str">
        <f aca="false">INDEX('Site-uri'!$B$2:$B$20,MATCH(A1571,'Site-uri'!$A$2:$A$20,0))</f>
        <v>1clic-ia.fr</v>
      </c>
      <c r="C1571" s="10" t="s">
        <v>160</v>
      </c>
      <c r="D1571" s="10" t="s">
        <v>225</v>
      </c>
      <c r="E1571" s="10" t="str">
        <f aca="false">INDEX(Canale!$C$2:$C$30,MATCH(C1571,Canale!$A$2:$A$30,0))</f>
        <v>medium</v>
      </c>
      <c r="F1571" s="10" t="str">
        <f aca="false">INDEX(Canale!$D$2:$D$30,MATCH(C1571,Canale!$A$2:$A$30,0))</f>
        <v>content</v>
      </c>
      <c r="G1571" s="10" t="str">
        <f aca="false">INDEX('Site-uri'!$C$2:$C$20,MATCH(A1571,'Site-uri'!$A$2:$A$20,0))</f>
        <v>/</v>
      </c>
      <c r="H1571" s="10" t="str">
        <f aca="false">Config!$B$3</f>
        <v>2610_ff_lansare</v>
      </c>
      <c r="I1571" s="10" t="str">
        <f aca="false">D1571&amp;"_"&amp;Config!$B$4</f>
        <v>cald_general</v>
      </c>
      <c r="J1571" s="10" t="str">
        <f aca="false">"https://"&amp;B1571&amp;G1571&amp;"?utm_source="&amp;E1571&amp;"&amp;utm_medium="&amp;F1571&amp;"&amp;utm_campaign="&amp;H1571&amp;"&amp;utm_content="&amp;I1571</f>
        <v>https://1clic-ia.fr/?utm_source=medium&amp;utm_medium=content&amp;utm_campaign=2610_ff_lansare&amp;utm_content=cald_general</v>
      </c>
    </row>
    <row r="1572" customFormat="false" ht="15" hidden="false" customHeight="false" outlineLevel="0" collapsed="false">
      <c r="A1572" s="10" t="s">
        <v>85</v>
      </c>
      <c r="B1572" s="10" t="str">
        <f aca="false">INDEX('Site-uri'!$B$2:$B$20,MATCH(A1572,'Site-uri'!$A$2:$A$20,0))</f>
        <v>1clic-ia.fr</v>
      </c>
      <c r="C1572" s="10" t="s">
        <v>160</v>
      </c>
      <c r="D1572" s="10" t="s">
        <v>231</v>
      </c>
      <c r="E1572" s="10" t="str">
        <f aca="false">INDEX(Canale!$C$2:$C$30,MATCH(C1572,Canale!$A$2:$A$30,0))</f>
        <v>medium</v>
      </c>
      <c r="F1572" s="10" t="str">
        <f aca="false">INDEX(Canale!$D$2:$D$30,MATCH(C1572,Canale!$A$2:$A$30,0))</f>
        <v>content</v>
      </c>
      <c r="G1572" s="10" t="str">
        <f aca="false">INDEX('Site-uri'!$C$2:$C$20,MATCH(A1572,'Site-uri'!$A$2:$A$20,0))</f>
        <v>/</v>
      </c>
      <c r="H1572" s="10" t="str">
        <f aca="false">Config!$B$3</f>
        <v>2610_ff_lansare</v>
      </c>
      <c r="I1572" s="10" t="str">
        <f aca="false">D1572&amp;"_"&amp;Config!$B$4</f>
        <v>fierbinte_general</v>
      </c>
      <c r="J1572" s="10" t="str">
        <f aca="false">"https://"&amp;B1572&amp;G1572&amp;"?utm_source="&amp;E1572&amp;"&amp;utm_medium="&amp;F1572&amp;"&amp;utm_campaign="&amp;H1572&amp;"&amp;utm_content="&amp;I1572</f>
        <v>https://1clic-ia.fr/?utm_source=medium&amp;utm_medium=content&amp;utm_campaign=2610_ff_lansare&amp;utm_content=fierbinte_general</v>
      </c>
    </row>
    <row r="1573" customFormat="false" ht="15" hidden="false" customHeight="false" outlineLevel="0" collapsed="false">
      <c r="A1573" s="10" t="s">
        <v>85</v>
      </c>
      <c r="B1573" s="10" t="str">
        <f aca="false">INDEX('Site-uri'!$B$2:$B$20,MATCH(A1573,'Site-uri'!$A$2:$A$20,0))</f>
        <v>1clic-ia.fr</v>
      </c>
      <c r="C1573" s="10" t="s">
        <v>160</v>
      </c>
      <c r="D1573" s="10" t="s">
        <v>237</v>
      </c>
      <c r="E1573" s="10" t="str">
        <f aca="false">INDEX(Canale!$C$2:$C$30,MATCH(C1573,Canale!$A$2:$A$30,0))</f>
        <v>medium</v>
      </c>
      <c r="F1573" s="10" t="str">
        <f aca="false">INDEX(Canale!$D$2:$D$30,MATCH(C1573,Canale!$A$2:$A$30,0))</f>
        <v>content</v>
      </c>
      <c r="G1573" s="10" t="str">
        <f aca="false">INDEX('Site-uri'!$C$2:$C$20,MATCH(A1573,'Site-uri'!$A$2:$A$20,0))</f>
        <v>/</v>
      </c>
      <c r="H1573" s="10" t="str">
        <f aca="false">Config!$B$3</f>
        <v>2610_ff_lansare</v>
      </c>
      <c r="I1573" s="10" t="str">
        <f aca="false">D1573&amp;"_"&amp;Config!$B$4</f>
        <v>client_general</v>
      </c>
      <c r="J1573" s="10" t="str">
        <f aca="false">"https://"&amp;B1573&amp;G1573&amp;"?utm_source="&amp;E1573&amp;"&amp;utm_medium="&amp;F1573&amp;"&amp;utm_campaign="&amp;H1573&amp;"&amp;utm_content="&amp;I1573</f>
        <v>https://1clic-ia.fr/?utm_source=medium&amp;utm_medium=content&amp;utm_campaign=2610_ff_lansare&amp;utm_content=client_general</v>
      </c>
    </row>
    <row r="1574" customFormat="false" ht="15" hidden="false" customHeight="false" outlineLevel="0" collapsed="false">
      <c r="A1574" s="10" t="s">
        <v>85</v>
      </c>
      <c r="B1574" s="10" t="str">
        <f aca="false">INDEX('Site-uri'!$B$2:$B$20,MATCH(A1574,'Site-uri'!$A$2:$A$20,0))</f>
        <v>1clic-ia.fr</v>
      </c>
      <c r="C1574" s="10" t="s">
        <v>165</v>
      </c>
      <c r="D1574" s="10" t="s">
        <v>219</v>
      </c>
      <c r="E1574" s="10" t="str">
        <f aca="false">INDEX(Canale!$C$2:$C$30,MATCH(C1574,Canale!$A$2:$A$30,0))</f>
        <v>crunchbase</v>
      </c>
      <c r="F1574" s="10" t="str">
        <f aca="false">INDEX(Canale!$D$2:$D$30,MATCH(C1574,Canale!$A$2:$A$30,0))</f>
        <v>referral</v>
      </c>
      <c r="G1574" s="10" t="str">
        <f aca="false">INDEX('Site-uri'!$C$2:$C$20,MATCH(A1574,'Site-uri'!$A$2:$A$20,0))</f>
        <v>/</v>
      </c>
      <c r="H1574" s="10" t="str">
        <f aca="false">Config!$B$3</f>
        <v>2610_ff_lansare</v>
      </c>
      <c r="I1574" s="10" t="str">
        <f aca="false">D1574&amp;"_"&amp;Config!$B$4</f>
        <v>rece_general</v>
      </c>
      <c r="J1574" s="10" t="str">
        <f aca="false">"https://"&amp;B1574&amp;G1574&amp;"?utm_source="&amp;E1574&amp;"&amp;utm_medium="&amp;F1574&amp;"&amp;utm_campaign="&amp;H1574&amp;"&amp;utm_content="&amp;I1574</f>
        <v>https://1clic-ia.fr/?utm_source=crunchbase&amp;utm_medium=referral&amp;utm_campaign=2610_ff_lansare&amp;utm_content=rece_general</v>
      </c>
    </row>
    <row r="1575" customFormat="false" ht="15" hidden="false" customHeight="false" outlineLevel="0" collapsed="false">
      <c r="A1575" s="10" t="s">
        <v>85</v>
      </c>
      <c r="B1575" s="10" t="str">
        <f aca="false">INDEX('Site-uri'!$B$2:$B$20,MATCH(A1575,'Site-uri'!$A$2:$A$20,0))</f>
        <v>1clic-ia.fr</v>
      </c>
      <c r="C1575" s="10" t="s">
        <v>165</v>
      </c>
      <c r="D1575" s="10" t="s">
        <v>225</v>
      </c>
      <c r="E1575" s="10" t="str">
        <f aca="false">INDEX(Canale!$C$2:$C$30,MATCH(C1575,Canale!$A$2:$A$30,0))</f>
        <v>crunchbase</v>
      </c>
      <c r="F1575" s="10" t="str">
        <f aca="false">INDEX(Canale!$D$2:$D$30,MATCH(C1575,Canale!$A$2:$A$30,0))</f>
        <v>referral</v>
      </c>
      <c r="G1575" s="10" t="str">
        <f aca="false">INDEX('Site-uri'!$C$2:$C$20,MATCH(A1575,'Site-uri'!$A$2:$A$20,0))</f>
        <v>/</v>
      </c>
      <c r="H1575" s="10" t="str">
        <f aca="false">Config!$B$3</f>
        <v>2610_ff_lansare</v>
      </c>
      <c r="I1575" s="10" t="str">
        <f aca="false">D1575&amp;"_"&amp;Config!$B$4</f>
        <v>cald_general</v>
      </c>
      <c r="J1575" s="10" t="str">
        <f aca="false">"https://"&amp;B1575&amp;G1575&amp;"?utm_source="&amp;E1575&amp;"&amp;utm_medium="&amp;F1575&amp;"&amp;utm_campaign="&amp;H1575&amp;"&amp;utm_content="&amp;I1575</f>
        <v>https://1clic-ia.fr/?utm_source=crunchbase&amp;utm_medium=referral&amp;utm_campaign=2610_ff_lansare&amp;utm_content=cald_general</v>
      </c>
    </row>
    <row r="1576" customFormat="false" ht="15" hidden="false" customHeight="false" outlineLevel="0" collapsed="false">
      <c r="A1576" s="10" t="s">
        <v>85</v>
      </c>
      <c r="B1576" s="10" t="str">
        <f aca="false">INDEX('Site-uri'!$B$2:$B$20,MATCH(A1576,'Site-uri'!$A$2:$A$20,0))</f>
        <v>1clic-ia.fr</v>
      </c>
      <c r="C1576" s="10" t="s">
        <v>165</v>
      </c>
      <c r="D1576" s="10" t="s">
        <v>231</v>
      </c>
      <c r="E1576" s="10" t="str">
        <f aca="false">INDEX(Canale!$C$2:$C$30,MATCH(C1576,Canale!$A$2:$A$30,0))</f>
        <v>crunchbase</v>
      </c>
      <c r="F1576" s="10" t="str">
        <f aca="false">INDEX(Canale!$D$2:$D$30,MATCH(C1576,Canale!$A$2:$A$30,0))</f>
        <v>referral</v>
      </c>
      <c r="G1576" s="10" t="str">
        <f aca="false">INDEX('Site-uri'!$C$2:$C$20,MATCH(A1576,'Site-uri'!$A$2:$A$20,0))</f>
        <v>/</v>
      </c>
      <c r="H1576" s="10" t="str">
        <f aca="false">Config!$B$3</f>
        <v>2610_ff_lansare</v>
      </c>
      <c r="I1576" s="10" t="str">
        <f aca="false">D1576&amp;"_"&amp;Config!$B$4</f>
        <v>fierbinte_general</v>
      </c>
      <c r="J1576" s="10" t="str">
        <f aca="false">"https://"&amp;B1576&amp;G1576&amp;"?utm_source="&amp;E1576&amp;"&amp;utm_medium="&amp;F1576&amp;"&amp;utm_campaign="&amp;H1576&amp;"&amp;utm_content="&amp;I1576</f>
        <v>https://1clic-ia.fr/?utm_source=crunchbase&amp;utm_medium=referral&amp;utm_campaign=2610_ff_lansare&amp;utm_content=fierbinte_general</v>
      </c>
    </row>
    <row r="1577" customFormat="false" ht="15" hidden="false" customHeight="false" outlineLevel="0" collapsed="false">
      <c r="A1577" s="10" t="s">
        <v>85</v>
      </c>
      <c r="B1577" s="10" t="str">
        <f aca="false">INDEX('Site-uri'!$B$2:$B$20,MATCH(A1577,'Site-uri'!$A$2:$A$20,0))</f>
        <v>1clic-ia.fr</v>
      </c>
      <c r="C1577" s="10" t="s">
        <v>165</v>
      </c>
      <c r="D1577" s="10" t="s">
        <v>237</v>
      </c>
      <c r="E1577" s="10" t="str">
        <f aca="false">INDEX(Canale!$C$2:$C$30,MATCH(C1577,Canale!$A$2:$A$30,0))</f>
        <v>crunchbase</v>
      </c>
      <c r="F1577" s="10" t="str">
        <f aca="false">INDEX(Canale!$D$2:$D$30,MATCH(C1577,Canale!$A$2:$A$30,0))</f>
        <v>referral</v>
      </c>
      <c r="G1577" s="10" t="str">
        <f aca="false">INDEX('Site-uri'!$C$2:$C$20,MATCH(A1577,'Site-uri'!$A$2:$A$20,0))</f>
        <v>/</v>
      </c>
      <c r="H1577" s="10" t="str">
        <f aca="false">Config!$B$3</f>
        <v>2610_ff_lansare</v>
      </c>
      <c r="I1577" s="10" t="str">
        <f aca="false">D1577&amp;"_"&amp;Config!$B$4</f>
        <v>client_general</v>
      </c>
      <c r="J1577" s="10" t="str">
        <f aca="false">"https://"&amp;B1577&amp;G1577&amp;"?utm_source="&amp;E1577&amp;"&amp;utm_medium="&amp;F1577&amp;"&amp;utm_campaign="&amp;H1577&amp;"&amp;utm_content="&amp;I1577</f>
        <v>https://1clic-ia.fr/?utm_source=crunchbase&amp;utm_medium=referral&amp;utm_campaign=2610_ff_lansare&amp;utm_content=client_general</v>
      </c>
    </row>
    <row r="1578" customFormat="false" ht="15" hidden="false" customHeight="false" outlineLevel="0" collapsed="false">
      <c r="A1578" s="10" t="s">
        <v>85</v>
      </c>
      <c r="B1578" s="10" t="str">
        <f aca="false">INDEX('Site-uri'!$B$2:$B$20,MATCH(A1578,'Site-uri'!$A$2:$A$20,0))</f>
        <v>1clic-ia.fr</v>
      </c>
      <c r="C1578" s="10" t="s">
        <v>170</v>
      </c>
      <c r="D1578" s="10" t="s">
        <v>219</v>
      </c>
      <c r="E1578" s="10" t="str">
        <f aca="false">INDEX(Canale!$C$2:$C$30,MATCH(C1578,Canale!$A$2:$A$30,0))</f>
        <v>zenodo</v>
      </c>
      <c r="F1578" s="10" t="str">
        <f aca="false">INDEX(Canale!$D$2:$D$30,MATCH(C1578,Canale!$A$2:$A$30,0))</f>
        <v>referral</v>
      </c>
      <c r="G1578" s="10" t="str">
        <f aca="false">INDEX('Site-uri'!$C$2:$C$20,MATCH(A1578,'Site-uri'!$A$2:$A$20,0))</f>
        <v>/</v>
      </c>
      <c r="H1578" s="10" t="str">
        <f aca="false">Config!$B$3</f>
        <v>2610_ff_lansare</v>
      </c>
      <c r="I1578" s="10" t="str">
        <f aca="false">D1578&amp;"_"&amp;Config!$B$4</f>
        <v>rece_general</v>
      </c>
      <c r="J1578" s="10" t="str">
        <f aca="false">"https://"&amp;B1578&amp;G1578&amp;"?utm_source="&amp;E1578&amp;"&amp;utm_medium="&amp;F1578&amp;"&amp;utm_campaign="&amp;H1578&amp;"&amp;utm_content="&amp;I1578</f>
        <v>https://1clic-ia.fr/?utm_source=zenodo&amp;utm_medium=referral&amp;utm_campaign=2610_ff_lansare&amp;utm_content=rece_general</v>
      </c>
    </row>
    <row r="1579" customFormat="false" ht="15" hidden="false" customHeight="false" outlineLevel="0" collapsed="false">
      <c r="A1579" s="10" t="s">
        <v>85</v>
      </c>
      <c r="B1579" s="10" t="str">
        <f aca="false">INDEX('Site-uri'!$B$2:$B$20,MATCH(A1579,'Site-uri'!$A$2:$A$20,0))</f>
        <v>1clic-ia.fr</v>
      </c>
      <c r="C1579" s="10" t="s">
        <v>170</v>
      </c>
      <c r="D1579" s="10" t="s">
        <v>225</v>
      </c>
      <c r="E1579" s="10" t="str">
        <f aca="false">INDEX(Canale!$C$2:$C$30,MATCH(C1579,Canale!$A$2:$A$30,0))</f>
        <v>zenodo</v>
      </c>
      <c r="F1579" s="10" t="str">
        <f aca="false">INDEX(Canale!$D$2:$D$30,MATCH(C1579,Canale!$A$2:$A$30,0))</f>
        <v>referral</v>
      </c>
      <c r="G1579" s="10" t="str">
        <f aca="false">INDEX('Site-uri'!$C$2:$C$20,MATCH(A1579,'Site-uri'!$A$2:$A$20,0))</f>
        <v>/</v>
      </c>
      <c r="H1579" s="10" t="str">
        <f aca="false">Config!$B$3</f>
        <v>2610_ff_lansare</v>
      </c>
      <c r="I1579" s="10" t="str">
        <f aca="false">D1579&amp;"_"&amp;Config!$B$4</f>
        <v>cald_general</v>
      </c>
      <c r="J1579" s="10" t="str">
        <f aca="false">"https://"&amp;B1579&amp;G1579&amp;"?utm_source="&amp;E1579&amp;"&amp;utm_medium="&amp;F1579&amp;"&amp;utm_campaign="&amp;H1579&amp;"&amp;utm_content="&amp;I1579</f>
        <v>https://1clic-ia.fr/?utm_source=zenodo&amp;utm_medium=referral&amp;utm_campaign=2610_ff_lansare&amp;utm_content=cald_general</v>
      </c>
    </row>
    <row r="1580" customFormat="false" ht="15" hidden="false" customHeight="false" outlineLevel="0" collapsed="false">
      <c r="A1580" s="10" t="s">
        <v>85</v>
      </c>
      <c r="B1580" s="10" t="str">
        <f aca="false">INDEX('Site-uri'!$B$2:$B$20,MATCH(A1580,'Site-uri'!$A$2:$A$20,0))</f>
        <v>1clic-ia.fr</v>
      </c>
      <c r="C1580" s="10" t="s">
        <v>170</v>
      </c>
      <c r="D1580" s="10" t="s">
        <v>231</v>
      </c>
      <c r="E1580" s="10" t="str">
        <f aca="false">INDEX(Canale!$C$2:$C$30,MATCH(C1580,Canale!$A$2:$A$30,0))</f>
        <v>zenodo</v>
      </c>
      <c r="F1580" s="10" t="str">
        <f aca="false">INDEX(Canale!$D$2:$D$30,MATCH(C1580,Canale!$A$2:$A$30,0))</f>
        <v>referral</v>
      </c>
      <c r="G1580" s="10" t="str">
        <f aca="false">INDEX('Site-uri'!$C$2:$C$20,MATCH(A1580,'Site-uri'!$A$2:$A$20,0))</f>
        <v>/</v>
      </c>
      <c r="H1580" s="10" t="str">
        <f aca="false">Config!$B$3</f>
        <v>2610_ff_lansare</v>
      </c>
      <c r="I1580" s="10" t="str">
        <f aca="false">D1580&amp;"_"&amp;Config!$B$4</f>
        <v>fierbinte_general</v>
      </c>
      <c r="J1580" s="10" t="str">
        <f aca="false">"https://"&amp;B1580&amp;G1580&amp;"?utm_source="&amp;E1580&amp;"&amp;utm_medium="&amp;F1580&amp;"&amp;utm_campaign="&amp;H1580&amp;"&amp;utm_content="&amp;I1580</f>
        <v>https://1clic-ia.fr/?utm_source=zenodo&amp;utm_medium=referral&amp;utm_campaign=2610_ff_lansare&amp;utm_content=fierbinte_general</v>
      </c>
    </row>
    <row r="1581" customFormat="false" ht="15" hidden="false" customHeight="false" outlineLevel="0" collapsed="false">
      <c r="A1581" s="10" t="s">
        <v>85</v>
      </c>
      <c r="B1581" s="10" t="str">
        <f aca="false">INDEX('Site-uri'!$B$2:$B$20,MATCH(A1581,'Site-uri'!$A$2:$A$20,0))</f>
        <v>1clic-ia.fr</v>
      </c>
      <c r="C1581" s="10" t="s">
        <v>170</v>
      </c>
      <c r="D1581" s="10" t="s">
        <v>237</v>
      </c>
      <c r="E1581" s="10" t="str">
        <f aca="false">INDEX(Canale!$C$2:$C$30,MATCH(C1581,Canale!$A$2:$A$30,0))</f>
        <v>zenodo</v>
      </c>
      <c r="F1581" s="10" t="str">
        <f aca="false">INDEX(Canale!$D$2:$D$30,MATCH(C1581,Canale!$A$2:$A$30,0))</f>
        <v>referral</v>
      </c>
      <c r="G1581" s="10" t="str">
        <f aca="false">INDEX('Site-uri'!$C$2:$C$20,MATCH(A1581,'Site-uri'!$A$2:$A$20,0))</f>
        <v>/</v>
      </c>
      <c r="H1581" s="10" t="str">
        <f aca="false">Config!$B$3</f>
        <v>2610_ff_lansare</v>
      </c>
      <c r="I1581" s="10" t="str">
        <f aca="false">D1581&amp;"_"&amp;Config!$B$4</f>
        <v>client_general</v>
      </c>
      <c r="J1581" s="10" t="str">
        <f aca="false">"https://"&amp;B1581&amp;G1581&amp;"?utm_source="&amp;E1581&amp;"&amp;utm_medium="&amp;F1581&amp;"&amp;utm_campaign="&amp;H1581&amp;"&amp;utm_content="&amp;I1581</f>
        <v>https://1clic-ia.fr/?utm_source=zenodo&amp;utm_medium=referral&amp;utm_campaign=2610_ff_lansare&amp;utm_content=client_general</v>
      </c>
    </row>
    <row r="1582" customFormat="false" ht="15" hidden="false" customHeight="false" outlineLevel="0" collapsed="false">
      <c r="A1582" s="10" t="s">
        <v>85</v>
      </c>
      <c r="B1582" s="10" t="str">
        <f aca="false">INDEX('Site-uri'!$B$2:$B$20,MATCH(A1582,'Site-uri'!$A$2:$A$20,0))</f>
        <v>1clic-ia.fr</v>
      </c>
      <c r="C1582" s="10" t="s">
        <v>173</v>
      </c>
      <c r="D1582" s="10" t="s">
        <v>219</v>
      </c>
      <c r="E1582" s="10" t="str">
        <f aca="false">INDEX(Canale!$C$2:$C$30,MATCH(C1582,Canale!$A$2:$A$30,0))</f>
        <v>orcid</v>
      </c>
      <c r="F1582" s="10" t="str">
        <f aca="false">INDEX(Canale!$D$2:$D$30,MATCH(C1582,Canale!$A$2:$A$30,0))</f>
        <v>referral</v>
      </c>
      <c r="G1582" s="10" t="str">
        <f aca="false">INDEX('Site-uri'!$C$2:$C$20,MATCH(A1582,'Site-uri'!$A$2:$A$20,0))</f>
        <v>/</v>
      </c>
      <c r="H1582" s="10" t="str">
        <f aca="false">Config!$B$3</f>
        <v>2610_ff_lansare</v>
      </c>
      <c r="I1582" s="10" t="str">
        <f aca="false">D1582&amp;"_"&amp;Config!$B$4</f>
        <v>rece_general</v>
      </c>
      <c r="J1582" s="10" t="str">
        <f aca="false">"https://"&amp;B1582&amp;G1582&amp;"?utm_source="&amp;E1582&amp;"&amp;utm_medium="&amp;F1582&amp;"&amp;utm_campaign="&amp;H1582&amp;"&amp;utm_content="&amp;I1582</f>
        <v>https://1clic-ia.fr/?utm_source=orcid&amp;utm_medium=referral&amp;utm_campaign=2610_ff_lansare&amp;utm_content=rece_general</v>
      </c>
    </row>
    <row r="1583" customFormat="false" ht="15" hidden="false" customHeight="false" outlineLevel="0" collapsed="false">
      <c r="A1583" s="10" t="s">
        <v>85</v>
      </c>
      <c r="B1583" s="10" t="str">
        <f aca="false">INDEX('Site-uri'!$B$2:$B$20,MATCH(A1583,'Site-uri'!$A$2:$A$20,0))</f>
        <v>1clic-ia.fr</v>
      </c>
      <c r="C1583" s="10" t="s">
        <v>173</v>
      </c>
      <c r="D1583" s="10" t="s">
        <v>225</v>
      </c>
      <c r="E1583" s="10" t="str">
        <f aca="false">INDEX(Canale!$C$2:$C$30,MATCH(C1583,Canale!$A$2:$A$30,0))</f>
        <v>orcid</v>
      </c>
      <c r="F1583" s="10" t="str">
        <f aca="false">INDEX(Canale!$D$2:$D$30,MATCH(C1583,Canale!$A$2:$A$30,0))</f>
        <v>referral</v>
      </c>
      <c r="G1583" s="10" t="str">
        <f aca="false">INDEX('Site-uri'!$C$2:$C$20,MATCH(A1583,'Site-uri'!$A$2:$A$20,0))</f>
        <v>/</v>
      </c>
      <c r="H1583" s="10" t="str">
        <f aca="false">Config!$B$3</f>
        <v>2610_ff_lansare</v>
      </c>
      <c r="I1583" s="10" t="str">
        <f aca="false">D1583&amp;"_"&amp;Config!$B$4</f>
        <v>cald_general</v>
      </c>
      <c r="J1583" s="10" t="str">
        <f aca="false">"https://"&amp;B1583&amp;G1583&amp;"?utm_source="&amp;E1583&amp;"&amp;utm_medium="&amp;F1583&amp;"&amp;utm_campaign="&amp;H1583&amp;"&amp;utm_content="&amp;I1583</f>
        <v>https://1clic-ia.fr/?utm_source=orcid&amp;utm_medium=referral&amp;utm_campaign=2610_ff_lansare&amp;utm_content=cald_general</v>
      </c>
    </row>
    <row r="1584" customFormat="false" ht="15" hidden="false" customHeight="false" outlineLevel="0" collapsed="false">
      <c r="A1584" s="10" t="s">
        <v>85</v>
      </c>
      <c r="B1584" s="10" t="str">
        <f aca="false">INDEX('Site-uri'!$B$2:$B$20,MATCH(A1584,'Site-uri'!$A$2:$A$20,0))</f>
        <v>1clic-ia.fr</v>
      </c>
      <c r="C1584" s="10" t="s">
        <v>173</v>
      </c>
      <c r="D1584" s="10" t="s">
        <v>231</v>
      </c>
      <c r="E1584" s="10" t="str">
        <f aca="false">INDEX(Canale!$C$2:$C$30,MATCH(C1584,Canale!$A$2:$A$30,0))</f>
        <v>orcid</v>
      </c>
      <c r="F1584" s="10" t="str">
        <f aca="false">INDEX(Canale!$D$2:$D$30,MATCH(C1584,Canale!$A$2:$A$30,0))</f>
        <v>referral</v>
      </c>
      <c r="G1584" s="10" t="str">
        <f aca="false">INDEX('Site-uri'!$C$2:$C$20,MATCH(A1584,'Site-uri'!$A$2:$A$20,0))</f>
        <v>/</v>
      </c>
      <c r="H1584" s="10" t="str">
        <f aca="false">Config!$B$3</f>
        <v>2610_ff_lansare</v>
      </c>
      <c r="I1584" s="10" t="str">
        <f aca="false">D1584&amp;"_"&amp;Config!$B$4</f>
        <v>fierbinte_general</v>
      </c>
      <c r="J1584" s="10" t="str">
        <f aca="false">"https://"&amp;B1584&amp;G1584&amp;"?utm_source="&amp;E1584&amp;"&amp;utm_medium="&amp;F1584&amp;"&amp;utm_campaign="&amp;H1584&amp;"&amp;utm_content="&amp;I1584</f>
        <v>https://1clic-ia.fr/?utm_source=orcid&amp;utm_medium=referral&amp;utm_campaign=2610_ff_lansare&amp;utm_content=fierbinte_general</v>
      </c>
    </row>
    <row r="1585" customFormat="false" ht="15" hidden="false" customHeight="false" outlineLevel="0" collapsed="false">
      <c r="A1585" s="10" t="s">
        <v>85</v>
      </c>
      <c r="B1585" s="10" t="str">
        <f aca="false">INDEX('Site-uri'!$B$2:$B$20,MATCH(A1585,'Site-uri'!$A$2:$A$20,0))</f>
        <v>1clic-ia.fr</v>
      </c>
      <c r="C1585" s="10" t="s">
        <v>173</v>
      </c>
      <c r="D1585" s="10" t="s">
        <v>237</v>
      </c>
      <c r="E1585" s="10" t="str">
        <f aca="false">INDEX(Canale!$C$2:$C$30,MATCH(C1585,Canale!$A$2:$A$30,0))</f>
        <v>orcid</v>
      </c>
      <c r="F1585" s="10" t="str">
        <f aca="false">INDEX(Canale!$D$2:$D$30,MATCH(C1585,Canale!$A$2:$A$30,0))</f>
        <v>referral</v>
      </c>
      <c r="G1585" s="10" t="str">
        <f aca="false">INDEX('Site-uri'!$C$2:$C$20,MATCH(A1585,'Site-uri'!$A$2:$A$20,0))</f>
        <v>/</v>
      </c>
      <c r="H1585" s="10" t="str">
        <f aca="false">Config!$B$3</f>
        <v>2610_ff_lansare</v>
      </c>
      <c r="I1585" s="10" t="str">
        <f aca="false">D1585&amp;"_"&amp;Config!$B$4</f>
        <v>client_general</v>
      </c>
      <c r="J1585" s="10" t="str">
        <f aca="false">"https://"&amp;B1585&amp;G1585&amp;"?utm_source="&amp;E1585&amp;"&amp;utm_medium="&amp;F1585&amp;"&amp;utm_campaign="&amp;H1585&amp;"&amp;utm_content="&amp;I1585</f>
        <v>https://1clic-ia.fr/?utm_source=orcid&amp;utm_medium=referral&amp;utm_campaign=2610_ff_lansare&amp;utm_content=client_general</v>
      </c>
    </row>
    <row r="1586" customFormat="false" ht="15" hidden="false" customHeight="false" outlineLevel="0" collapsed="false">
      <c r="A1586" s="10" t="s">
        <v>85</v>
      </c>
      <c r="B1586" s="10" t="str">
        <f aca="false">INDEX('Site-uri'!$B$2:$B$20,MATCH(A1586,'Site-uri'!$A$2:$A$20,0))</f>
        <v>1clic-ia.fr</v>
      </c>
      <c r="C1586" s="10" t="s">
        <v>176</v>
      </c>
      <c r="D1586" s="10" t="s">
        <v>219</v>
      </c>
      <c r="E1586" s="10" t="str">
        <f aca="false">INDEX(Canale!$C$2:$C$30,MATCH(C1586,Canale!$A$2:$A$30,0))</f>
        <v>github</v>
      </c>
      <c r="F1586" s="10" t="str">
        <f aca="false">INDEX(Canale!$D$2:$D$30,MATCH(C1586,Canale!$A$2:$A$30,0))</f>
        <v>referral</v>
      </c>
      <c r="G1586" s="10" t="str">
        <f aca="false">INDEX('Site-uri'!$C$2:$C$20,MATCH(A1586,'Site-uri'!$A$2:$A$20,0))</f>
        <v>/</v>
      </c>
      <c r="H1586" s="10" t="str">
        <f aca="false">Config!$B$3</f>
        <v>2610_ff_lansare</v>
      </c>
      <c r="I1586" s="10" t="str">
        <f aca="false">D1586&amp;"_"&amp;Config!$B$4</f>
        <v>rece_general</v>
      </c>
      <c r="J1586" s="10" t="str">
        <f aca="false">"https://"&amp;B1586&amp;G1586&amp;"?utm_source="&amp;E1586&amp;"&amp;utm_medium="&amp;F1586&amp;"&amp;utm_campaign="&amp;H1586&amp;"&amp;utm_content="&amp;I1586</f>
        <v>https://1clic-ia.fr/?utm_source=github&amp;utm_medium=referral&amp;utm_campaign=2610_ff_lansare&amp;utm_content=rece_general</v>
      </c>
    </row>
    <row r="1587" customFormat="false" ht="15" hidden="false" customHeight="false" outlineLevel="0" collapsed="false">
      <c r="A1587" s="10" t="s">
        <v>85</v>
      </c>
      <c r="B1587" s="10" t="str">
        <f aca="false">INDEX('Site-uri'!$B$2:$B$20,MATCH(A1587,'Site-uri'!$A$2:$A$20,0))</f>
        <v>1clic-ia.fr</v>
      </c>
      <c r="C1587" s="10" t="s">
        <v>176</v>
      </c>
      <c r="D1587" s="10" t="s">
        <v>225</v>
      </c>
      <c r="E1587" s="10" t="str">
        <f aca="false">INDEX(Canale!$C$2:$C$30,MATCH(C1587,Canale!$A$2:$A$30,0))</f>
        <v>github</v>
      </c>
      <c r="F1587" s="10" t="str">
        <f aca="false">INDEX(Canale!$D$2:$D$30,MATCH(C1587,Canale!$A$2:$A$30,0))</f>
        <v>referral</v>
      </c>
      <c r="G1587" s="10" t="str">
        <f aca="false">INDEX('Site-uri'!$C$2:$C$20,MATCH(A1587,'Site-uri'!$A$2:$A$20,0))</f>
        <v>/</v>
      </c>
      <c r="H1587" s="10" t="str">
        <f aca="false">Config!$B$3</f>
        <v>2610_ff_lansare</v>
      </c>
      <c r="I1587" s="10" t="str">
        <f aca="false">D1587&amp;"_"&amp;Config!$B$4</f>
        <v>cald_general</v>
      </c>
      <c r="J1587" s="10" t="str">
        <f aca="false">"https://"&amp;B1587&amp;G1587&amp;"?utm_source="&amp;E1587&amp;"&amp;utm_medium="&amp;F1587&amp;"&amp;utm_campaign="&amp;H1587&amp;"&amp;utm_content="&amp;I1587</f>
        <v>https://1clic-ia.fr/?utm_source=github&amp;utm_medium=referral&amp;utm_campaign=2610_ff_lansare&amp;utm_content=cald_general</v>
      </c>
    </row>
    <row r="1588" customFormat="false" ht="15" hidden="false" customHeight="false" outlineLevel="0" collapsed="false">
      <c r="A1588" s="10" t="s">
        <v>85</v>
      </c>
      <c r="B1588" s="10" t="str">
        <f aca="false">INDEX('Site-uri'!$B$2:$B$20,MATCH(A1588,'Site-uri'!$A$2:$A$20,0))</f>
        <v>1clic-ia.fr</v>
      </c>
      <c r="C1588" s="10" t="s">
        <v>176</v>
      </c>
      <c r="D1588" s="10" t="s">
        <v>231</v>
      </c>
      <c r="E1588" s="10" t="str">
        <f aca="false">INDEX(Canale!$C$2:$C$30,MATCH(C1588,Canale!$A$2:$A$30,0))</f>
        <v>github</v>
      </c>
      <c r="F1588" s="10" t="str">
        <f aca="false">INDEX(Canale!$D$2:$D$30,MATCH(C1588,Canale!$A$2:$A$30,0))</f>
        <v>referral</v>
      </c>
      <c r="G1588" s="10" t="str">
        <f aca="false">INDEX('Site-uri'!$C$2:$C$20,MATCH(A1588,'Site-uri'!$A$2:$A$20,0))</f>
        <v>/</v>
      </c>
      <c r="H1588" s="10" t="str">
        <f aca="false">Config!$B$3</f>
        <v>2610_ff_lansare</v>
      </c>
      <c r="I1588" s="10" t="str">
        <f aca="false">D1588&amp;"_"&amp;Config!$B$4</f>
        <v>fierbinte_general</v>
      </c>
      <c r="J1588" s="10" t="str">
        <f aca="false">"https://"&amp;B1588&amp;G1588&amp;"?utm_source="&amp;E1588&amp;"&amp;utm_medium="&amp;F1588&amp;"&amp;utm_campaign="&amp;H1588&amp;"&amp;utm_content="&amp;I1588</f>
        <v>https://1clic-ia.fr/?utm_source=github&amp;utm_medium=referral&amp;utm_campaign=2610_ff_lansare&amp;utm_content=fierbinte_general</v>
      </c>
    </row>
    <row r="1589" customFormat="false" ht="15" hidden="false" customHeight="false" outlineLevel="0" collapsed="false">
      <c r="A1589" s="10" t="s">
        <v>85</v>
      </c>
      <c r="B1589" s="10" t="str">
        <f aca="false">INDEX('Site-uri'!$B$2:$B$20,MATCH(A1589,'Site-uri'!$A$2:$A$20,0))</f>
        <v>1clic-ia.fr</v>
      </c>
      <c r="C1589" s="10" t="s">
        <v>176</v>
      </c>
      <c r="D1589" s="10" t="s">
        <v>237</v>
      </c>
      <c r="E1589" s="10" t="str">
        <f aca="false">INDEX(Canale!$C$2:$C$30,MATCH(C1589,Canale!$A$2:$A$30,0))</f>
        <v>github</v>
      </c>
      <c r="F1589" s="10" t="str">
        <f aca="false">INDEX(Canale!$D$2:$D$30,MATCH(C1589,Canale!$A$2:$A$30,0))</f>
        <v>referral</v>
      </c>
      <c r="G1589" s="10" t="str">
        <f aca="false">INDEX('Site-uri'!$C$2:$C$20,MATCH(A1589,'Site-uri'!$A$2:$A$20,0))</f>
        <v>/</v>
      </c>
      <c r="H1589" s="10" t="str">
        <f aca="false">Config!$B$3</f>
        <v>2610_ff_lansare</v>
      </c>
      <c r="I1589" s="10" t="str">
        <f aca="false">D1589&amp;"_"&amp;Config!$B$4</f>
        <v>client_general</v>
      </c>
      <c r="J1589" s="10" t="str">
        <f aca="false">"https://"&amp;B1589&amp;G1589&amp;"?utm_source="&amp;E1589&amp;"&amp;utm_medium="&amp;F1589&amp;"&amp;utm_campaign="&amp;H1589&amp;"&amp;utm_content="&amp;I1589</f>
        <v>https://1clic-ia.fr/?utm_source=github&amp;utm_medium=referral&amp;utm_campaign=2610_ff_lansare&amp;utm_content=client_general</v>
      </c>
    </row>
    <row r="1590" customFormat="false" ht="15" hidden="false" customHeight="false" outlineLevel="0" collapsed="false">
      <c r="A1590" s="10" t="s">
        <v>85</v>
      </c>
      <c r="B1590" s="10" t="str">
        <f aca="false">INDEX('Site-uri'!$B$2:$B$20,MATCH(A1590,'Site-uri'!$A$2:$A$20,0))</f>
        <v>1clic-ia.fr</v>
      </c>
      <c r="C1590" s="10" t="s">
        <v>179</v>
      </c>
      <c r="D1590" s="10" t="s">
        <v>219</v>
      </c>
      <c r="E1590" s="10" t="str">
        <f aca="false">INDEX(Canale!$C$2:$C$30,MATCH(C1590,Canale!$A$2:$A$30,0))</f>
        <v>kdp_book</v>
      </c>
      <c r="F1590" s="10" t="str">
        <f aca="false">INDEX(Canale!$D$2:$D$30,MATCH(C1590,Canale!$A$2:$A$30,0))</f>
        <v>book</v>
      </c>
      <c r="G1590" s="10" t="str">
        <f aca="false">INDEX('Site-uri'!$C$2:$C$20,MATCH(A1590,'Site-uri'!$A$2:$A$20,0))</f>
        <v>/</v>
      </c>
      <c r="H1590" s="10" t="str">
        <f aca="false">Config!$B$3</f>
        <v>2610_ff_lansare</v>
      </c>
      <c r="I1590" s="10" t="str">
        <f aca="false">D1590&amp;"_"&amp;Config!$B$4</f>
        <v>rece_general</v>
      </c>
      <c r="J1590" s="10" t="str">
        <f aca="false">"https://"&amp;B1590&amp;G1590&amp;"?utm_source="&amp;E1590&amp;"&amp;utm_medium="&amp;F1590&amp;"&amp;utm_campaign="&amp;H1590&amp;"&amp;utm_content="&amp;I1590</f>
        <v>https://1clic-ia.fr/?utm_source=kdp_book&amp;utm_medium=book&amp;utm_campaign=2610_ff_lansare&amp;utm_content=rece_general</v>
      </c>
    </row>
    <row r="1591" customFormat="false" ht="15" hidden="false" customHeight="false" outlineLevel="0" collapsed="false">
      <c r="A1591" s="10" t="s">
        <v>85</v>
      </c>
      <c r="B1591" s="10" t="str">
        <f aca="false">INDEX('Site-uri'!$B$2:$B$20,MATCH(A1591,'Site-uri'!$A$2:$A$20,0))</f>
        <v>1clic-ia.fr</v>
      </c>
      <c r="C1591" s="10" t="s">
        <v>179</v>
      </c>
      <c r="D1591" s="10" t="s">
        <v>225</v>
      </c>
      <c r="E1591" s="10" t="str">
        <f aca="false">INDEX(Canale!$C$2:$C$30,MATCH(C1591,Canale!$A$2:$A$30,0))</f>
        <v>kdp_book</v>
      </c>
      <c r="F1591" s="10" t="str">
        <f aca="false">INDEX(Canale!$D$2:$D$30,MATCH(C1591,Canale!$A$2:$A$30,0))</f>
        <v>book</v>
      </c>
      <c r="G1591" s="10" t="str">
        <f aca="false">INDEX('Site-uri'!$C$2:$C$20,MATCH(A1591,'Site-uri'!$A$2:$A$20,0))</f>
        <v>/</v>
      </c>
      <c r="H1591" s="10" t="str">
        <f aca="false">Config!$B$3</f>
        <v>2610_ff_lansare</v>
      </c>
      <c r="I1591" s="10" t="str">
        <f aca="false">D1591&amp;"_"&amp;Config!$B$4</f>
        <v>cald_general</v>
      </c>
      <c r="J1591" s="10" t="str">
        <f aca="false">"https://"&amp;B1591&amp;G1591&amp;"?utm_source="&amp;E1591&amp;"&amp;utm_medium="&amp;F1591&amp;"&amp;utm_campaign="&amp;H1591&amp;"&amp;utm_content="&amp;I1591</f>
        <v>https://1clic-ia.fr/?utm_source=kdp_book&amp;utm_medium=book&amp;utm_campaign=2610_ff_lansare&amp;utm_content=cald_general</v>
      </c>
    </row>
    <row r="1592" customFormat="false" ht="15" hidden="false" customHeight="false" outlineLevel="0" collapsed="false">
      <c r="A1592" s="10" t="s">
        <v>85</v>
      </c>
      <c r="B1592" s="10" t="str">
        <f aca="false">INDEX('Site-uri'!$B$2:$B$20,MATCH(A1592,'Site-uri'!$A$2:$A$20,0))</f>
        <v>1clic-ia.fr</v>
      </c>
      <c r="C1592" s="10" t="s">
        <v>179</v>
      </c>
      <c r="D1592" s="10" t="s">
        <v>231</v>
      </c>
      <c r="E1592" s="10" t="str">
        <f aca="false">INDEX(Canale!$C$2:$C$30,MATCH(C1592,Canale!$A$2:$A$30,0))</f>
        <v>kdp_book</v>
      </c>
      <c r="F1592" s="10" t="str">
        <f aca="false">INDEX(Canale!$D$2:$D$30,MATCH(C1592,Canale!$A$2:$A$30,0))</f>
        <v>book</v>
      </c>
      <c r="G1592" s="10" t="str">
        <f aca="false">INDEX('Site-uri'!$C$2:$C$20,MATCH(A1592,'Site-uri'!$A$2:$A$20,0))</f>
        <v>/</v>
      </c>
      <c r="H1592" s="10" t="str">
        <f aca="false">Config!$B$3</f>
        <v>2610_ff_lansare</v>
      </c>
      <c r="I1592" s="10" t="str">
        <f aca="false">D1592&amp;"_"&amp;Config!$B$4</f>
        <v>fierbinte_general</v>
      </c>
      <c r="J1592" s="10" t="str">
        <f aca="false">"https://"&amp;B1592&amp;G1592&amp;"?utm_source="&amp;E1592&amp;"&amp;utm_medium="&amp;F1592&amp;"&amp;utm_campaign="&amp;H1592&amp;"&amp;utm_content="&amp;I1592</f>
        <v>https://1clic-ia.fr/?utm_source=kdp_book&amp;utm_medium=book&amp;utm_campaign=2610_ff_lansare&amp;utm_content=fierbinte_general</v>
      </c>
    </row>
    <row r="1593" customFormat="false" ht="15" hidden="false" customHeight="false" outlineLevel="0" collapsed="false">
      <c r="A1593" s="10" t="s">
        <v>85</v>
      </c>
      <c r="B1593" s="10" t="str">
        <f aca="false">INDEX('Site-uri'!$B$2:$B$20,MATCH(A1593,'Site-uri'!$A$2:$A$20,0))</f>
        <v>1clic-ia.fr</v>
      </c>
      <c r="C1593" s="10" t="s">
        <v>179</v>
      </c>
      <c r="D1593" s="10" t="s">
        <v>237</v>
      </c>
      <c r="E1593" s="10" t="str">
        <f aca="false">INDEX(Canale!$C$2:$C$30,MATCH(C1593,Canale!$A$2:$A$30,0))</f>
        <v>kdp_book</v>
      </c>
      <c r="F1593" s="10" t="str">
        <f aca="false">INDEX(Canale!$D$2:$D$30,MATCH(C1593,Canale!$A$2:$A$30,0))</f>
        <v>book</v>
      </c>
      <c r="G1593" s="10" t="str">
        <f aca="false">INDEX('Site-uri'!$C$2:$C$20,MATCH(A1593,'Site-uri'!$A$2:$A$20,0))</f>
        <v>/</v>
      </c>
      <c r="H1593" s="10" t="str">
        <f aca="false">Config!$B$3</f>
        <v>2610_ff_lansare</v>
      </c>
      <c r="I1593" s="10" t="str">
        <f aca="false">D1593&amp;"_"&amp;Config!$B$4</f>
        <v>client_general</v>
      </c>
      <c r="J1593" s="10" t="str">
        <f aca="false">"https://"&amp;B1593&amp;G1593&amp;"?utm_source="&amp;E1593&amp;"&amp;utm_medium="&amp;F1593&amp;"&amp;utm_campaign="&amp;H1593&amp;"&amp;utm_content="&amp;I1593</f>
        <v>https://1clic-ia.fr/?utm_source=kdp_book&amp;utm_medium=book&amp;utm_campaign=2610_ff_lansare&amp;utm_content=client_general</v>
      </c>
    </row>
    <row r="1594" customFormat="false" ht="15" hidden="false" customHeight="false" outlineLevel="0" collapsed="false">
      <c r="A1594" s="10" t="s">
        <v>85</v>
      </c>
      <c r="B1594" s="10" t="str">
        <f aca="false">INDEX('Site-uri'!$B$2:$B$20,MATCH(A1594,'Site-uri'!$A$2:$A$20,0))</f>
        <v>1clic-ia.fr</v>
      </c>
      <c r="C1594" s="10" t="s">
        <v>184</v>
      </c>
      <c r="D1594" s="10" t="s">
        <v>219</v>
      </c>
      <c r="E1594" s="10" t="str">
        <f aca="false">INDEX(Canale!$C$2:$C$30,MATCH(C1594,Canale!$A$2:$A$30,0))</f>
        <v>udemy</v>
      </c>
      <c r="F1594" s="10" t="str">
        <f aca="false">INDEX(Canale!$D$2:$D$30,MATCH(C1594,Canale!$A$2:$A$30,0))</f>
        <v>course</v>
      </c>
      <c r="G1594" s="10" t="str">
        <f aca="false">INDEX('Site-uri'!$C$2:$C$20,MATCH(A1594,'Site-uri'!$A$2:$A$20,0))</f>
        <v>/</v>
      </c>
      <c r="H1594" s="10" t="str">
        <f aca="false">Config!$B$3</f>
        <v>2610_ff_lansare</v>
      </c>
      <c r="I1594" s="10" t="str">
        <f aca="false">D1594&amp;"_"&amp;Config!$B$4</f>
        <v>rece_general</v>
      </c>
      <c r="J1594" s="10" t="str">
        <f aca="false">"https://"&amp;B1594&amp;G1594&amp;"?utm_source="&amp;E1594&amp;"&amp;utm_medium="&amp;F1594&amp;"&amp;utm_campaign="&amp;H1594&amp;"&amp;utm_content="&amp;I1594</f>
        <v>https://1clic-ia.fr/?utm_source=udemy&amp;utm_medium=course&amp;utm_campaign=2610_ff_lansare&amp;utm_content=rece_general</v>
      </c>
    </row>
    <row r="1595" customFormat="false" ht="15" hidden="false" customHeight="false" outlineLevel="0" collapsed="false">
      <c r="A1595" s="10" t="s">
        <v>85</v>
      </c>
      <c r="B1595" s="10" t="str">
        <f aca="false">INDEX('Site-uri'!$B$2:$B$20,MATCH(A1595,'Site-uri'!$A$2:$A$20,0))</f>
        <v>1clic-ia.fr</v>
      </c>
      <c r="C1595" s="10" t="s">
        <v>184</v>
      </c>
      <c r="D1595" s="10" t="s">
        <v>225</v>
      </c>
      <c r="E1595" s="10" t="str">
        <f aca="false">INDEX(Canale!$C$2:$C$30,MATCH(C1595,Canale!$A$2:$A$30,0))</f>
        <v>udemy</v>
      </c>
      <c r="F1595" s="10" t="str">
        <f aca="false">INDEX(Canale!$D$2:$D$30,MATCH(C1595,Canale!$A$2:$A$30,0))</f>
        <v>course</v>
      </c>
      <c r="G1595" s="10" t="str">
        <f aca="false">INDEX('Site-uri'!$C$2:$C$20,MATCH(A1595,'Site-uri'!$A$2:$A$20,0))</f>
        <v>/</v>
      </c>
      <c r="H1595" s="10" t="str">
        <f aca="false">Config!$B$3</f>
        <v>2610_ff_lansare</v>
      </c>
      <c r="I1595" s="10" t="str">
        <f aca="false">D1595&amp;"_"&amp;Config!$B$4</f>
        <v>cald_general</v>
      </c>
      <c r="J1595" s="10" t="str">
        <f aca="false">"https://"&amp;B1595&amp;G1595&amp;"?utm_source="&amp;E1595&amp;"&amp;utm_medium="&amp;F1595&amp;"&amp;utm_campaign="&amp;H1595&amp;"&amp;utm_content="&amp;I1595</f>
        <v>https://1clic-ia.fr/?utm_source=udemy&amp;utm_medium=course&amp;utm_campaign=2610_ff_lansare&amp;utm_content=cald_general</v>
      </c>
    </row>
    <row r="1596" customFormat="false" ht="15" hidden="false" customHeight="false" outlineLevel="0" collapsed="false">
      <c r="A1596" s="10" t="s">
        <v>85</v>
      </c>
      <c r="B1596" s="10" t="str">
        <f aca="false">INDEX('Site-uri'!$B$2:$B$20,MATCH(A1596,'Site-uri'!$A$2:$A$20,0))</f>
        <v>1clic-ia.fr</v>
      </c>
      <c r="C1596" s="10" t="s">
        <v>184</v>
      </c>
      <c r="D1596" s="10" t="s">
        <v>231</v>
      </c>
      <c r="E1596" s="10" t="str">
        <f aca="false">INDEX(Canale!$C$2:$C$30,MATCH(C1596,Canale!$A$2:$A$30,0))</f>
        <v>udemy</v>
      </c>
      <c r="F1596" s="10" t="str">
        <f aca="false">INDEX(Canale!$D$2:$D$30,MATCH(C1596,Canale!$A$2:$A$30,0))</f>
        <v>course</v>
      </c>
      <c r="G1596" s="10" t="str">
        <f aca="false">INDEX('Site-uri'!$C$2:$C$20,MATCH(A1596,'Site-uri'!$A$2:$A$20,0))</f>
        <v>/</v>
      </c>
      <c r="H1596" s="10" t="str">
        <f aca="false">Config!$B$3</f>
        <v>2610_ff_lansare</v>
      </c>
      <c r="I1596" s="10" t="str">
        <f aca="false">D1596&amp;"_"&amp;Config!$B$4</f>
        <v>fierbinte_general</v>
      </c>
      <c r="J1596" s="10" t="str">
        <f aca="false">"https://"&amp;B1596&amp;G1596&amp;"?utm_source="&amp;E1596&amp;"&amp;utm_medium="&amp;F1596&amp;"&amp;utm_campaign="&amp;H1596&amp;"&amp;utm_content="&amp;I1596</f>
        <v>https://1clic-ia.fr/?utm_source=udemy&amp;utm_medium=course&amp;utm_campaign=2610_ff_lansare&amp;utm_content=fierbinte_general</v>
      </c>
    </row>
    <row r="1597" customFormat="false" ht="15" hidden="false" customHeight="false" outlineLevel="0" collapsed="false">
      <c r="A1597" s="10" t="s">
        <v>85</v>
      </c>
      <c r="B1597" s="10" t="str">
        <f aca="false">INDEX('Site-uri'!$B$2:$B$20,MATCH(A1597,'Site-uri'!$A$2:$A$20,0))</f>
        <v>1clic-ia.fr</v>
      </c>
      <c r="C1597" s="10" t="s">
        <v>184</v>
      </c>
      <c r="D1597" s="10" t="s">
        <v>237</v>
      </c>
      <c r="E1597" s="10" t="str">
        <f aca="false">INDEX(Canale!$C$2:$C$30,MATCH(C1597,Canale!$A$2:$A$30,0))</f>
        <v>udemy</v>
      </c>
      <c r="F1597" s="10" t="str">
        <f aca="false">INDEX(Canale!$D$2:$D$30,MATCH(C1597,Canale!$A$2:$A$30,0))</f>
        <v>course</v>
      </c>
      <c r="G1597" s="10" t="str">
        <f aca="false">INDEX('Site-uri'!$C$2:$C$20,MATCH(A1597,'Site-uri'!$A$2:$A$20,0))</f>
        <v>/</v>
      </c>
      <c r="H1597" s="10" t="str">
        <f aca="false">Config!$B$3</f>
        <v>2610_ff_lansare</v>
      </c>
      <c r="I1597" s="10" t="str">
        <f aca="false">D1597&amp;"_"&amp;Config!$B$4</f>
        <v>client_general</v>
      </c>
      <c r="J1597" s="10" t="str">
        <f aca="false">"https://"&amp;B1597&amp;G1597&amp;"?utm_source="&amp;E1597&amp;"&amp;utm_medium="&amp;F1597&amp;"&amp;utm_campaign="&amp;H1597&amp;"&amp;utm_content="&amp;I1597</f>
        <v>https://1clic-ia.fr/?utm_source=udemy&amp;utm_medium=course&amp;utm_campaign=2610_ff_lansare&amp;utm_content=client_general</v>
      </c>
    </row>
    <row r="1598" customFormat="false" ht="15" hidden="false" customHeight="false" outlineLevel="0" collapsed="false">
      <c r="A1598" s="10" t="s">
        <v>85</v>
      </c>
      <c r="B1598" s="10" t="str">
        <f aca="false">INDEX('Site-uri'!$B$2:$B$20,MATCH(A1598,'Site-uri'!$A$2:$A$20,0))</f>
        <v>1clic-ia.fr</v>
      </c>
      <c r="C1598" s="10" t="s">
        <v>187</v>
      </c>
      <c r="D1598" s="10" t="s">
        <v>219</v>
      </c>
      <c r="E1598" s="10" t="str">
        <f aca="false">INDEX(Canale!$C$2:$C$30,MATCH(C1598,Canale!$A$2:$A$30,0))</f>
        <v>directory</v>
      </c>
      <c r="F1598" s="10" t="str">
        <f aca="false">INDEX(Canale!$D$2:$D$30,MATCH(C1598,Canale!$A$2:$A$30,0))</f>
        <v>referral</v>
      </c>
      <c r="G1598" s="10" t="str">
        <f aca="false">INDEX('Site-uri'!$C$2:$C$20,MATCH(A1598,'Site-uri'!$A$2:$A$20,0))</f>
        <v>/</v>
      </c>
      <c r="H1598" s="10" t="str">
        <f aca="false">Config!$B$3</f>
        <v>2610_ff_lansare</v>
      </c>
      <c r="I1598" s="10" t="str">
        <f aca="false">D1598&amp;"_"&amp;Config!$B$4</f>
        <v>rece_general</v>
      </c>
      <c r="J1598" s="10" t="str">
        <f aca="false">"https://"&amp;B1598&amp;G1598&amp;"?utm_source="&amp;E1598&amp;"&amp;utm_medium="&amp;F1598&amp;"&amp;utm_campaign="&amp;H1598&amp;"&amp;utm_content="&amp;I1598</f>
        <v>https://1clic-ia.fr/?utm_source=directory&amp;utm_medium=referral&amp;utm_campaign=2610_ff_lansare&amp;utm_content=rece_general</v>
      </c>
    </row>
    <row r="1599" customFormat="false" ht="15" hidden="false" customHeight="false" outlineLevel="0" collapsed="false">
      <c r="A1599" s="10" t="s">
        <v>85</v>
      </c>
      <c r="B1599" s="10" t="str">
        <f aca="false">INDEX('Site-uri'!$B$2:$B$20,MATCH(A1599,'Site-uri'!$A$2:$A$20,0))</f>
        <v>1clic-ia.fr</v>
      </c>
      <c r="C1599" s="10" t="s">
        <v>187</v>
      </c>
      <c r="D1599" s="10" t="s">
        <v>225</v>
      </c>
      <c r="E1599" s="10" t="str">
        <f aca="false">INDEX(Canale!$C$2:$C$30,MATCH(C1599,Canale!$A$2:$A$30,0))</f>
        <v>directory</v>
      </c>
      <c r="F1599" s="10" t="str">
        <f aca="false">INDEX(Canale!$D$2:$D$30,MATCH(C1599,Canale!$A$2:$A$30,0))</f>
        <v>referral</v>
      </c>
      <c r="G1599" s="10" t="str">
        <f aca="false">INDEX('Site-uri'!$C$2:$C$20,MATCH(A1599,'Site-uri'!$A$2:$A$20,0))</f>
        <v>/</v>
      </c>
      <c r="H1599" s="10" t="str">
        <f aca="false">Config!$B$3</f>
        <v>2610_ff_lansare</v>
      </c>
      <c r="I1599" s="10" t="str">
        <f aca="false">D1599&amp;"_"&amp;Config!$B$4</f>
        <v>cald_general</v>
      </c>
      <c r="J1599" s="10" t="str">
        <f aca="false">"https://"&amp;B1599&amp;G1599&amp;"?utm_source="&amp;E1599&amp;"&amp;utm_medium="&amp;F1599&amp;"&amp;utm_campaign="&amp;H1599&amp;"&amp;utm_content="&amp;I1599</f>
        <v>https://1clic-ia.fr/?utm_source=directory&amp;utm_medium=referral&amp;utm_campaign=2610_ff_lansare&amp;utm_content=cald_general</v>
      </c>
    </row>
    <row r="1600" customFormat="false" ht="15" hidden="false" customHeight="false" outlineLevel="0" collapsed="false">
      <c r="A1600" s="10" t="s">
        <v>85</v>
      </c>
      <c r="B1600" s="10" t="str">
        <f aca="false">INDEX('Site-uri'!$B$2:$B$20,MATCH(A1600,'Site-uri'!$A$2:$A$20,0))</f>
        <v>1clic-ia.fr</v>
      </c>
      <c r="C1600" s="10" t="s">
        <v>187</v>
      </c>
      <c r="D1600" s="10" t="s">
        <v>231</v>
      </c>
      <c r="E1600" s="10" t="str">
        <f aca="false">INDEX(Canale!$C$2:$C$30,MATCH(C1600,Canale!$A$2:$A$30,0))</f>
        <v>directory</v>
      </c>
      <c r="F1600" s="10" t="str">
        <f aca="false">INDEX(Canale!$D$2:$D$30,MATCH(C1600,Canale!$A$2:$A$30,0))</f>
        <v>referral</v>
      </c>
      <c r="G1600" s="10" t="str">
        <f aca="false">INDEX('Site-uri'!$C$2:$C$20,MATCH(A1600,'Site-uri'!$A$2:$A$20,0))</f>
        <v>/</v>
      </c>
      <c r="H1600" s="10" t="str">
        <f aca="false">Config!$B$3</f>
        <v>2610_ff_lansare</v>
      </c>
      <c r="I1600" s="10" t="str">
        <f aca="false">D1600&amp;"_"&amp;Config!$B$4</f>
        <v>fierbinte_general</v>
      </c>
      <c r="J1600" s="10" t="str">
        <f aca="false">"https://"&amp;B1600&amp;G1600&amp;"?utm_source="&amp;E1600&amp;"&amp;utm_medium="&amp;F1600&amp;"&amp;utm_campaign="&amp;H1600&amp;"&amp;utm_content="&amp;I1600</f>
        <v>https://1clic-ia.fr/?utm_source=directory&amp;utm_medium=referral&amp;utm_campaign=2610_ff_lansare&amp;utm_content=fierbinte_general</v>
      </c>
    </row>
    <row r="1601" customFormat="false" ht="15" hidden="false" customHeight="false" outlineLevel="0" collapsed="false">
      <c r="A1601" s="10" t="s">
        <v>85</v>
      </c>
      <c r="B1601" s="10" t="str">
        <f aca="false">INDEX('Site-uri'!$B$2:$B$20,MATCH(A1601,'Site-uri'!$A$2:$A$20,0))</f>
        <v>1clic-ia.fr</v>
      </c>
      <c r="C1601" s="10" t="s">
        <v>187</v>
      </c>
      <c r="D1601" s="10" t="s">
        <v>237</v>
      </c>
      <c r="E1601" s="10" t="str">
        <f aca="false">INDEX(Canale!$C$2:$C$30,MATCH(C1601,Canale!$A$2:$A$30,0))</f>
        <v>directory</v>
      </c>
      <c r="F1601" s="10" t="str">
        <f aca="false">INDEX(Canale!$D$2:$D$30,MATCH(C1601,Canale!$A$2:$A$30,0))</f>
        <v>referral</v>
      </c>
      <c r="G1601" s="10" t="str">
        <f aca="false">INDEX('Site-uri'!$C$2:$C$20,MATCH(A1601,'Site-uri'!$A$2:$A$20,0))</f>
        <v>/</v>
      </c>
      <c r="H1601" s="10" t="str">
        <f aca="false">Config!$B$3</f>
        <v>2610_ff_lansare</v>
      </c>
      <c r="I1601" s="10" t="str">
        <f aca="false">D1601&amp;"_"&amp;Config!$B$4</f>
        <v>client_general</v>
      </c>
      <c r="J1601" s="10" t="str">
        <f aca="false">"https://"&amp;B1601&amp;G1601&amp;"?utm_source="&amp;E1601&amp;"&amp;utm_medium="&amp;F1601&amp;"&amp;utm_campaign="&amp;H1601&amp;"&amp;utm_content="&amp;I1601</f>
        <v>https://1clic-ia.fr/?utm_source=directory&amp;utm_medium=referral&amp;utm_campaign=2610_ff_lansare&amp;utm_content=client_general</v>
      </c>
    </row>
    <row r="1602" customFormat="false" ht="15" hidden="false" customHeight="false" outlineLevel="0" collapsed="false">
      <c r="A1602" s="10" t="s">
        <v>85</v>
      </c>
      <c r="B1602" s="10" t="str">
        <f aca="false">INDEX('Site-uri'!$B$2:$B$20,MATCH(A1602,'Site-uri'!$A$2:$A$20,0))</f>
        <v>1clic-ia.fr</v>
      </c>
      <c r="C1602" s="10" t="s">
        <v>191</v>
      </c>
      <c r="D1602" s="10" t="s">
        <v>219</v>
      </c>
      <c r="E1602" s="10" t="str">
        <f aca="false">INDEX(Canale!$C$2:$C$30,MATCH(C1602,Canale!$A$2:$A$30,0))</f>
        <v>partner</v>
      </c>
      <c r="F1602" s="10" t="str">
        <f aca="false">INDEX(Canale!$D$2:$D$30,MATCH(C1602,Canale!$A$2:$A$30,0))</f>
        <v>partner</v>
      </c>
      <c r="G1602" s="10" t="str">
        <f aca="false">INDEX('Site-uri'!$C$2:$C$20,MATCH(A1602,'Site-uri'!$A$2:$A$20,0))</f>
        <v>/</v>
      </c>
      <c r="H1602" s="10" t="str">
        <f aca="false">Config!$B$3</f>
        <v>2610_ff_lansare</v>
      </c>
      <c r="I1602" s="10" t="str">
        <f aca="false">D1602&amp;"_"&amp;Config!$B$4</f>
        <v>rece_general</v>
      </c>
      <c r="J1602" s="10" t="str">
        <f aca="false">"https://"&amp;B1602&amp;G1602&amp;"?utm_source="&amp;E1602&amp;"&amp;utm_medium="&amp;F1602&amp;"&amp;utm_campaign="&amp;H1602&amp;"&amp;utm_content="&amp;I1602</f>
        <v>https://1clic-ia.fr/?utm_source=partner&amp;utm_medium=partner&amp;utm_campaign=2610_ff_lansare&amp;utm_content=rece_general</v>
      </c>
    </row>
    <row r="1603" customFormat="false" ht="15" hidden="false" customHeight="false" outlineLevel="0" collapsed="false">
      <c r="A1603" s="10" t="s">
        <v>85</v>
      </c>
      <c r="B1603" s="10" t="str">
        <f aca="false">INDEX('Site-uri'!$B$2:$B$20,MATCH(A1603,'Site-uri'!$A$2:$A$20,0))</f>
        <v>1clic-ia.fr</v>
      </c>
      <c r="C1603" s="10" t="s">
        <v>191</v>
      </c>
      <c r="D1603" s="10" t="s">
        <v>225</v>
      </c>
      <c r="E1603" s="10" t="str">
        <f aca="false">INDEX(Canale!$C$2:$C$30,MATCH(C1603,Canale!$A$2:$A$30,0))</f>
        <v>partner</v>
      </c>
      <c r="F1603" s="10" t="str">
        <f aca="false">INDEX(Canale!$D$2:$D$30,MATCH(C1603,Canale!$A$2:$A$30,0))</f>
        <v>partner</v>
      </c>
      <c r="G1603" s="10" t="str">
        <f aca="false">INDEX('Site-uri'!$C$2:$C$20,MATCH(A1603,'Site-uri'!$A$2:$A$20,0))</f>
        <v>/</v>
      </c>
      <c r="H1603" s="10" t="str">
        <f aca="false">Config!$B$3</f>
        <v>2610_ff_lansare</v>
      </c>
      <c r="I1603" s="10" t="str">
        <f aca="false">D1603&amp;"_"&amp;Config!$B$4</f>
        <v>cald_general</v>
      </c>
      <c r="J1603" s="10" t="str">
        <f aca="false">"https://"&amp;B1603&amp;G1603&amp;"?utm_source="&amp;E1603&amp;"&amp;utm_medium="&amp;F1603&amp;"&amp;utm_campaign="&amp;H1603&amp;"&amp;utm_content="&amp;I1603</f>
        <v>https://1clic-ia.fr/?utm_source=partner&amp;utm_medium=partner&amp;utm_campaign=2610_ff_lansare&amp;utm_content=cald_general</v>
      </c>
    </row>
    <row r="1604" customFormat="false" ht="15" hidden="false" customHeight="false" outlineLevel="0" collapsed="false">
      <c r="A1604" s="10" t="s">
        <v>85</v>
      </c>
      <c r="B1604" s="10" t="str">
        <f aca="false">INDEX('Site-uri'!$B$2:$B$20,MATCH(A1604,'Site-uri'!$A$2:$A$20,0))</f>
        <v>1clic-ia.fr</v>
      </c>
      <c r="C1604" s="10" t="s">
        <v>191</v>
      </c>
      <c r="D1604" s="10" t="s">
        <v>231</v>
      </c>
      <c r="E1604" s="10" t="str">
        <f aca="false">INDEX(Canale!$C$2:$C$30,MATCH(C1604,Canale!$A$2:$A$30,0))</f>
        <v>partner</v>
      </c>
      <c r="F1604" s="10" t="str">
        <f aca="false">INDEX(Canale!$D$2:$D$30,MATCH(C1604,Canale!$A$2:$A$30,0))</f>
        <v>partner</v>
      </c>
      <c r="G1604" s="10" t="str">
        <f aca="false">INDEX('Site-uri'!$C$2:$C$20,MATCH(A1604,'Site-uri'!$A$2:$A$20,0))</f>
        <v>/</v>
      </c>
      <c r="H1604" s="10" t="str">
        <f aca="false">Config!$B$3</f>
        <v>2610_ff_lansare</v>
      </c>
      <c r="I1604" s="10" t="str">
        <f aca="false">D1604&amp;"_"&amp;Config!$B$4</f>
        <v>fierbinte_general</v>
      </c>
      <c r="J1604" s="10" t="str">
        <f aca="false">"https://"&amp;B1604&amp;G1604&amp;"?utm_source="&amp;E1604&amp;"&amp;utm_medium="&amp;F1604&amp;"&amp;utm_campaign="&amp;H1604&amp;"&amp;utm_content="&amp;I1604</f>
        <v>https://1clic-ia.fr/?utm_source=partner&amp;utm_medium=partner&amp;utm_campaign=2610_ff_lansare&amp;utm_content=fierbinte_general</v>
      </c>
    </row>
    <row r="1605" customFormat="false" ht="15" hidden="false" customHeight="false" outlineLevel="0" collapsed="false">
      <c r="A1605" s="10" t="s">
        <v>85</v>
      </c>
      <c r="B1605" s="10" t="str">
        <f aca="false">INDEX('Site-uri'!$B$2:$B$20,MATCH(A1605,'Site-uri'!$A$2:$A$20,0))</f>
        <v>1clic-ia.fr</v>
      </c>
      <c r="C1605" s="10" t="s">
        <v>191</v>
      </c>
      <c r="D1605" s="10" t="s">
        <v>237</v>
      </c>
      <c r="E1605" s="10" t="str">
        <f aca="false">INDEX(Canale!$C$2:$C$30,MATCH(C1605,Canale!$A$2:$A$30,0))</f>
        <v>partner</v>
      </c>
      <c r="F1605" s="10" t="str">
        <f aca="false">INDEX(Canale!$D$2:$D$30,MATCH(C1605,Canale!$A$2:$A$30,0))</f>
        <v>partner</v>
      </c>
      <c r="G1605" s="10" t="str">
        <f aca="false">INDEX('Site-uri'!$C$2:$C$20,MATCH(A1605,'Site-uri'!$A$2:$A$20,0))</f>
        <v>/</v>
      </c>
      <c r="H1605" s="10" t="str">
        <f aca="false">Config!$B$3</f>
        <v>2610_ff_lansare</v>
      </c>
      <c r="I1605" s="10" t="str">
        <f aca="false">D1605&amp;"_"&amp;Config!$B$4</f>
        <v>client_general</v>
      </c>
      <c r="J1605" s="10" t="str">
        <f aca="false">"https://"&amp;B1605&amp;G1605&amp;"?utm_source="&amp;E1605&amp;"&amp;utm_medium="&amp;F1605&amp;"&amp;utm_campaign="&amp;H1605&amp;"&amp;utm_content="&amp;I1605</f>
        <v>https://1clic-ia.fr/?utm_source=partner&amp;utm_medium=partner&amp;utm_campaign=2610_ff_lansare&amp;utm_content=client_general</v>
      </c>
    </row>
    <row r="1606" customFormat="false" ht="15" hidden="false" customHeight="false" outlineLevel="0" collapsed="false">
      <c r="A1606" s="10" t="s">
        <v>85</v>
      </c>
      <c r="B1606" s="10" t="str">
        <f aca="false">INDEX('Site-uri'!$B$2:$B$20,MATCH(A1606,'Site-uri'!$A$2:$A$20,0))</f>
        <v>1clic-ia.fr</v>
      </c>
      <c r="C1606" s="10" t="s">
        <v>193</v>
      </c>
      <c r="D1606" s="10" t="s">
        <v>219</v>
      </c>
      <c r="E1606" s="10" t="str">
        <f aca="false">INDEX(Canale!$C$2:$C$30,MATCH(C1606,Canale!$A$2:$A$30,0))</f>
        <v>pdf_proposal</v>
      </c>
      <c r="F1606" s="10" t="str">
        <f aca="false">INDEX(Canale!$D$2:$D$30,MATCH(C1606,Canale!$A$2:$A$30,0))</f>
        <v>document</v>
      </c>
      <c r="G1606" s="10" t="str">
        <f aca="false">INDEX('Site-uri'!$C$2:$C$20,MATCH(A1606,'Site-uri'!$A$2:$A$20,0))</f>
        <v>/</v>
      </c>
      <c r="H1606" s="10" t="str">
        <f aca="false">Config!$B$3</f>
        <v>2610_ff_lansare</v>
      </c>
      <c r="I1606" s="10" t="str">
        <f aca="false">D1606&amp;"_"&amp;Config!$B$4</f>
        <v>rece_general</v>
      </c>
      <c r="J1606" s="10" t="str">
        <f aca="false">"https://"&amp;B1606&amp;G1606&amp;"?utm_source="&amp;E1606&amp;"&amp;utm_medium="&amp;F1606&amp;"&amp;utm_campaign="&amp;H1606&amp;"&amp;utm_content="&amp;I1606</f>
        <v>https://1clic-ia.fr/?utm_source=pdf_proposal&amp;utm_medium=document&amp;utm_campaign=2610_ff_lansare&amp;utm_content=rece_general</v>
      </c>
    </row>
    <row r="1607" customFormat="false" ht="15" hidden="false" customHeight="false" outlineLevel="0" collapsed="false">
      <c r="A1607" s="10" t="s">
        <v>85</v>
      </c>
      <c r="B1607" s="10" t="str">
        <f aca="false">INDEX('Site-uri'!$B$2:$B$20,MATCH(A1607,'Site-uri'!$A$2:$A$20,0))</f>
        <v>1clic-ia.fr</v>
      </c>
      <c r="C1607" s="10" t="s">
        <v>193</v>
      </c>
      <c r="D1607" s="10" t="s">
        <v>225</v>
      </c>
      <c r="E1607" s="10" t="str">
        <f aca="false">INDEX(Canale!$C$2:$C$30,MATCH(C1607,Canale!$A$2:$A$30,0))</f>
        <v>pdf_proposal</v>
      </c>
      <c r="F1607" s="10" t="str">
        <f aca="false">INDEX(Canale!$D$2:$D$30,MATCH(C1607,Canale!$A$2:$A$30,0))</f>
        <v>document</v>
      </c>
      <c r="G1607" s="10" t="str">
        <f aca="false">INDEX('Site-uri'!$C$2:$C$20,MATCH(A1607,'Site-uri'!$A$2:$A$20,0))</f>
        <v>/</v>
      </c>
      <c r="H1607" s="10" t="str">
        <f aca="false">Config!$B$3</f>
        <v>2610_ff_lansare</v>
      </c>
      <c r="I1607" s="10" t="str">
        <f aca="false">D1607&amp;"_"&amp;Config!$B$4</f>
        <v>cald_general</v>
      </c>
      <c r="J1607" s="10" t="str">
        <f aca="false">"https://"&amp;B1607&amp;G1607&amp;"?utm_source="&amp;E1607&amp;"&amp;utm_medium="&amp;F1607&amp;"&amp;utm_campaign="&amp;H1607&amp;"&amp;utm_content="&amp;I1607</f>
        <v>https://1clic-ia.fr/?utm_source=pdf_proposal&amp;utm_medium=document&amp;utm_campaign=2610_ff_lansare&amp;utm_content=cald_general</v>
      </c>
    </row>
    <row r="1608" customFormat="false" ht="15" hidden="false" customHeight="false" outlineLevel="0" collapsed="false">
      <c r="A1608" s="10" t="s">
        <v>85</v>
      </c>
      <c r="B1608" s="10" t="str">
        <f aca="false">INDEX('Site-uri'!$B$2:$B$20,MATCH(A1608,'Site-uri'!$A$2:$A$20,0))</f>
        <v>1clic-ia.fr</v>
      </c>
      <c r="C1608" s="10" t="s">
        <v>193</v>
      </c>
      <c r="D1608" s="10" t="s">
        <v>231</v>
      </c>
      <c r="E1608" s="10" t="str">
        <f aca="false">INDEX(Canale!$C$2:$C$30,MATCH(C1608,Canale!$A$2:$A$30,0))</f>
        <v>pdf_proposal</v>
      </c>
      <c r="F1608" s="10" t="str">
        <f aca="false">INDEX(Canale!$D$2:$D$30,MATCH(C1608,Canale!$A$2:$A$30,0))</f>
        <v>document</v>
      </c>
      <c r="G1608" s="10" t="str">
        <f aca="false">INDEX('Site-uri'!$C$2:$C$20,MATCH(A1608,'Site-uri'!$A$2:$A$20,0))</f>
        <v>/</v>
      </c>
      <c r="H1608" s="10" t="str">
        <f aca="false">Config!$B$3</f>
        <v>2610_ff_lansare</v>
      </c>
      <c r="I1608" s="10" t="str">
        <f aca="false">D1608&amp;"_"&amp;Config!$B$4</f>
        <v>fierbinte_general</v>
      </c>
      <c r="J1608" s="10" t="str">
        <f aca="false">"https://"&amp;B1608&amp;G1608&amp;"?utm_source="&amp;E1608&amp;"&amp;utm_medium="&amp;F1608&amp;"&amp;utm_campaign="&amp;H1608&amp;"&amp;utm_content="&amp;I1608</f>
        <v>https://1clic-ia.fr/?utm_source=pdf_proposal&amp;utm_medium=document&amp;utm_campaign=2610_ff_lansare&amp;utm_content=fierbinte_general</v>
      </c>
    </row>
    <row r="1609" customFormat="false" ht="15" hidden="false" customHeight="false" outlineLevel="0" collapsed="false">
      <c r="A1609" s="10" t="s">
        <v>85</v>
      </c>
      <c r="B1609" s="10" t="str">
        <f aca="false">INDEX('Site-uri'!$B$2:$B$20,MATCH(A1609,'Site-uri'!$A$2:$A$20,0))</f>
        <v>1clic-ia.fr</v>
      </c>
      <c r="C1609" s="10" t="s">
        <v>193</v>
      </c>
      <c r="D1609" s="10" t="s">
        <v>237</v>
      </c>
      <c r="E1609" s="10" t="str">
        <f aca="false">INDEX(Canale!$C$2:$C$30,MATCH(C1609,Canale!$A$2:$A$30,0))</f>
        <v>pdf_proposal</v>
      </c>
      <c r="F1609" s="10" t="str">
        <f aca="false">INDEX(Canale!$D$2:$D$30,MATCH(C1609,Canale!$A$2:$A$30,0))</f>
        <v>document</v>
      </c>
      <c r="G1609" s="10" t="str">
        <f aca="false">INDEX('Site-uri'!$C$2:$C$20,MATCH(A1609,'Site-uri'!$A$2:$A$20,0))</f>
        <v>/</v>
      </c>
      <c r="H1609" s="10" t="str">
        <f aca="false">Config!$B$3</f>
        <v>2610_ff_lansare</v>
      </c>
      <c r="I1609" s="10" t="str">
        <f aca="false">D1609&amp;"_"&amp;Config!$B$4</f>
        <v>client_general</v>
      </c>
      <c r="J1609" s="10" t="str">
        <f aca="false">"https://"&amp;B1609&amp;G1609&amp;"?utm_source="&amp;E1609&amp;"&amp;utm_medium="&amp;F1609&amp;"&amp;utm_campaign="&amp;H1609&amp;"&amp;utm_content="&amp;I1609</f>
        <v>https://1clic-ia.fr/?utm_source=pdf_proposal&amp;utm_medium=document&amp;utm_campaign=2610_ff_lansare&amp;utm_content=client_general</v>
      </c>
    </row>
    <row r="1610" customFormat="false" ht="15" hidden="false" customHeight="false" outlineLevel="0" collapsed="false">
      <c r="A1610" s="10" t="s">
        <v>85</v>
      </c>
      <c r="B1610" s="10" t="str">
        <f aca="false">INDEX('Site-uri'!$B$2:$B$20,MATCH(A1610,'Site-uri'!$A$2:$A$20,0))</f>
        <v>1clic-ia.fr</v>
      </c>
      <c r="C1610" s="10" t="s">
        <v>198</v>
      </c>
      <c r="D1610" s="10" t="s">
        <v>219</v>
      </c>
      <c r="E1610" s="10" t="str">
        <f aca="false">INDEX(Canale!$C$2:$C$30,MATCH(C1610,Canale!$A$2:$A$30,0))</f>
        <v>qr_print</v>
      </c>
      <c r="F1610" s="10" t="str">
        <f aca="false">INDEX(Canale!$D$2:$D$30,MATCH(C1610,Canale!$A$2:$A$30,0))</f>
        <v>qr</v>
      </c>
      <c r="G1610" s="10" t="str">
        <f aca="false">INDEX('Site-uri'!$C$2:$C$20,MATCH(A1610,'Site-uri'!$A$2:$A$20,0))</f>
        <v>/</v>
      </c>
      <c r="H1610" s="10" t="str">
        <f aca="false">Config!$B$3</f>
        <v>2610_ff_lansare</v>
      </c>
      <c r="I1610" s="10" t="str">
        <f aca="false">D1610&amp;"_"&amp;Config!$B$4</f>
        <v>rece_general</v>
      </c>
      <c r="J1610" s="10" t="str">
        <f aca="false">"https://"&amp;B1610&amp;G1610&amp;"?utm_source="&amp;E1610&amp;"&amp;utm_medium="&amp;F1610&amp;"&amp;utm_campaign="&amp;H1610&amp;"&amp;utm_content="&amp;I1610</f>
        <v>https://1clic-ia.fr/?utm_source=qr_print&amp;utm_medium=qr&amp;utm_campaign=2610_ff_lansare&amp;utm_content=rece_general</v>
      </c>
    </row>
    <row r="1611" customFormat="false" ht="15" hidden="false" customHeight="false" outlineLevel="0" collapsed="false">
      <c r="A1611" s="10" t="s">
        <v>85</v>
      </c>
      <c r="B1611" s="10" t="str">
        <f aca="false">INDEX('Site-uri'!$B$2:$B$20,MATCH(A1611,'Site-uri'!$A$2:$A$20,0))</f>
        <v>1clic-ia.fr</v>
      </c>
      <c r="C1611" s="10" t="s">
        <v>198</v>
      </c>
      <c r="D1611" s="10" t="s">
        <v>225</v>
      </c>
      <c r="E1611" s="10" t="str">
        <f aca="false">INDEX(Canale!$C$2:$C$30,MATCH(C1611,Canale!$A$2:$A$30,0))</f>
        <v>qr_print</v>
      </c>
      <c r="F1611" s="10" t="str">
        <f aca="false">INDEX(Canale!$D$2:$D$30,MATCH(C1611,Canale!$A$2:$A$30,0))</f>
        <v>qr</v>
      </c>
      <c r="G1611" s="10" t="str">
        <f aca="false">INDEX('Site-uri'!$C$2:$C$20,MATCH(A1611,'Site-uri'!$A$2:$A$20,0))</f>
        <v>/</v>
      </c>
      <c r="H1611" s="10" t="str">
        <f aca="false">Config!$B$3</f>
        <v>2610_ff_lansare</v>
      </c>
      <c r="I1611" s="10" t="str">
        <f aca="false">D1611&amp;"_"&amp;Config!$B$4</f>
        <v>cald_general</v>
      </c>
      <c r="J1611" s="10" t="str">
        <f aca="false">"https://"&amp;B1611&amp;G1611&amp;"?utm_source="&amp;E1611&amp;"&amp;utm_medium="&amp;F1611&amp;"&amp;utm_campaign="&amp;H1611&amp;"&amp;utm_content="&amp;I1611</f>
        <v>https://1clic-ia.fr/?utm_source=qr_print&amp;utm_medium=qr&amp;utm_campaign=2610_ff_lansare&amp;utm_content=cald_general</v>
      </c>
    </row>
    <row r="1612" customFormat="false" ht="15" hidden="false" customHeight="false" outlineLevel="0" collapsed="false">
      <c r="A1612" s="10" t="s">
        <v>85</v>
      </c>
      <c r="B1612" s="10" t="str">
        <f aca="false">INDEX('Site-uri'!$B$2:$B$20,MATCH(A1612,'Site-uri'!$A$2:$A$20,0))</f>
        <v>1clic-ia.fr</v>
      </c>
      <c r="C1612" s="10" t="s">
        <v>198</v>
      </c>
      <c r="D1612" s="10" t="s">
        <v>231</v>
      </c>
      <c r="E1612" s="10" t="str">
        <f aca="false">INDEX(Canale!$C$2:$C$30,MATCH(C1612,Canale!$A$2:$A$30,0))</f>
        <v>qr_print</v>
      </c>
      <c r="F1612" s="10" t="str">
        <f aca="false">INDEX(Canale!$D$2:$D$30,MATCH(C1612,Canale!$A$2:$A$30,0))</f>
        <v>qr</v>
      </c>
      <c r="G1612" s="10" t="str">
        <f aca="false">INDEX('Site-uri'!$C$2:$C$20,MATCH(A1612,'Site-uri'!$A$2:$A$20,0))</f>
        <v>/</v>
      </c>
      <c r="H1612" s="10" t="str">
        <f aca="false">Config!$B$3</f>
        <v>2610_ff_lansare</v>
      </c>
      <c r="I1612" s="10" t="str">
        <f aca="false">D1612&amp;"_"&amp;Config!$B$4</f>
        <v>fierbinte_general</v>
      </c>
      <c r="J1612" s="10" t="str">
        <f aca="false">"https://"&amp;B1612&amp;G1612&amp;"?utm_source="&amp;E1612&amp;"&amp;utm_medium="&amp;F1612&amp;"&amp;utm_campaign="&amp;H1612&amp;"&amp;utm_content="&amp;I1612</f>
        <v>https://1clic-ia.fr/?utm_source=qr_print&amp;utm_medium=qr&amp;utm_campaign=2610_ff_lansare&amp;utm_content=fierbinte_general</v>
      </c>
    </row>
    <row r="1613" customFormat="false" ht="15" hidden="false" customHeight="false" outlineLevel="0" collapsed="false">
      <c r="A1613" s="10" t="s">
        <v>85</v>
      </c>
      <c r="B1613" s="10" t="str">
        <f aca="false">INDEX('Site-uri'!$B$2:$B$20,MATCH(A1613,'Site-uri'!$A$2:$A$20,0))</f>
        <v>1clic-ia.fr</v>
      </c>
      <c r="C1613" s="10" t="s">
        <v>198</v>
      </c>
      <c r="D1613" s="10" t="s">
        <v>237</v>
      </c>
      <c r="E1613" s="10" t="str">
        <f aca="false">INDEX(Canale!$C$2:$C$30,MATCH(C1613,Canale!$A$2:$A$30,0))</f>
        <v>qr_print</v>
      </c>
      <c r="F1613" s="10" t="str">
        <f aca="false">INDEX(Canale!$D$2:$D$30,MATCH(C1613,Canale!$A$2:$A$30,0))</f>
        <v>qr</v>
      </c>
      <c r="G1613" s="10" t="str">
        <f aca="false">INDEX('Site-uri'!$C$2:$C$20,MATCH(A1613,'Site-uri'!$A$2:$A$20,0))</f>
        <v>/</v>
      </c>
      <c r="H1613" s="10" t="str">
        <f aca="false">Config!$B$3</f>
        <v>2610_ff_lansare</v>
      </c>
      <c r="I1613" s="10" t="str">
        <f aca="false">D1613&amp;"_"&amp;Config!$B$4</f>
        <v>client_general</v>
      </c>
      <c r="J1613" s="10" t="str">
        <f aca="false">"https://"&amp;B1613&amp;G1613&amp;"?utm_source="&amp;E1613&amp;"&amp;utm_medium="&amp;F1613&amp;"&amp;utm_campaign="&amp;H1613&amp;"&amp;utm_content="&amp;I1613</f>
        <v>https://1clic-ia.fr/?utm_source=qr_print&amp;utm_medium=qr&amp;utm_campaign=2610_ff_lansare&amp;utm_content=client_general</v>
      </c>
    </row>
    <row r="1614" customFormat="false" ht="15" hidden="false" customHeight="false" outlineLevel="0" collapsed="false">
      <c r="A1614" s="10" t="s">
        <v>85</v>
      </c>
      <c r="B1614" s="10" t="str">
        <f aca="false">INDEX('Site-uri'!$B$2:$B$20,MATCH(A1614,'Site-uri'!$A$2:$A$20,0))</f>
        <v>1clic-ia.fr</v>
      </c>
      <c r="C1614" s="10" t="s">
        <v>202</v>
      </c>
      <c r="D1614" s="10" t="s">
        <v>219</v>
      </c>
      <c r="E1614" s="10" t="str">
        <f aca="false">INDEX(Canale!$C$2:$C$30,MATCH(C1614,Canale!$A$2:$A$30,0))</f>
        <v>event</v>
      </c>
      <c r="F1614" s="10" t="str">
        <f aca="false">INDEX(Canale!$D$2:$D$30,MATCH(C1614,Canale!$A$2:$A$30,0))</f>
        <v>event</v>
      </c>
      <c r="G1614" s="10" t="str">
        <f aca="false">INDEX('Site-uri'!$C$2:$C$20,MATCH(A1614,'Site-uri'!$A$2:$A$20,0))</f>
        <v>/</v>
      </c>
      <c r="H1614" s="10" t="str">
        <f aca="false">Config!$B$3</f>
        <v>2610_ff_lansare</v>
      </c>
      <c r="I1614" s="10" t="str">
        <f aca="false">D1614&amp;"_"&amp;Config!$B$4</f>
        <v>rece_general</v>
      </c>
      <c r="J1614" s="10" t="str">
        <f aca="false">"https://"&amp;B1614&amp;G1614&amp;"?utm_source="&amp;E1614&amp;"&amp;utm_medium="&amp;F1614&amp;"&amp;utm_campaign="&amp;H1614&amp;"&amp;utm_content="&amp;I1614</f>
        <v>https://1clic-ia.fr/?utm_source=event&amp;utm_medium=event&amp;utm_campaign=2610_ff_lansare&amp;utm_content=rece_general</v>
      </c>
    </row>
    <row r="1615" customFormat="false" ht="15" hidden="false" customHeight="false" outlineLevel="0" collapsed="false">
      <c r="A1615" s="10" t="s">
        <v>85</v>
      </c>
      <c r="B1615" s="10" t="str">
        <f aca="false">INDEX('Site-uri'!$B$2:$B$20,MATCH(A1615,'Site-uri'!$A$2:$A$20,0))</f>
        <v>1clic-ia.fr</v>
      </c>
      <c r="C1615" s="10" t="s">
        <v>202</v>
      </c>
      <c r="D1615" s="10" t="s">
        <v>225</v>
      </c>
      <c r="E1615" s="10" t="str">
        <f aca="false">INDEX(Canale!$C$2:$C$30,MATCH(C1615,Canale!$A$2:$A$30,0))</f>
        <v>event</v>
      </c>
      <c r="F1615" s="10" t="str">
        <f aca="false">INDEX(Canale!$D$2:$D$30,MATCH(C1615,Canale!$A$2:$A$30,0))</f>
        <v>event</v>
      </c>
      <c r="G1615" s="10" t="str">
        <f aca="false">INDEX('Site-uri'!$C$2:$C$20,MATCH(A1615,'Site-uri'!$A$2:$A$20,0))</f>
        <v>/</v>
      </c>
      <c r="H1615" s="10" t="str">
        <f aca="false">Config!$B$3</f>
        <v>2610_ff_lansare</v>
      </c>
      <c r="I1615" s="10" t="str">
        <f aca="false">D1615&amp;"_"&amp;Config!$B$4</f>
        <v>cald_general</v>
      </c>
      <c r="J1615" s="10" t="str">
        <f aca="false">"https://"&amp;B1615&amp;G1615&amp;"?utm_source="&amp;E1615&amp;"&amp;utm_medium="&amp;F1615&amp;"&amp;utm_campaign="&amp;H1615&amp;"&amp;utm_content="&amp;I1615</f>
        <v>https://1clic-ia.fr/?utm_source=event&amp;utm_medium=event&amp;utm_campaign=2610_ff_lansare&amp;utm_content=cald_general</v>
      </c>
    </row>
    <row r="1616" customFormat="false" ht="15" hidden="false" customHeight="false" outlineLevel="0" collapsed="false">
      <c r="A1616" s="10" t="s">
        <v>85</v>
      </c>
      <c r="B1616" s="10" t="str">
        <f aca="false">INDEX('Site-uri'!$B$2:$B$20,MATCH(A1616,'Site-uri'!$A$2:$A$20,0))</f>
        <v>1clic-ia.fr</v>
      </c>
      <c r="C1616" s="10" t="s">
        <v>202</v>
      </c>
      <c r="D1616" s="10" t="s">
        <v>231</v>
      </c>
      <c r="E1616" s="10" t="str">
        <f aca="false">INDEX(Canale!$C$2:$C$30,MATCH(C1616,Canale!$A$2:$A$30,0))</f>
        <v>event</v>
      </c>
      <c r="F1616" s="10" t="str">
        <f aca="false">INDEX(Canale!$D$2:$D$30,MATCH(C1616,Canale!$A$2:$A$30,0))</f>
        <v>event</v>
      </c>
      <c r="G1616" s="10" t="str">
        <f aca="false">INDEX('Site-uri'!$C$2:$C$20,MATCH(A1616,'Site-uri'!$A$2:$A$20,0))</f>
        <v>/</v>
      </c>
      <c r="H1616" s="10" t="str">
        <f aca="false">Config!$B$3</f>
        <v>2610_ff_lansare</v>
      </c>
      <c r="I1616" s="10" t="str">
        <f aca="false">D1616&amp;"_"&amp;Config!$B$4</f>
        <v>fierbinte_general</v>
      </c>
      <c r="J1616" s="10" t="str">
        <f aca="false">"https://"&amp;B1616&amp;G1616&amp;"?utm_source="&amp;E1616&amp;"&amp;utm_medium="&amp;F1616&amp;"&amp;utm_campaign="&amp;H1616&amp;"&amp;utm_content="&amp;I1616</f>
        <v>https://1clic-ia.fr/?utm_source=event&amp;utm_medium=event&amp;utm_campaign=2610_ff_lansare&amp;utm_content=fierbinte_general</v>
      </c>
    </row>
    <row r="1617" customFormat="false" ht="15" hidden="false" customHeight="false" outlineLevel="0" collapsed="false">
      <c r="A1617" s="10" t="s">
        <v>85</v>
      </c>
      <c r="B1617" s="10" t="str">
        <f aca="false">INDEX('Site-uri'!$B$2:$B$20,MATCH(A1617,'Site-uri'!$A$2:$A$20,0))</f>
        <v>1clic-ia.fr</v>
      </c>
      <c r="C1617" s="10" t="s">
        <v>202</v>
      </c>
      <c r="D1617" s="10" t="s">
        <v>237</v>
      </c>
      <c r="E1617" s="10" t="str">
        <f aca="false">INDEX(Canale!$C$2:$C$30,MATCH(C1617,Canale!$A$2:$A$30,0))</f>
        <v>event</v>
      </c>
      <c r="F1617" s="10" t="str">
        <f aca="false">INDEX(Canale!$D$2:$D$30,MATCH(C1617,Canale!$A$2:$A$30,0))</f>
        <v>event</v>
      </c>
      <c r="G1617" s="10" t="str">
        <f aca="false">INDEX('Site-uri'!$C$2:$C$20,MATCH(A1617,'Site-uri'!$A$2:$A$20,0))</f>
        <v>/</v>
      </c>
      <c r="H1617" s="10" t="str">
        <f aca="false">Config!$B$3</f>
        <v>2610_ff_lansare</v>
      </c>
      <c r="I1617" s="10" t="str">
        <f aca="false">D1617&amp;"_"&amp;Config!$B$4</f>
        <v>client_general</v>
      </c>
      <c r="J1617" s="10" t="str">
        <f aca="false">"https://"&amp;B1617&amp;G1617&amp;"?utm_source="&amp;E1617&amp;"&amp;utm_medium="&amp;F1617&amp;"&amp;utm_campaign="&amp;H1617&amp;"&amp;utm_content="&amp;I1617</f>
        <v>https://1clic-ia.fr/?utm_source=event&amp;utm_medium=event&amp;utm_campaign=2610_ff_lansare&amp;utm_content=client_general</v>
      </c>
    </row>
    <row r="1618" customFormat="false" ht="15" hidden="false" customHeight="false" outlineLevel="0" collapsed="false">
      <c r="A1618" s="10" t="s">
        <v>85</v>
      </c>
      <c r="B1618" s="10" t="str">
        <f aca="false">INDEX('Site-uri'!$B$2:$B$20,MATCH(A1618,'Site-uri'!$A$2:$A$20,0))</f>
        <v>1clic-ia.fr</v>
      </c>
      <c r="C1618" s="10" t="s">
        <v>204</v>
      </c>
      <c r="D1618" s="10" t="s">
        <v>219</v>
      </c>
      <c r="E1618" s="10" t="str">
        <f aca="false">INDEX(Canale!$C$2:$C$30,MATCH(C1618,Canale!$A$2:$A$30,0))</f>
        <v>a2a_agent_card</v>
      </c>
      <c r="F1618" s="10" t="str">
        <f aca="false">INDEX(Canale!$D$2:$D$30,MATCH(C1618,Canale!$A$2:$A$30,0))</f>
        <v>agent</v>
      </c>
      <c r="G1618" s="10" t="str">
        <f aca="false">INDEX('Site-uri'!$C$2:$C$20,MATCH(A1618,'Site-uri'!$A$2:$A$20,0))</f>
        <v>/</v>
      </c>
      <c r="H1618" s="10" t="str">
        <f aca="false">Config!$B$3</f>
        <v>2610_ff_lansare</v>
      </c>
      <c r="I1618" s="10" t="str">
        <f aca="false">D1618&amp;"_"&amp;Config!$B$4</f>
        <v>rece_general</v>
      </c>
      <c r="J1618" s="10" t="str">
        <f aca="false">"https://"&amp;B1618&amp;G1618&amp;"?utm_source="&amp;E1618&amp;"&amp;utm_medium="&amp;F1618&amp;"&amp;utm_campaign="&amp;H1618&amp;"&amp;utm_content="&amp;I1618</f>
        <v>https://1clic-ia.fr/?utm_source=a2a_agent_card&amp;utm_medium=agent&amp;utm_campaign=2610_ff_lansare&amp;utm_content=rece_general</v>
      </c>
    </row>
    <row r="1619" customFormat="false" ht="15" hidden="false" customHeight="false" outlineLevel="0" collapsed="false">
      <c r="A1619" s="10" t="s">
        <v>85</v>
      </c>
      <c r="B1619" s="10" t="str">
        <f aca="false">INDEX('Site-uri'!$B$2:$B$20,MATCH(A1619,'Site-uri'!$A$2:$A$20,0))</f>
        <v>1clic-ia.fr</v>
      </c>
      <c r="C1619" s="10" t="s">
        <v>204</v>
      </c>
      <c r="D1619" s="10" t="s">
        <v>225</v>
      </c>
      <c r="E1619" s="10" t="str">
        <f aca="false">INDEX(Canale!$C$2:$C$30,MATCH(C1619,Canale!$A$2:$A$30,0))</f>
        <v>a2a_agent_card</v>
      </c>
      <c r="F1619" s="10" t="str">
        <f aca="false">INDEX(Canale!$D$2:$D$30,MATCH(C1619,Canale!$A$2:$A$30,0))</f>
        <v>agent</v>
      </c>
      <c r="G1619" s="10" t="str">
        <f aca="false">INDEX('Site-uri'!$C$2:$C$20,MATCH(A1619,'Site-uri'!$A$2:$A$20,0))</f>
        <v>/</v>
      </c>
      <c r="H1619" s="10" t="str">
        <f aca="false">Config!$B$3</f>
        <v>2610_ff_lansare</v>
      </c>
      <c r="I1619" s="10" t="str">
        <f aca="false">D1619&amp;"_"&amp;Config!$B$4</f>
        <v>cald_general</v>
      </c>
      <c r="J1619" s="10" t="str">
        <f aca="false">"https://"&amp;B1619&amp;G1619&amp;"?utm_source="&amp;E1619&amp;"&amp;utm_medium="&amp;F1619&amp;"&amp;utm_campaign="&amp;H1619&amp;"&amp;utm_content="&amp;I1619</f>
        <v>https://1clic-ia.fr/?utm_source=a2a_agent_card&amp;utm_medium=agent&amp;utm_campaign=2610_ff_lansare&amp;utm_content=cald_general</v>
      </c>
    </row>
    <row r="1620" customFormat="false" ht="15" hidden="false" customHeight="false" outlineLevel="0" collapsed="false">
      <c r="A1620" s="10" t="s">
        <v>85</v>
      </c>
      <c r="B1620" s="10" t="str">
        <f aca="false">INDEX('Site-uri'!$B$2:$B$20,MATCH(A1620,'Site-uri'!$A$2:$A$20,0))</f>
        <v>1clic-ia.fr</v>
      </c>
      <c r="C1620" s="10" t="s">
        <v>204</v>
      </c>
      <c r="D1620" s="10" t="s">
        <v>231</v>
      </c>
      <c r="E1620" s="10" t="str">
        <f aca="false">INDEX(Canale!$C$2:$C$30,MATCH(C1620,Canale!$A$2:$A$30,0))</f>
        <v>a2a_agent_card</v>
      </c>
      <c r="F1620" s="10" t="str">
        <f aca="false">INDEX(Canale!$D$2:$D$30,MATCH(C1620,Canale!$A$2:$A$30,0))</f>
        <v>agent</v>
      </c>
      <c r="G1620" s="10" t="str">
        <f aca="false">INDEX('Site-uri'!$C$2:$C$20,MATCH(A1620,'Site-uri'!$A$2:$A$20,0))</f>
        <v>/</v>
      </c>
      <c r="H1620" s="10" t="str">
        <f aca="false">Config!$B$3</f>
        <v>2610_ff_lansare</v>
      </c>
      <c r="I1620" s="10" t="str">
        <f aca="false">D1620&amp;"_"&amp;Config!$B$4</f>
        <v>fierbinte_general</v>
      </c>
      <c r="J1620" s="10" t="str">
        <f aca="false">"https://"&amp;B1620&amp;G1620&amp;"?utm_source="&amp;E1620&amp;"&amp;utm_medium="&amp;F1620&amp;"&amp;utm_campaign="&amp;H1620&amp;"&amp;utm_content="&amp;I1620</f>
        <v>https://1clic-ia.fr/?utm_source=a2a_agent_card&amp;utm_medium=agent&amp;utm_campaign=2610_ff_lansare&amp;utm_content=fierbinte_general</v>
      </c>
    </row>
    <row r="1621" customFormat="false" ht="15" hidden="false" customHeight="false" outlineLevel="0" collapsed="false">
      <c r="A1621" s="10" t="s">
        <v>85</v>
      </c>
      <c r="B1621" s="10" t="str">
        <f aca="false">INDEX('Site-uri'!$B$2:$B$20,MATCH(A1621,'Site-uri'!$A$2:$A$20,0))</f>
        <v>1clic-ia.fr</v>
      </c>
      <c r="C1621" s="10" t="s">
        <v>204</v>
      </c>
      <c r="D1621" s="10" t="s">
        <v>237</v>
      </c>
      <c r="E1621" s="10" t="str">
        <f aca="false">INDEX(Canale!$C$2:$C$30,MATCH(C1621,Canale!$A$2:$A$30,0))</f>
        <v>a2a_agent_card</v>
      </c>
      <c r="F1621" s="10" t="str">
        <f aca="false">INDEX(Canale!$D$2:$D$30,MATCH(C1621,Canale!$A$2:$A$30,0))</f>
        <v>agent</v>
      </c>
      <c r="G1621" s="10" t="str">
        <f aca="false">INDEX('Site-uri'!$C$2:$C$20,MATCH(A1621,'Site-uri'!$A$2:$A$20,0))</f>
        <v>/</v>
      </c>
      <c r="H1621" s="10" t="str">
        <f aca="false">Config!$B$3</f>
        <v>2610_ff_lansare</v>
      </c>
      <c r="I1621" s="10" t="str">
        <f aca="false">D1621&amp;"_"&amp;Config!$B$4</f>
        <v>client_general</v>
      </c>
      <c r="J1621" s="10" t="str">
        <f aca="false">"https://"&amp;B1621&amp;G1621&amp;"?utm_source="&amp;E1621&amp;"&amp;utm_medium="&amp;F1621&amp;"&amp;utm_campaign="&amp;H1621&amp;"&amp;utm_content="&amp;I1621</f>
        <v>https://1clic-ia.fr/?utm_source=a2a_agent_card&amp;utm_medium=agent&amp;utm_campaign=2610_ff_lansare&amp;utm_content=client_general</v>
      </c>
    </row>
    <row r="1622" customFormat="false" ht="15" hidden="false" customHeight="false" outlineLevel="0" collapsed="false">
      <c r="A1622" s="10" t="s">
        <v>85</v>
      </c>
      <c r="B1622" s="10" t="str">
        <f aca="false">INDEX('Site-uri'!$B$2:$B$20,MATCH(A1622,'Site-uri'!$A$2:$A$20,0))</f>
        <v>1clic-ia.fr</v>
      </c>
      <c r="C1622" s="10" t="s">
        <v>209</v>
      </c>
      <c r="D1622" s="10" t="s">
        <v>219</v>
      </c>
      <c r="E1622" s="10" t="str">
        <f aca="false">INDEX(Canale!$C$2:$C$30,MATCH(C1622,Canale!$A$2:$A$30,0))</f>
        <v>llms_txt</v>
      </c>
      <c r="F1622" s="10" t="str">
        <f aca="false">INDEX(Canale!$D$2:$D$30,MATCH(C1622,Canale!$A$2:$A$30,0))</f>
        <v>ai_web</v>
      </c>
      <c r="G1622" s="10" t="str">
        <f aca="false">INDEX('Site-uri'!$C$2:$C$20,MATCH(A1622,'Site-uri'!$A$2:$A$20,0))</f>
        <v>/</v>
      </c>
      <c r="H1622" s="10" t="str">
        <f aca="false">Config!$B$3</f>
        <v>2610_ff_lansare</v>
      </c>
      <c r="I1622" s="10" t="str">
        <f aca="false">D1622&amp;"_"&amp;Config!$B$4</f>
        <v>rece_general</v>
      </c>
      <c r="J1622" s="10" t="str">
        <f aca="false">"https://"&amp;B1622&amp;G1622&amp;"?utm_source="&amp;E1622&amp;"&amp;utm_medium="&amp;F1622&amp;"&amp;utm_campaign="&amp;H1622&amp;"&amp;utm_content="&amp;I1622</f>
        <v>https://1clic-ia.fr/?utm_source=llms_txt&amp;utm_medium=ai_web&amp;utm_campaign=2610_ff_lansare&amp;utm_content=rece_general</v>
      </c>
    </row>
    <row r="1623" customFormat="false" ht="15" hidden="false" customHeight="false" outlineLevel="0" collapsed="false">
      <c r="A1623" s="10" t="s">
        <v>85</v>
      </c>
      <c r="B1623" s="10" t="str">
        <f aca="false">INDEX('Site-uri'!$B$2:$B$20,MATCH(A1623,'Site-uri'!$A$2:$A$20,0))</f>
        <v>1clic-ia.fr</v>
      </c>
      <c r="C1623" s="10" t="s">
        <v>209</v>
      </c>
      <c r="D1623" s="10" t="s">
        <v>225</v>
      </c>
      <c r="E1623" s="10" t="str">
        <f aca="false">INDEX(Canale!$C$2:$C$30,MATCH(C1623,Canale!$A$2:$A$30,0))</f>
        <v>llms_txt</v>
      </c>
      <c r="F1623" s="10" t="str">
        <f aca="false">INDEX(Canale!$D$2:$D$30,MATCH(C1623,Canale!$A$2:$A$30,0))</f>
        <v>ai_web</v>
      </c>
      <c r="G1623" s="10" t="str">
        <f aca="false">INDEX('Site-uri'!$C$2:$C$20,MATCH(A1623,'Site-uri'!$A$2:$A$20,0))</f>
        <v>/</v>
      </c>
      <c r="H1623" s="10" t="str">
        <f aca="false">Config!$B$3</f>
        <v>2610_ff_lansare</v>
      </c>
      <c r="I1623" s="10" t="str">
        <f aca="false">D1623&amp;"_"&amp;Config!$B$4</f>
        <v>cald_general</v>
      </c>
      <c r="J1623" s="10" t="str">
        <f aca="false">"https://"&amp;B1623&amp;G1623&amp;"?utm_source="&amp;E1623&amp;"&amp;utm_medium="&amp;F1623&amp;"&amp;utm_campaign="&amp;H1623&amp;"&amp;utm_content="&amp;I1623</f>
        <v>https://1clic-ia.fr/?utm_source=llms_txt&amp;utm_medium=ai_web&amp;utm_campaign=2610_ff_lansare&amp;utm_content=cald_general</v>
      </c>
    </row>
    <row r="1624" customFormat="false" ht="15" hidden="false" customHeight="false" outlineLevel="0" collapsed="false">
      <c r="A1624" s="10" t="s">
        <v>85</v>
      </c>
      <c r="B1624" s="10" t="str">
        <f aca="false">INDEX('Site-uri'!$B$2:$B$20,MATCH(A1624,'Site-uri'!$A$2:$A$20,0))</f>
        <v>1clic-ia.fr</v>
      </c>
      <c r="C1624" s="10" t="s">
        <v>209</v>
      </c>
      <c r="D1624" s="10" t="s">
        <v>231</v>
      </c>
      <c r="E1624" s="10" t="str">
        <f aca="false">INDEX(Canale!$C$2:$C$30,MATCH(C1624,Canale!$A$2:$A$30,0))</f>
        <v>llms_txt</v>
      </c>
      <c r="F1624" s="10" t="str">
        <f aca="false">INDEX(Canale!$D$2:$D$30,MATCH(C1624,Canale!$A$2:$A$30,0))</f>
        <v>ai_web</v>
      </c>
      <c r="G1624" s="10" t="str">
        <f aca="false">INDEX('Site-uri'!$C$2:$C$20,MATCH(A1624,'Site-uri'!$A$2:$A$20,0))</f>
        <v>/</v>
      </c>
      <c r="H1624" s="10" t="str">
        <f aca="false">Config!$B$3</f>
        <v>2610_ff_lansare</v>
      </c>
      <c r="I1624" s="10" t="str">
        <f aca="false">D1624&amp;"_"&amp;Config!$B$4</f>
        <v>fierbinte_general</v>
      </c>
      <c r="J1624" s="10" t="str">
        <f aca="false">"https://"&amp;B1624&amp;G1624&amp;"?utm_source="&amp;E1624&amp;"&amp;utm_medium="&amp;F1624&amp;"&amp;utm_campaign="&amp;H1624&amp;"&amp;utm_content="&amp;I1624</f>
        <v>https://1clic-ia.fr/?utm_source=llms_txt&amp;utm_medium=ai_web&amp;utm_campaign=2610_ff_lansare&amp;utm_content=fierbinte_general</v>
      </c>
    </row>
    <row r="1625" customFormat="false" ht="15" hidden="false" customHeight="false" outlineLevel="0" collapsed="false">
      <c r="A1625" s="10" t="s">
        <v>85</v>
      </c>
      <c r="B1625" s="10" t="str">
        <f aca="false">INDEX('Site-uri'!$B$2:$B$20,MATCH(A1625,'Site-uri'!$A$2:$A$20,0))</f>
        <v>1clic-ia.fr</v>
      </c>
      <c r="C1625" s="10" t="s">
        <v>209</v>
      </c>
      <c r="D1625" s="10" t="s">
        <v>237</v>
      </c>
      <c r="E1625" s="10" t="str">
        <f aca="false">INDEX(Canale!$C$2:$C$30,MATCH(C1625,Canale!$A$2:$A$30,0))</f>
        <v>llms_txt</v>
      </c>
      <c r="F1625" s="10" t="str">
        <f aca="false">INDEX(Canale!$D$2:$D$30,MATCH(C1625,Canale!$A$2:$A$30,0))</f>
        <v>ai_web</v>
      </c>
      <c r="G1625" s="10" t="str">
        <f aca="false">INDEX('Site-uri'!$C$2:$C$20,MATCH(A1625,'Site-uri'!$A$2:$A$20,0))</f>
        <v>/</v>
      </c>
      <c r="H1625" s="10" t="str">
        <f aca="false">Config!$B$3</f>
        <v>2610_ff_lansare</v>
      </c>
      <c r="I1625" s="10" t="str">
        <f aca="false">D1625&amp;"_"&amp;Config!$B$4</f>
        <v>client_general</v>
      </c>
      <c r="J1625" s="10" t="str">
        <f aca="false">"https://"&amp;B1625&amp;G1625&amp;"?utm_source="&amp;E1625&amp;"&amp;utm_medium="&amp;F1625&amp;"&amp;utm_campaign="&amp;H1625&amp;"&amp;utm_content="&amp;I1625</f>
        <v>https://1clic-ia.fr/?utm_source=llms_txt&amp;utm_medium=ai_web&amp;utm_campaign=2610_ff_lansare&amp;utm_content=client_general</v>
      </c>
    </row>
    <row r="1626" customFormat="false" ht="15" hidden="false" customHeight="false" outlineLevel="0" collapsed="false">
      <c r="A1626" s="10" t="s">
        <v>87</v>
      </c>
      <c r="B1626" s="10" t="str">
        <f aca="false">INDEX('Site-uri'!$B$2:$B$20,MATCH(A1626,'Site-uri'!$A$2:$A$20,0))</f>
        <v>firmsfinder.eu</v>
      </c>
      <c r="C1626" s="10" t="s">
        <v>104</v>
      </c>
      <c r="D1626" s="10" t="s">
        <v>219</v>
      </c>
      <c r="E1626" s="10" t="str">
        <f aca="false">INDEX(Canale!$C$2:$C$30,MATCH(C1626,Canale!$A$2:$A$30,0))</f>
        <v>linkedin_personal</v>
      </c>
      <c r="F1626" s="10" t="str">
        <f aca="false">INDEX(Canale!$D$2:$D$30,MATCH(C1626,Canale!$A$2:$A$30,0))</f>
        <v>social</v>
      </c>
      <c r="G1626" s="10" t="str">
        <f aca="false">INDEX('Site-uri'!$C$2:$C$20,MATCH(A1626,'Site-uri'!$A$2:$A$20,0))</f>
        <v>/</v>
      </c>
      <c r="H1626" s="10" t="str">
        <f aca="false">Config!$B$3</f>
        <v>2610_ff_lansare</v>
      </c>
      <c r="I1626" s="10" t="str">
        <f aca="false">D1626&amp;"_"&amp;Config!$B$4</f>
        <v>rece_general</v>
      </c>
      <c r="J1626" s="10" t="str">
        <f aca="false">"https://"&amp;B1626&amp;G1626&amp;"?utm_source="&amp;E1626&amp;"&amp;utm_medium="&amp;F1626&amp;"&amp;utm_campaign="&amp;H1626&amp;"&amp;utm_content="&amp;I1626</f>
        <v>https://firmsfinder.eu/?utm_source=linkedin_personal&amp;utm_medium=social&amp;utm_campaign=2610_ff_lansare&amp;utm_content=rece_general</v>
      </c>
    </row>
    <row r="1627" customFormat="false" ht="15" hidden="false" customHeight="false" outlineLevel="0" collapsed="false">
      <c r="A1627" s="10" t="s">
        <v>87</v>
      </c>
      <c r="B1627" s="10" t="str">
        <f aca="false">INDEX('Site-uri'!$B$2:$B$20,MATCH(A1627,'Site-uri'!$A$2:$A$20,0))</f>
        <v>firmsfinder.eu</v>
      </c>
      <c r="C1627" s="10" t="s">
        <v>104</v>
      </c>
      <c r="D1627" s="10" t="s">
        <v>225</v>
      </c>
      <c r="E1627" s="10" t="str">
        <f aca="false">INDEX(Canale!$C$2:$C$30,MATCH(C1627,Canale!$A$2:$A$30,0))</f>
        <v>linkedin_personal</v>
      </c>
      <c r="F1627" s="10" t="str">
        <f aca="false">INDEX(Canale!$D$2:$D$30,MATCH(C1627,Canale!$A$2:$A$30,0))</f>
        <v>social</v>
      </c>
      <c r="G1627" s="10" t="str">
        <f aca="false">INDEX('Site-uri'!$C$2:$C$20,MATCH(A1627,'Site-uri'!$A$2:$A$20,0))</f>
        <v>/</v>
      </c>
      <c r="H1627" s="10" t="str">
        <f aca="false">Config!$B$3</f>
        <v>2610_ff_lansare</v>
      </c>
      <c r="I1627" s="10" t="str">
        <f aca="false">D1627&amp;"_"&amp;Config!$B$4</f>
        <v>cald_general</v>
      </c>
      <c r="J1627" s="10" t="str">
        <f aca="false">"https://"&amp;B1627&amp;G1627&amp;"?utm_source="&amp;E1627&amp;"&amp;utm_medium="&amp;F1627&amp;"&amp;utm_campaign="&amp;H1627&amp;"&amp;utm_content="&amp;I1627</f>
        <v>https://firmsfinder.eu/?utm_source=linkedin_personal&amp;utm_medium=social&amp;utm_campaign=2610_ff_lansare&amp;utm_content=cald_general</v>
      </c>
    </row>
    <row r="1628" customFormat="false" ht="15" hidden="false" customHeight="false" outlineLevel="0" collapsed="false">
      <c r="A1628" s="10" t="s">
        <v>87</v>
      </c>
      <c r="B1628" s="10" t="str">
        <f aca="false">INDEX('Site-uri'!$B$2:$B$20,MATCH(A1628,'Site-uri'!$A$2:$A$20,0))</f>
        <v>firmsfinder.eu</v>
      </c>
      <c r="C1628" s="10" t="s">
        <v>104</v>
      </c>
      <c r="D1628" s="10" t="s">
        <v>231</v>
      </c>
      <c r="E1628" s="10" t="str">
        <f aca="false">INDEX(Canale!$C$2:$C$30,MATCH(C1628,Canale!$A$2:$A$30,0))</f>
        <v>linkedin_personal</v>
      </c>
      <c r="F1628" s="10" t="str">
        <f aca="false">INDEX(Canale!$D$2:$D$30,MATCH(C1628,Canale!$A$2:$A$30,0))</f>
        <v>social</v>
      </c>
      <c r="G1628" s="10" t="str">
        <f aca="false">INDEX('Site-uri'!$C$2:$C$20,MATCH(A1628,'Site-uri'!$A$2:$A$20,0))</f>
        <v>/</v>
      </c>
      <c r="H1628" s="10" t="str">
        <f aca="false">Config!$B$3</f>
        <v>2610_ff_lansare</v>
      </c>
      <c r="I1628" s="10" t="str">
        <f aca="false">D1628&amp;"_"&amp;Config!$B$4</f>
        <v>fierbinte_general</v>
      </c>
      <c r="J1628" s="10" t="str">
        <f aca="false">"https://"&amp;B1628&amp;G1628&amp;"?utm_source="&amp;E1628&amp;"&amp;utm_medium="&amp;F1628&amp;"&amp;utm_campaign="&amp;H1628&amp;"&amp;utm_content="&amp;I1628</f>
        <v>https://firmsfinder.eu/?utm_source=linkedin_personal&amp;utm_medium=social&amp;utm_campaign=2610_ff_lansare&amp;utm_content=fierbinte_general</v>
      </c>
    </row>
    <row r="1629" customFormat="false" ht="15" hidden="false" customHeight="false" outlineLevel="0" collapsed="false">
      <c r="A1629" s="10" t="s">
        <v>87</v>
      </c>
      <c r="B1629" s="10" t="str">
        <f aca="false">INDEX('Site-uri'!$B$2:$B$20,MATCH(A1629,'Site-uri'!$A$2:$A$20,0))</f>
        <v>firmsfinder.eu</v>
      </c>
      <c r="C1629" s="10" t="s">
        <v>104</v>
      </c>
      <c r="D1629" s="10" t="s">
        <v>237</v>
      </c>
      <c r="E1629" s="10" t="str">
        <f aca="false">INDEX(Canale!$C$2:$C$30,MATCH(C1629,Canale!$A$2:$A$30,0))</f>
        <v>linkedin_personal</v>
      </c>
      <c r="F1629" s="10" t="str">
        <f aca="false">INDEX(Canale!$D$2:$D$30,MATCH(C1629,Canale!$A$2:$A$30,0))</f>
        <v>social</v>
      </c>
      <c r="G1629" s="10" t="str">
        <f aca="false">INDEX('Site-uri'!$C$2:$C$20,MATCH(A1629,'Site-uri'!$A$2:$A$20,0))</f>
        <v>/</v>
      </c>
      <c r="H1629" s="10" t="str">
        <f aca="false">Config!$B$3</f>
        <v>2610_ff_lansare</v>
      </c>
      <c r="I1629" s="10" t="str">
        <f aca="false">D1629&amp;"_"&amp;Config!$B$4</f>
        <v>client_general</v>
      </c>
      <c r="J1629" s="10" t="str">
        <f aca="false">"https://"&amp;B1629&amp;G1629&amp;"?utm_source="&amp;E1629&amp;"&amp;utm_medium="&amp;F1629&amp;"&amp;utm_campaign="&amp;H1629&amp;"&amp;utm_content="&amp;I1629</f>
        <v>https://firmsfinder.eu/?utm_source=linkedin_personal&amp;utm_medium=social&amp;utm_campaign=2610_ff_lansare&amp;utm_content=client_general</v>
      </c>
    </row>
    <row r="1630" customFormat="false" ht="15" hidden="false" customHeight="false" outlineLevel="0" collapsed="false">
      <c r="A1630" s="10" t="s">
        <v>87</v>
      </c>
      <c r="B1630" s="10" t="str">
        <f aca="false">INDEX('Site-uri'!$B$2:$B$20,MATCH(A1630,'Site-uri'!$A$2:$A$20,0))</f>
        <v>firmsfinder.eu</v>
      </c>
      <c r="C1630" s="10" t="s">
        <v>109</v>
      </c>
      <c r="D1630" s="10" t="s">
        <v>219</v>
      </c>
      <c r="E1630" s="10" t="str">
        <f aca="false">INDEX(Canale!$C$2:$C$30,MATCH(C1630,Canale!$A$2:$A$30,0))</f>
        <v>linkedin_company</v>
      </c>
      <c r="F1630" s="10" t="str">
        <f aca="false">INDEX(Canale!$D$2:$D$30,MATCH(C1630,Canale!$A$2:$A$30,0))</f>
        <v>social</v>
      </c>
      <c r="G1630" s="10" t="str">
        <f aca="false">INDEX('Site-uri'!$C$2:$C$20,MATCH(A1630,'Site-uri'!$A$2:$A$20,0))</f>
        <v>/</v>
      </c>
      <c r="H1630" s="10" t="str">
        <f aca="false">Config!$B$3</f>
        <v>2610_ff_lansare</v>
      </c>
      <c r="I1630" s="10" t="str">
        <f aca="false">D1630&amp;"_"&amp;Config!$B$4</f>
        <v>rece_general</v>
      </c>
      <c r="J1630" s="10" t="str">
        <f aca="false">"https://"&amp;B1630&amp;G1630&amp;"?utm_source="&amp;E1630&amp;"&amp;utm_medium="&amp;F1630&amp;"&amp;utm_campaign="&amp;H1630&amp;"&amp;utm_content="&amp;I1630</f>
        <v>https://firmsfinder.eu/?utm_source=linkedin_company&amp;utm_medium=social&amp;utm_campaign=2610_ff_lansare&amp;utm_content=rece_general</v>
      </c>
    </row>
    <row r="1631" customFormat="false" ht="15" hidden="false" customHeight="false" outlineLevel="0" collapsed="false">
      <c r="A1631" s="10" t="s">
        <v>87</v>
      </c>
      <c r="B1631" s="10" t="str">
        <f aca="false">INDEX('Site-uri'!$B$2:$B$20,MATCH(A1631,'Site-uri'!$A$2:$A$20,0))</f>
        <v>firmsfinder.eu</v>
      </c>
      <c r="C1631" s="10" t="s">
        <v>109</v>
      </c>
      <c r="D1631" s="10" t="s">
        <v>225</v>
      </c>
      <c r="E1631" s="10" t="str">
        <f aca="false">INDEX(Canale!$C$2:$C$30,MATCH(C1631,Canale!$A$2:$A$30,0))</f>
        <v>linkedin_company</v>
      </c>
      <c r="F1631" s="10" t="str">
        <f aca="false">INDEX(Canale!$D$2:$D$30,MATCH(C1631,Canale!$A$2:$A$30,0))</f>
        <v>social</v>
      </c>
      <c r="G1631" s="10" t="str">
        <f aca="false">INDEX('Site-uri'!$C$2:$C$20,MATCH(A1631,'Site-uri'!$A$2:$A$20,0))</f>
        <v>/</v>
      </c>
      <c r="H1631" s="10" t="str">
        <f aca="false">Config!$B$3</f>
        <v>2610_ff_lansare</v>
      </c>
      <c r="I1631" s="10" t="str">
        <f aca="false">D1631&amp;"_"&amp;Config!$B$4</f>
        <v>cald_general</v>
      </c>
      <c r="J1631" s="10" t="str">
        <f aca="false">"https://"&amp;B1631&amp;G1631&amp;"?utm_source="&amp;E1631&amp;"&amp;utm_medium="&amp;F1631&amp;"&amp;utm_campaign="&amp;H1631&amp;"&amp;utm_content="&amp;I1631</f>
        <v>https://firmsfinder.eu/?utm_source=linkedin_company&amp;utm_medium=social&amp;utm_campaign=2610_ff_lansare&amp;utm_content=cald_general</v>
      </c>
    </row>
    <row r="1632" customFormat="false" ht="15" hidden="false" customHeight="false" outlineLevel="0" collapsed="false">
      <c r="A1632" s="10" t="s">
        <v>87</v>
      </c>
      <c r="B1632" s="10" t="str">
        <f aca="false">INDEX('Site-uri'!$B$2:$B$20,MATCH(A1632,'Site-uri'!$A$2:$A$20,0))</f>
        <v>firmsfinder.eu</v>
      </c>
      <c r="C1632" s="10" t="s">
        <v>109</v>
      </c>
      <c r="D1632" s="10" t="s">
        <v>231</v>
      </c>
      <c r="E1632" s="10" t="str">
        <f aca="false">INDEX(Canale!$C$2:$C$30,MATCH(C1632,Canale!$A$2:$A$30,0))</f>
        <v>linkedin_company</v>
      </c>
      <c r="F1632" s="10" t="str">
        <f aca="false">INDEX(Canale!$D$2:$D$30,MATCH(C1632,Canale!$A$2:$A$30,0))</f>
        <v>social</v>
      </c>
      <c r="G1632" s="10" t="str">
        <f aca="false">INDEX('Site-uri'!$C$2:$C$20,MATCH(A1632,'Site-uri'!$A$2:$A$20,0))</f>
        <v>/</v>
      </c>
      <c r="H1632" s="10" t="str">
        <f aca="false">Config!$B$3</f>
        <v>2610_ff_lansare</v>
      </c>
      <c r="I1632" s="10" t="str">
        <f aca="false">D1632&amp;"_"&amp;Config!$B$4</f>
        <v>fierbinte_general</v>
      </c>
      <c r="J1632" s="10" t="str">
        <f aca="false">"https://"&amp;B1632&amp;G1632&amp;"?utm_source="&amp;E1632&amp;"&amp;utm_medium="&amp;F1632&amp;"&amp;utm_campaign="&amp;H1632&amp;"&amp;utm_content="&amp;I1632</f>
        <v>https://firmsfinder.eu/?utm_source=linkedin_company&amp;utm_medium=social&amp;utm_campaign=2610_ff_lansare&amp;utm_content=fierbinte_general</v>
      </c>
    </row>
    <row r="1633" customFormat="false" ht="15" hidden="false" customHeight="false" outlineLevel="0" collapsed="false">
      <c r="A1633" s="10" t="s">
        <v>87</v>
      </c>
      <c r="B1633" s="10" t="str">
        <f aca="false">INDEX('Site-uri'!$B$2:$B$20,MATCH(A1633,'Site-uri'!$A$2:$A$20,0))</f>
        <v>firmsfinder.eu</v>
      </c>
      <c r="C1633" s="10" t="s">
        <v>109</v>
      </c>
      <c r="D1633" s="10" t="s">
        <v>237</v>
      </c>
      <c r="E1633" s="10" t="str">
        <f aca="false">INDEX(Canale!$C$2:$C$30,MATCH(C1633,Canale!$A$2:$A$30,0))</f>
        <v>linkedin_company</v>
      </c>
      <c r="F1633" s="10" t="str">
        <f aca="false">INDEX(Canale!$D$2:$D$30,MATCH(C1633,Canale!$A$2:$A$30,0))</f>
        <v>social</v>
      </c>
      <c r="G1633" s="10" t="str">
        <f aca="false">INDEX('Site-uri'!$C$2:$C$20,MATCH(A1633,'Site-uri'!$A$2:$A$20,0))</f>
        <v>/</v>
      </c>
      <c r="H1633" s="10" t="str">
        <f aca="false">Config!$B$3</f>
        <v>2610_ff_lansare</v>
      </c>
      <c r="I1633" s="10" t="str">
        <f aca="false">D1633&amp;"_"&amp;Config!$B$4</f>
        <v>client_general</v>
      </c>
      <c r="J1633" s="10" t="str">
        <f aca="false">"https://"&amp;B1633&amp;G1633&amp;"?utm_source="&amp;E1633&amp;"&amp;utm_medium="&amp;F1633&amp;"&amp;utm_campaign="&amp;H1633&amp;"&amp;utm_content="&amp;I1633</f>
        <v>https://firmsfinder.eu/?utm_source=linkedin_company&amp;utm_medium=social&amp;utm_campaign=2610_ff_lansare&amp;utm_content=client_general</v>
      </c>
    </row>
    <row r="1634" customFormat="false" ht="15" hidden="false" customHeight="false" outlineLevel="0" collapsed="false">
      <c r="A1634" s="10" t="s">
        <v>87</v>
      </c>
      <c r="B1634" s="10" t="str">
        <f aca="false">INDEX('Site-uri'!$B$2:$B$20,MATCH(A1634,'Site-uri'!$A$2:$A$20,0))</f>
        <v>firmsfinder.eu</v>
      </c>
      <c r="C1634" s="10" t="s">
        <v>112</v>
      </c>
      <c r="D1634" s="10" t="s">
        <v>219</v>
      </c>
      <c r="E1634" s="10" t="str">
        <f aca="false">INDEX(Canale!$C$2:$C$30,MATCH(C1634,Canale!$A$2:$A$30,0))</f>
        <v>linkedin_showcase</v>
      </c>
      <c r="F1634" s="10" t="str">
        <f aca="false">INDEX(Canale!$D$2:$D$30,MATCH(C1634,Canale!$A$2:$A$30,0))</f>
        <v>social</v>
      </c>
      <c r="G1634" s="10" t="str">
        <f aca="false">INDEX('Site-uri'!$C$2:$C$20,MATCH(A1634,'Site-uri'!$A$2:$A$20,0))</f>
        <v>/</v>
      </c>
      <c r="H1634" s="10" t="str">
        <f aca="false">Config!$B$3</f>
        <v>2610_ff_lansare</v>
      </c>
      <c r="I1634" s="10" t="str">
        <f aca="false">D1634&amp;"_"&amp;Config!$B$4</f>
        <v>rece_general</v>
      </c>
      <c r="J1634" s="10" t="str">
        <f aca="false">"https://"&amp;B1634&amp;G1634&amp;"?utm_source="&amp;E1634&amp;"&amp;utm_medium="&amp;F1634&amp;"&amp;utm_campaign="&amp;H1634&amp;"&amp;utm_content="&amp;I1634</f>
        <v>https://firmsfinder.eu/?utm_source=linkedin_showcase&amp;utm_medium=social&amp;utm_campaign=2610_ff_lansare&amp;utm_content=rece_general</v>
      </c>
    </row>
    <row r="1635" customFormat="false" ht="15" hidden="false" customHeight="false" outlineLevel="0" collapsed="false">
      <c r="A1635" s="10" t="s">
        <v>87</v>
      </c>
      <c r="B1635" s="10" t="str">
        <f aca="false">INDEX('Site-uri'!$B$2:$B$20,MATCH(A1635,'Site-uri'!$A$2:$A$20,0))</f>
        <v>firmsfinder.eu</v>
      </c>
      <c r="C1635" s="10" t="s">
        <v>112</v>
      </c>
      <c r="D1635" s="10" t="s">
        <v>225</v>
      </c>
      <c r="E1635" s="10" t="str">
        <f aca="false">INDEX(Canale!$C$2:$C$30,MATCH(C1635,Canale!$A$2:$A$30,0))</f>
        <v>linkedin_showcase</v>
      </c>
      <c r="F1635" s="10" t="str">
        <f aca="false">INDEX(Canale!$D$2:$D$30,MATCH(C1635,Canale!$A$2:$A$30,0))</f>
        <v>social</v>
      </c>
      <c r="G1635" s="10" t="str">
        <f aca="false">INDEX('Site-uri'!$C$2:$C$20,MATCH(A1635,'Site-uri'!$A$2:$A$20,0))</f>
        <v>/</v>
      </c>
      <c r="H1635" s="10" t="str">
        <f aca="false">Config!$B$3</f>
        <v>2610_ff_lansare</v>
      </c>
      <c r="I1635" s="10" t="str">
        <f aca="false">D1635&amp;"_"&amp;Config!$B$4</f>
        <v>cald_general</v>
      </c>
      <c r="J1635" s="10" t="str">
        <f aca="false">"https://"&amp;B1635&amp;G1635&amp;"?utm_source="&amp;E1635&amp;"&amp;utm_medium="&amp;F1635&amp;"&amp;utm_campaign="&amp;H1635&amp;"&amp;utm_content="&amp;I1635</f>
        <v>https://firmsfinder.eu/?utm_source=linkedin_showcase&amp;utm_medium=social&amp;utm_campaign=2610_ff_lansare&amp;utm_content=cald_general</v>
      </c>
    </row>
    <row r="1636" customFormat="false" ht="15" hidden="false" customHeight="false" outlineLevel="0" collapsed="false">
      <c r="A1636" s="10" t="s">
        <v>87</v>
      </c>
      <c r="B1636" s="10" t="str">
        <f aca="false">INDEX('Site-uri'!$B$2:$B$20,MATCH(A1636,'Site-uri'!$A$2:$A$20,0))</f>
        <v>firmsfinder.eu</v>
      </c>
      <c r="C1636" s="10" t="s">
        <v>112</v>
      </c>
      <c r="D1636" s="10" t="s">
        <v>231</v>
      </c>
      <c r="E1636" s="10" t="str">
        <f aca="false">INDEX(Canale!$C$2:$C$30,MATCH(C1636,Canale!$A$2:$A$30,0))</f>
        <v>linkedin_showcase</v>
      </c>
      <c r="F1636" s="10" t="str">
        <f aca="false">INDEX(Canale!$D$2:$D$30,MATCH(C1636,Canale!$A$2:$A$30,0))</f>
        <v>social</v>
      </c>
      <c r="G1636" s="10" t="str">
        <f aca="false">INDEX('Site-uri'!$C$2:$C$20,MATCH(A1636,'Site-uri'!$A$2:$A$20,0))</f>
        <v>/</v>
      </c>
      <c r="H1636" s="10" t="str">
        <f aca="false">Config!$B$3</f>
        <v>2610_ff_lansare</v>
      </c>
      <c r="I1636" s="10" t="str">
        <f aca="false">D1636&amp;"_"&amp;Config!$B$4</f>
        <v>fierbinte_general</v>
      </c>
      <c r="J1636" s="10" t="str">
        <f aca="false">"https://"&amp;B1636&amp;G1636&amp;"?utm_source="&amp;E1636&amp;"&amp;utm_medium="&amp;F1636&amp;"&amp;utm_campaign="&amp;H1636&amp;"&amp;utm_content="&amp;I1636</f>
        <v>https://firmsfinder.eu/?utm_source=linkedin_showcase&amp;utm_medium=social&amp;utm_campaign=2610_ff_lansare&amp;utm_content=fierbinte_general</v>
      </c>
    </row>
    <row r="1637" customFormat="false" ht="15" hidden="false" customHeight="false" outlineLevel="0" collapsed="false">
      <c r="A1637" s="10" t="s">
        <v>87</v>
      </c>
      <c r="B1637" s="10" t="str">
        <f aca="false">INDEX('Site-uri'!$B$2:$B$20,MATCH(A1637,'Site-uri'!$A$2:$A$20,0))</f>
        <v>firmsfinder.eu</v>
      </c>
      <c r="C1637" s="10" t="s">
        <v>112</v>
      </c>
      <c r="D1637" s="10" t="s">
        <v>237</v>
      </c>
      <c r="E1637" s="10" t="str">
        <f aca="false">INDEX(Canale!$C$2:$C$30,MATCH(C1637,Canale!$A$2:$A$30,0))</f>
        <v>linkedin_showcase</v>
      </c>
      <c r="F1637" s="10" t="str">
        <f aca="false">INDEX(Canale!$D$2:$D$30,MATCH(C1637,Canale!$A$2:$A$30,0))</f>
        <v>social</v>
      </c>
      <c r="G1637" s="10" t="str">
        <f aca="false">INDEX('Site-uri'!$C$2:$C$20,MATCH(A1637,'Site-uri'!$A$2:$A$20,0))</f>
        <v>/</v>
      </c>
      <c r="H1637" s="10" t="str">
        <f aca="false">Config!$B$3</f>
        <v>2610_ff_lansare</v>
      </c>
      <c r="I1637" s="10" t="str">
        <f aca="false">D1637&amp;"_"&amp;Config!$B$4</f>
        <v>client_general</v>
      </c>
      <c r="J1637" s="10" t="str">
        <f aca="false">"https://"&amp;B1637&amp;G1637&amp;"?utm_source="&amp;E1637&amp;"&amp;utm_medium="&amp;F1637&amp;"&amp;utm_campaign="&amp;H1637&amp;"&amp;utm_content="&amp;I1637</f>
        <v>https://firmsfinder.eu/?utm_source=linkedin_showcase&amp;utm_medium=social&amp;utm_campaign=2610_ff_lansare&amp;utm_content=client_general</v>
      </c>
    </row>
    <row r="1638" customFormat="false" ht="15" hidden="false" customHeight="false" outlineLevel="0" collapsed="false">
      <c r="A1638" s="10" t="s">
        <v>87</v>
      </c>
      <c r="B1638" s="10" t="str">
        <f aca="false">INDEX('Site-uri'!$B$2:$B$20,MATCH(A1638,'Site-uri'!$A$2:$A$20,0))</f>
        <v>firmsfinder.eu</v>
      </c>
      <c r="C1638" s="10" t="s">
        <v>115</v>
      </c>
      <c r="D1638" s="10" t="s">
        <v>219</v>
      </c>
      <c r="E1638" s="10" t="str">
        <f aca="false">INDEX(Canale!$C$2:$C$30,MATCH(C1638,Canale!$A$2:$A$30,0))</f>
        <v>linkedin_newsletter</v>
      </c>
      <c r="F1638" s="10" t="str">
        <f aca="false">INDEX(Canale!$D$2:$D$30,MATCH(C1638,Canale!$A$2:$A$30,0))</f>
        <v>social</v>
      </c>
      <c r="G1638" s="10" t="str">
        <f aca="false">INDEX('Site-uri'!$C$2:$C$20,MATCH(A1638,'Site-uri'!$A$2:$A$20,0))</f>
        <v>/</v>
      </c>
      <c r="H1638" s="10" t="str">
        <f aca="false">Config!$B$3</f>
        <v>2610_ff_lansare</v>
      </c>
      <c r="I1638" s="10" t="str">
        <f aca="false">D1638&amp;"_"&amp;Config!$B$4</f>
        <v>rece_general</v>
      </c>
      <c r="J1638" s="10" t="str">
        <f aca="false">"https://"&amp;B1638&amp;G1638&amp;"?utm_source="&amp;E1638&amp;"&amp;utm_medium="&amp;F1638&amp;"&amp;utm_campaign="&amp;H1638&amp;"&amp;utm_content="&amp;I1638</f>
        <v>https://firmsfinder.eu/?utm_source=linkedin_newsletter&amp;utm_medium=social&amp;utm_campaign=2610_ff_lansare&amp;utm_content=rece_general</v>
      </c>
    </row>
    <row r="1639" customFormat="false" ht="15" hidden="false" customHeight="false" outlineLevel="0" collapsed="false">
      <c r="A1639" s="10" t="s">
        <v>87</v>
      </c>
      <c r="B1639" s="10" t="str">
        <f aca="false">INDEX('Site-uri'!$B$2:$B$20,MATCH(A1639,'Site-uri'!$A$2:$A$20,0))</f>
        <v>firmsfinder.eu</v>
      </c>
      <c r="C1639" s="10" t="s">
        <v>115</v>
      </c>
      <c r="D1639" s="10" t="s">
        <v>225</v>
      </c>
      <c r="E1639" s="10" t="str">
        <f aca="false">INDEX(Canale!$C$2:$C$30,MATCH(C1639,Canale!$A$2:$A$30,0))</f>
        <v>linkedin_newsletter</v>
      </c>
      <c r="F1639" s="10" t="str">
        <f aca="false">INDEX(Canale!$D$2:$D$30,MATCH(C1639,Canale!$A$2:$A$30,0))</f>
        <v>social</v>
      </c>
      <c r="G1639" s="10" t="str">
        <f aca="false">INDEX('Site-uri'!$C$2:$C$20,MATCH(A1639,'Site-uri'!$A$2:$A$20,0))</f>
        <v>/</v>
      </c>
      <c r="H1639" s="10" t="str">
        <f aca="false">Config!$B$3</f>
        <v>2610_ff_lansare</v>
      </c>
      <c r="I1639" s="10" t="str">
        <f aca="false">D1639&amp;"_"&amp;Config!$B$4</f>
        <v>cald_general</v>
      </c>
      <c r="J1639" s="10" t="str">
        <f aca="false">"https://"&amp;B1639&amp;G1639&amp;"?utm_source="&amp;E1639&amp;"&amp;utm_medium="&amp;F1639&amp;"&amp;utm_campaign="&amp;H1639&amp;"&amp;utm_content="&amp;I1639</f>
        <v>https://firmsfinder.eu/?utm_source=linkedin_newsletter&amp;utm_medium=social&amp;utm_campaign=2610_ff_lansare&amp;utm_content=cald_general</v>
      </c>
    </row>
    <row r="1640" customFormat="false" ht="15" hidden="false" customHeight="false" outlineLevel="0" collapsed="false">
      <c r="A1640" s="10" t="s">
        <v>87</v>
      </c>
      <c r="B1640" s="10" t="str">
        <f aca="false">INDEX('Site-uri'!$B$2:$B$20,MATCH(A1640,'Site-uri'!$A$2:$A$20,0))</f>
        <v>firmsfinder.eu</v>
      </c>
      <c r="C1640" s="10" t="s">
        <v>115</v>
      </c>
      <c r="D1640" s="10" t="s">
        <v>231</v>
      </c>
      <c r="E1640" s="10" t="str">
        <f aca="false">INDEX(Canale!$C$2:$C$30,MATCH(C1640,Canale!$A$2:$A$30,0))</f>
        <v>linkedin_newsletter</v>
      </c>
      <c r="F1640" s="10" t="str">
        <f aca="false">INDEX(Canale!$D$2:$D$30,MATCH(C1640,Canale!$A$2:$A$30,0))</f>
        <v>social</v>
      </c>
      <c r="G1640" s="10" t="str">
        <f aca="false">INDEX('Site-uri'!$C$2:$C$20,MATCH(A1640,'Site-uri'!$A$2:$A$20,0))</f>
        <v>/</v>
      </c>
      <c r="H1640" s="10" t="str">
        <f aca="false">Config!$B$3</f>
        <v>2610_ff_lansare</v>
      </c>
      <c r="I1640" s="10" t="str">
        <f aca="false">D1640&amp;"_"&amp;Config!$B$4</f>
        <v>fierbinte_general</v>
      </c>
      <c r="J1640" s="10" t="str">
        <f aca="false">"https://"&amp;B1640&amp;G1640&amp;"?utm_source="&amp;E1640&amp;"&amp;utm_medium="&amp;F1640&amp;"&amp;utm_campaign="&amp;H1640&amp;"&amp;utm_content="&amp;I1640</f>
        <v>https://firmsfinder.eu/?utm_source=linkedin_newsletter&amp;utm_medium=social&amp;utm_campaign=2610_ff_lansare&amp;utm_content=fierbinte_general</v>
      </c>
    </row>
    <row r="1641" customFormat="false" ht="15" hidden="false" customHeight="false" outlineLevel="0" collapsed="false">
      <c r="A1641" s="10" t="s">
        <v>87</v>
      </c>
      <c r="B1641" s="10" t="str">
        <f aca="false">INDEX('Site-uri'!$B$2:$B$20,MATCH(A1641,'Site-uri'!$A$2:$A$20,0))</f>
        <v>firmsfinder.eu</v>
      </c>
      <c r="C1641" s="10" t="s">
        <v>115</v>
      </c>
      <c r="D1641" s="10" t="s">
        <v>237</v>
      </c>
      <c r="E1641" s="10" t="str">
        <f aca="false">INDEX(Canale!$C$2:$C$30,MATCH(C1641,Canale!$A$2:$A$30,0))</f>
        <v>linkedin_newsletter</v>
      </c>
      <c r="F1641" s="10" t="str">
        <f aca="false">INDEX(Canale!$D$2:$D$30,MATCH(C1641,Canale!$A$2:$A$30,0))</f>
        <v>social</v>
      </c>
      <c r="G1641" s="10" t="str">
        <f aca="false">INDEX('Site-uri'!$C$2:$C$20,MATCH(A1641,'Site-uri'!$A$2:$A$20,0))</f>
        <v>/</v>
      </c>
      <c r="H1641" s="10" t="str">
        <f aca="false">Config!$B$3</f>
        <v>2610_ff_lansare</v>
      </c>
      <c r="I1641" s="10" t="str">
        <f aca="false">D1641&amp;"_"&amp;Config!$B$4</f>
        <v>client_general</v>
      </c>
      <c r="J1641" s="10" t="str">
        <f aca="false">"https://"&amp;B1641&amp;G1641&amp;"?utm_source="&amp;E1641&amp;"&amp;utm_medium="&amp;F1641&amp;"&amp;utm_campaign="&amp;H1641&amp;"&amp;utm_content="&amp;I1641</f>
        <v>https://firmsfinder.eu/?utm_source=linkedin_newsletter&amp;utm_medium=social&amp;utm_campaign=2610_ff_lansare&amp;utm_content=client_general</v>
      </c>
    </row>
    <row r="1642" customFormat="false" ht="15" hidden="false" customHeight="false" outlineLevel="0" collapsed="false">
      <c r="A1642" s="10" t="s">
        <v>87</v>
      </c>
      <c r="B1642" s="10" t="str">
        <f aca="false">INDEX('Site-uri'!$B$2:$B$20,MATCH(A1642,'Site-uri'!$A$2:$A$20,0))</f>
        <v>firmsfinder.eu</v>
      </c>
      <c r="C1642" s="10" t="s">
        <v>118</v>
      </c>
      <c r="D1642" s="10" t="s">
        <v>219</v>
      </c>
      <c r="E1642" s="10" t="str">
        <f aca="false">INDEX(Canale!$C$2:$C$30,MATCH(C1642,Canale!$A$2:$A$30,0))</f>
        <v>linkedin_ads</v>
      </c>
      <c r="F1642" s="10" t="str">
        <f aca="false">INDEX(Canale!$D$2:$D$30,MATCH(C1642,Canale!$A$2:$A$30,0))</f>
        <v>paid_social</v>
      </c>
      <c r="G1642" s="10" t="str">
        <f aca="false">INDEX('Site-uri'!$C$2:$C$20,MATCH(A1642,'Site-uri'!$A$2:$A$20,0))</f>
        <v>/</v>
      </c>
      <c r="H1642" s="10" t="str">
        <f aca="false">Config!$B$3</f>
        <v>2610_ff_lansare</v>
      </c>
      <c r="I1642" s="10" t="str">
        <f aca="false">D1642&amp;"_"&amp;Config!$B$4</f>
        <v>rece_general</v>
      </c>
      <c r="J1642" s="10" t="str">
        <f aca="false">"https://"&amp;B1642&amp;G1642&amp;"?utm_source="&amp;E1642&amp;"&amp;utm_medium="&amp;F1642&amp;"&amp;utm_campaign="&amp;H1642&amp;"&amp;utm_content="&amp;I1642</f>
        <v>https://firmsfinder.eu/?utm_source=linkedin_ads&amp;utm_medium=paid_social&amp;utm_campaign=2610_ff_lansare&amp;utm_content=rece_general</v>
      </c>
    </row>
    <row r="1643" customFormat="false" ht="15" hidden="false" customHeight="false" outlineLevel="0" collapsed="false">
      <c r="A1643" s="10" t="s">
        <v>87</v>
      </c>
      <c r="B1643" s="10" t="str">
        <f aca="false">INDEX('Site-uri'!$B$2:$B$20,MATCH(A1643,'Site-uri'!$A$2:$A$20,0))</f>
        <v>firmsfinder.eu</v>
      </c>
      <c r="C1643" s="10" t="s">
        <v>118</v>
      </c>
      <c r="D1643" s="10" t="s">
        <v>225</v>
      </c>
      <c r="E1643" s="10" t="str">
        <f aca="false">INDEX(Canale!$C$2:$C$30,MATCH(C1643,Canale!$A$2:$A$30,0))</f>
        <v>linkedin_ads</v>
      </c>
      <c r="F1643" s="10" t="str">
        <f aca="false">INDEX(Canale!$D$2:$D$30,MATCH(C1643,Canale!$A$2:$A$30,0))</f>
        <v>paid_social</v>
      </c>
      <c r="G1643" s="10" t="str">
        <f aca="false">INDEX('Site-uri'!$C$2:$C$20,MATCH(A1643,'Site-uri'!$A$2:$A$20,0))</f>
        <v>/</v>
      </c>
      <c r="H1643" s="10" t="str">
        <f aca="false">Config!$B$3</f>
        <v>2610_ff_lansare</v>
      </c>
      <c r="I1643" s="10" t="str">
        <f aca="false">D1643&amp;"_"&amp;Config!$B$4</f>
        <v>cald_general</v>
      </c>
      <c r="J1643" s="10" t="str">
        <f aca="false">"https://"&amp;B1643&amp;G1643&amp;"?utm_source="&amp;E1643&amp;"&amp;utm_medium="&amp;F1643&amp;"&amp;utm_campaign="&amp;H1643&amp;"&amp;utm_content="&amp;I1643</f>
        <v>https://firmsfinder.eu/?utm_source=linkedin_ads&amp;utm_medium=paid_social&amp;utm_campaign=2610_ff_lansare&amp;utm_content=cald_general</v>
      </c>
    </row>
    <row r="1644" customFormat="false" ht="15" hidden="false" customHeight="false" outlineLevel="0" collapsed="false">
      <c r="A1644" s="10" t="s">
        <v>87</v>
      </c>
      <c r="B1644" s="10" t="str">
        <f aca="false">INDEX('Site-uri'!$B$2:$B$20,MATCH(A1644,'Site-uri'!$A$2:$A$20,0))</f>
        <v>firmsfinder.eu</v>
      </c>
      <c r="C1644" s="10" t="s">
        <v>118</v>
      </c>
      <c r="D1644" s="10" t="s">
        <v>231</v>
      </c>
      <c r="E1644" s="10" t="str">
        <f aca="false">INDEX(Canale!$C$2:$C$30,MATCH(C1644,Canale!$A$2:$A$30,0))</f>
        <v>linkedin_ads</v>
      </c>
      <c r="F1644" s="10" t="str">
        <f aca="false">INDEX(Canale!$D$2:$D$30,MATCH(C1644,Canale!$A$2:$A$30,0))</f>
        <v>paid_social</v>
      </c>
      <c r="G1644" s="10" t="str">
        <f aca="false">INDEX('Site-uri'!$C$2:$C$20,MATCH(A1644,'Site-uri'!$A$2:$A$20,0))</f>
        <v>/</v>
      </c>
      <c r="H1644" s="10" t="str">
        <f aca="false">Config!$B$3</f>
        <v>2610_ff_lansare</v>
      </c>
      <c r="I1644" s="10" t="str">
        <f aca="false">D1644&amp;"_"&amp;Config!$B$4</f>
        <v>fierbinte_general</v>
      </c>
      <c r="J1644" s="10" t="str">
        <f aca="false">"https://"&amp;B1644&amp;G1644&amp;"?utm_source="&amp;E1644&amp;"&amp;utm_medium="&amp;F1644&amp;"&amp;utm_campaign="&amp;H1644&amp;"&amp;utm_content="&amp;I1644</f>
        <v>https://firmsfinder.eu/?utm_source=linkedin_ads&amp;utm_medium=paid_social&amp;utm_campaign=2610_ff_lansare&amp;utm_content=fierbinte_general</v>
      </c>
    </row>
    <row r="1645" customFormat="false" ht="15" hidden="false" customHeight="false" outlineLevel="0" collapsed="false">
      <c r="A1645" s="10" t="s">
        <v>87</v>
      </c>
      <c r="B1645" s="10" t="str">
        <f aca="false">INDEX('Site-uri'!$B$2:$B$20,MATCH(A1645,'Site-uri'!$A$2:$A$20,0))</f>
        <v>firmsfinder.eu</v>
      </c>
      <c r="C1645" s="10" t="s">
        <v>118</v>
      </c>
      <c r="D1645" s="10" t="s">
        <v>237</v>
      </c>
      <c r="E1645" s="10" t="str">
        <f aca="false">INDEX(Canale!$C$2:$C$30,MATCH(C1645,Canale!$A$2:$A$30,0))</f>
        <v>linkedin_ads</v>
      </c>
      <c r="F1645" s="10" t="str">
        <f aca="false">INDEX(Canale!$D$2:$D$30,MATCH(C1645,Canale!$A$2:$A$30,0))</f>
        <v>paid_social</v>
      </c>
      <c r="G1645" s="10" t="str">
        <f aca="false">INDEX('Site-uri'!$C$2:$C$20,MATCH(A1645,'Site-uri'!$A$2:$A$20,0))</f>
        <v>/</v>
      </c>
      <c r="H1645" s="10" t="str">
        <f aca="false">Config!$B$3</f>
        <v>2610_ff_lansare</v>
      </c>
      <c r="I1645" s="10" t="str">
        <f aca="false">D1645&amp;"_"&amp;Config!$B$4</f>
        <v>client_general</v>
      </c>
      <c r="J1645" s="10" t="str">
        <f aca="false">"https://"&amp;B1645&amp;G1645&amp;"?utm_source="&amp;E1645&amp;"&amp;utm_medium="&amp;F1645&amp;"&amp;utm_campaign="&amp;H1645&amp;"&amp;utm_content="&amp;I1645</f>
        <v>https://firmsfinder.eu/?utm_source=linkedin_ads&amp;utm_medium=paid_social&amp;utm_campaign=2610_ff_lansare&amp;utm_content=client_general</v>
      </c>
    </row>
    <row r="1646" customFormat="false" ht="15" hidden="false" customHeight="false" outlineLevel="0" collapsed="false">
      <c r="A1646" s="10" t="s">
        <v>87</v>
      </c>
      <c r="B1646" s="10" t="str">
        <f aca="false">INDEX('Site-uri'!$B$2:$B$20,MATCH(A1646,'Site-uri'!$A$2:$A$20,0))</f>
        <v>firmsfinder.eu</v>
      </c>
      <c r="C1646" s="10" t="s">
        <v>122</v>
      </c>
      <c r="D1646" s="10" t="s">
        <v>219</v>
      </c>
      <c r="E1646" s="10" t="str">
        <f aca="false">INDEX(Canale!$C$2:$C$30,MATCH(C1646,Canale!$A$2:$A$30,0))</f>
        <v>linkedin_dm</v>
      </c>
      <c r="F1646" s="10" t="str">
        <f aca="false">INDEX(Canale!$D$2:$D$30,MATCH(C1646,Canale!$A$2:$A$30,0))</f>
        <v>dm</v>
      </c>
      <c r="G1646" s="10" t="str">
        <f aca="false">INDEX('Site-uri'!$C$2:$C$20,MATCH(A1646,'Site-uri'!$A$2:$A$20,0))</f>
        <v>/</v>
      </c>
      <c r="H1646" s="10" t="str">
        <f aca="false">Config!$B$3</f>
        <v>2610_ff_lansare</v>
      </c>
      <c r="I1646" s="10" t="str">
        <f aca="false">D1646&amp;"_"&amp;Config!$B$4</f>
        <v>rece_general</v>
      </c>
      <c r="J1646" s="10" t="str">
        <f aca="false">"https://"&amp;B1646&amp;G1646&amp;"?utm_source="&amp;E1646&amp;"&amp;utm_medium="&amp;F1646&amp;"&amp;utm_campaign="&amp;H1646&amp;"&amp;utm_content="&amp;I1646</f>
        <v>https://firmsfinder.eu/?utm_source=linkedin_dm&amp;utm_medium=dm&amp;utm_campaign=2610_ff_lansare&amp;utm_content=rece_general</v>
      </c>
    </row>
    <row r="1647" customFormat="false" ht="15" hidden="false" customHeight="false" outlineLevel="0" collapsed="false">
      <c r="A1647" s="10" t="s">
        <v>87</v>
      </c>
      <c r="B1647" s="10" t="str">
        <f aca="false">INDEX('Site-uri'!$B$2:$B$20,MATCH(A1647,'Site-uri'!$A$2:$A$20,0))</f>
        <v>firmsfinder.eu</v>
      </c>
      <c r="C1647" s="10" t="s">
        <v>122</v>
      </c>
      <c r="D1647" s="10" t="s">
        <v>225</v>
      </c>
      <c r="E1647" s="10" t="str">
        <f aca="false">INDEX(Canale!$C$2:$C$30,MATCH(C1647,Canale!$A$2:$A$30,0))</f>
        <v>linkedin_dm</v>
      </c>
      <c r="F1647" s="10" t="str">
        <f aca="false">INDEX(Canale!$D$2:$D$30,MATCH(C1647,Canale!$A$2:$A$30,0))</f>
        <v>dm</v>
      </c>
      <c r="G1647" s="10" t="str">
        <f aca="false">INDEX('Site-uri'!$C$2:$C$20,MATCH(A1647,'Site-uri'!$A$2:$A$20,0))</f>
        <v>/</v>
      </c>
      <c r="H1647" s="10" t="str">
        <f aca="false">Config!$B$3</f>
        <v>2610_ff_lansare</v>
      </c>
      <c r="I1647" s="10" t="str">
        <f aca="false">D1647&amp;"_"&amp;Config!$B$4</f>
        <v>cald_general</v>
      </c>
      <c r="J1647" s="10" t="str">
        <f aca="false">"https://"&amp;B1647&amp;G1647&amp;"?utm_source="&amp;E1647&amp;"&amp;utm_medium="&amp;F1647&amp;"&amp;utm_campaign="&amp;H1647&amp;"&amp;utm_content="&amp;I1647</f>
        <v>https://firmsfinder.eu/?utm_source=linkedin_dm&amp;utm_medium=dm&amp;utm_campaign=2610_ff_lansare&amp;utm_content=cald_general</v>
      </c>
    </row>
    <row r="1648" customFormat="false" ht="15" hidden="false" customHeight="false" outlineLevel="0" collapsed="false">
      <c r="A1648" s="10" t="s">
        <v>87</v>
      </c>
      <c r="B1648" s="10" t="str">
        <f aca="false">INDEX('Site-uri'!$B$2:$B$20,MATCH(A1648,'Site-uri'!$A$2:$A$20,0))</f>
        <v>firmsfinder.eu</v>
      </c>
      <c r="C1648" s="10" t="s">
        <v>122</v>
      </c>
      <c r="D1648" s="10" t="s">
        <v>231</v>
      </c>
      <c r="E1648" s="10" t="str">
        <f aca="false">INDEX(Canale!$C$2:$C$30,MATCH(C1648,Canale!$A$2:$A$30,0))</f>
        <v>linkedin_dm</v>
      </c>
      <c r="F1648" s="10" t="str">
        <f aca="false">INDEX(Canale!$D$2:$D$30,MATCH(C1648,Canale!$A$2:$A$30,0))</f>
        <v>dm</v>
      </c>
      <c r="G1648" s="10" t="str">
        <f aca="false">INDEX('Site-uri'!$C$2:$C$20,MATCH(A1648,'Site-uri'!$A$2:$A$20,0))</f>
        <v>/</v>
      </c>
      <c r="H1648" s="10" t="str">
        <f aca="false">Config!$B$3</f>
        <v>2610_ff_lansare</v>
      </c>
      <c r="I1648" s="10" t="str">
        <f aca="false">D1648&amp;"_"&amp;Config!$B$4</f>
        <v>fierbinte_general</v>
      </c>
      <c r="J1648" s="10" t="str">
        <f aca="false">"https://"&amp;B1648&amp;G1648&amp;"?utm_source="&amp;E1648&amp;"&amp;utm_medium="&amp;F1648&amp;"&amp;utm_campaign="&amp;H1648&amp;"&amp;utm_content="&amp;I1648</f>
        <v>https://firmsfinder.eu/?utm_source=linkedin_dm&amp;utm_medium=dm&amp;utm_campaign=2610_ff_lansare&amp;utm_content=fierbinte_general</v>
      </c>
    </row>
    <row r="1649" customFormat="false" ht="15" hidden="false" customHeight="false" outlineLevel="0" collapsed="false">
      <c r="A1649" s="10" t="s">
        <v>87</v>
      </c>
      <c r="B1649" s="10" t="str">
        <f aca="false">INDEX('Site-uri'!$B$2:$B$20,MATCH(A1649,'Site-uri'!$A$2:$A$20,0))</f>
        <v>firmsfinder.eu</v>
      </c>
      <c r="C1649" s="10" t="s">
        <v>122</v>
      </c>
      <c r="D1649" s="10" t="s">
        <v>237</v>
      </c>
      <c r="E1649" s="10" t="str">
        <f aca="false">INDEX(Canale!$C$2:$C$30,MATCH(C1649,Canale!$A$2:$A$30,0))</f>
        <v>linkedin_dm</v>
      </c>
      <c r="F1649" s="10" t="str">
        <f aca="false">INDEX(Canale!$D$2:$D$30,MATCH(C1649,Canale!$A$2:$A$30,0))</f>
        <v>dm</v>
      </c>
      <c r="G1649" s="10" t="str">
        <f aca="false">INDEX('Site-uri'!$C$2:$C$20,MATCH(A1649,'Site-uri'!$A$2:$A$20,0))</f>
        <v>/</v>
      </c>
      <c r="H1649" s="10" t="str">
        <f aca="false">Config!$B$3</f>
        <v>2610_ff_lansare</v>
      </c>
      <c r="I1649" s="10" t="str">
        <f aca="false">D1649&amp;"_"&amp;Config!$B$4</f>
        <v>client_general</v>
      </c>
      <c r="J1649" s="10" t="str">
        <f aca="false">"https://"&amp;B1649&amp;G1649&amp;"?utm_source="&amp;E1649&amp;"&amp;utm_medium="&amp;F1649&amp;"&amp;utm_campaign="&amp;H1649&amp;"&amp;utm_content="&amp;I1649</f>
        <v>https://firmsfinder.eu/?utm_source=linkedin_dm&amp;utm_medium=dm&amp;utm_campaign=2610_ff_lansare&amp;utm_content=client_general</v>
      </c>
    </row>
    <row r="1650" customFormat="false" ht="15" hidden="false" customHeight="false" outlineLevel="0" collapsed="false">
      <c r="A1650" s="10" t="s">
        <v>87</v>
      </c>
      <c r="B1650" s="10" t="str">
        <f aca="false">INDEX('Site-uri'!$B$2:$B$20,MATCH(A1650,'Site-uri'!$A$2:$A$20,0))</f>
        <v>firmsfinder.eu</v>
      </c>
      <c r="C1650" s="10" t="s">
        <v>126</v>
      </c>
      <c r="D1650" s="10" t="s">
        <v>219</v>
      </c>
      <c r="E1650" s="10" t="str">
        <f aca="false">INDEX(Canale!$C$2:$C$30,MATCH(C1650,Canale!$A$2:$A$30,0))</f>
        <v>email_outreach</v>
      </c>
      <c r="F1650" s="10" t="str">
        <f aca="false">INDEX(Canale!$D$2:$D$30,MATCH(C1650,Canale!$A$2:$A$30,0))</f>
        <v>email</v>
      </c>
      <c r="G1650" s="10" t="str">
        <f aca="false">INDEX('Site-uri'!$C$2:$C$20,MATCH(A1650,'Site-uri'!$A$2:$A$20,0))</f>
        <v>/</v>
      </c>
      <c r="H1650" s="10" t="str">
        <f aca="false">Config!$B$3</f>
        <v>2610_ff_lansare</v>
      </c>
      <c r="I1650" s="10" t="str">
        <f aca="false">D1650&amp;"_"&amp;Config!$B$4</f>
        <v>rece_general</v>
      </c>
      <c r="J1650" s="10" t="str">
        <f aca="false">"https://"&amp;B1650&amp;G1650&amp;"?utm_source="&amp;E1650&amp;"&amp;utm_medium="&amp;F1650&amp;"&amp;utm_campaign="&amp;H1650&amp;"&amp;utm_content="&amp;I1650</f>
        <v>https://firmsfinder.eu/?utm_source=email_outreach&amp;utm_medium=email&amp;utm_campaign=2610_ff_lansare&amp;utm_content=rece_general</v>
      </c>
    </row>
    <row r="1651" customFormat="false" ht="15" hidden="false" customHeight="false" outlineLevel="0" collapsed="false">
      <c r="A1651" s="10" t="s">
        <v>87</v>
      </c>
      <c r="B1651" s="10" t="str">
        <f aca="false">INDEX('Site-uri'!$B$2:$B$20,MATCH(A1651,'Site-uri'!$A$2:$A$20,0))</f>
        <v>firmsfinder.eu</v>
      </c>
      <c r="C1651" s="10" t="s">
        <v>126</v>
      </c>
      <c r="D1651" s="10" t="s">
        <v>225</v>
      </c>
      <c r="E1651" s="10" t="str">
        <f aca="false">INDEX(Canale!$C$2:$C$30,MATCH(C1651,Canale!$A$2:$A$30,0))</f>
        <v>email_outreach</v>
      </c>
      <c r="F1651" s="10" t="str">
        <f aca="false">INDEX(Canale!$D$2:$D$30,MATCH(C1651,Canale!$A$2:$A$30,0))</f>
        <v>email</v>
      </c>
      <c r="G1651" s="10" t="str">
        <f aca="false">INDEX('Site-uri'!$C$2:$C$20,MATCH(A1651,'Site-uri'!$A$2:$A$20,0))</f>
        <v>/</v>
      </c>
      <c r="H1651" s="10" t="str">
        <f aca="false">Config!$B$3</f>
        <v>2610_ff_lansare</v>
      </c>
      <c r="I1651" s="10" t="str">
        <f aca="false">D1651&amp;"_"&amp;Config!$B$4</f>
        <v>cald_general</v>
      </c>
      <c r="J1651" s="10" t="str">
        <f aca="false">"https://"&amp;B1651&amp;G1651&amp;"?utm_source="&amp;E1651&amp;"&amp;utm_medium="&amp;F1651&amp;"&amp;utm_campaign="&amp;H1651&amp;"&amp;utm_content="&amp;I1651</f>
        <v>https://firmsfinder.eu/?utm_source=email_outreach&amp;utm_medium=email&amp;utm_campaign=2610_ff_lansare&amp;utm_content=cald_general</v>
      </c>
    </row>
    <row r="1652" customFormat="false" ht="15" hidden="false" customHeight="false" outlineLevel="0" collapsed="false">
      <c r="A1652" s="10" t="s">
        <v>87</v>
      </c>
      <c r="B1652" s="10" t="str">
        <f aca="false">INDEX('Site-uri'!$B$2:$B$20,MATCH(A1652,'Site-uri'!$A$2:$A$20,0))</f>
        <v>firmsfinder.eu</v>
      </c>
      <c r="C1652" s="10" t="s">
        <v>126</v>
      </c>
      <c r="D1652" s="10" t="s">
        <v>231</v>
      </c>
      <c r="E1652" s="10" t="str">
        <f aca="false">INDEX(Canale!$C$2:$C$30,MATCH(C1652,Canale!$A$2:$A$30,0))</f>
        <v>email_outreach</v>
      </c>
      <c r="F1652" s="10" t="str">
        <f aca="false">INDEX(Canale!$D$2:$D$30,MATCH(C1652,Canale!$A$2:$A$30,0))</f>
        <v>email</v>
      </c>
      <c r="G1652" s="10" t="str">
        <f aca="false">INDEX('Site-uri'!$C$2:$C$20,MATCH(A1652,'Site-uri'!$A$2:$A$20,0))</f>
        <v>/</v>
      </c>
      <c r="H1652" s="10" t="str">
        <f aca="false">Config!$B$3</f>
        <v>2610_ff_lansare</v>
      </c>
      <c r="I1652" s="10" t="str">
        <f aca="false">D1652&amp;"_"&amp;Config!$B$4</f>
        <v>fierbinte_general</v>
      </c>
      <c r="J1652" s="10" t="str">
        <f aca="false">"https://"&amp;B1652&amp;G1652&amp;"?utm_source="&amp;E1652&amp;"&amp;utm_medium="&amp;F1652&amp;"&amp;utm_campaign="&amp;H1652&amp;"&amp;utm_content="&amp;I1652</f>
        <v>https://firmsfinder.eu/?utm_source=email_outreach&amp;utm_medium=email&amp;utm_campaign=2610_ff_lansare&amp;utm_content=fierbinte_general</v>
      </c>
    </row>
    <row r="1653" customFormat="false" ht="15" hidden="false" customHeight="false" outlineLevel="0" collapsed="false">
      <c r="A1653" s="10" t="s">
        <v>87</v>
      </c>
      <c r="B1653" s="10" t="str">
        <f aca="false">INDEX('Site-uri'!$B$2:$B$20,MATCH(A1653,'Site-uri'!$A$2:$A$20,0))</f>
        <v>firmsfinder.eu</v>
      </c>
      <c r="C1653" s="10" t="s">
        <v>126</v>
      </c>
      <c r="D1653" s="10" t="s">
        <v>237</v>
      </c>
      <c r="E1653" s="10" t="str">
        <f aca="false">INDEX(Canale!$C$2:$C$30,MATCH(C1653,Canale!$A$2:$A$30,0))</f>
        <v>email_outreach</v>
      </c>
      <c r="F1653" s="10" t="str">
        <f aca="false">INDEX(Canale!$D$2:$D$30,MATCH(C1653,Canale!$A$2:$A$30,0))</f>
        <v>email</v>
      </c>
      <c r="G1653" s="10" t="str">
        <f aca="false">INDEX('Site-uri'!$C$2:$C$20,MATCH(A1653,'Site-uri'!$A$2:$A$20,0))</f>
        <v>/</v>
      </c>
      <c r="H1653" s="10" t="str">
        <f aca="false">Config!$B$3</f>
        <v>2610_ff_lansare</v>
      </c>
      <c r="I1653" s="10" t="str">
        <f aca="false">D1653&amp;"_"&amp;Config!$B$4</f>
        <v>client_general</v>
      </c>
      <c r="J1653" s="10" t="str">
        <f aca="false">"https://"&amp;B1653&amp;G1653&amp;"?utm_source="&amp;E1653&amp;"&amp;utm_medium="&amp;F1653&amp;"&amp;utm_campaign="&amp;H1653&amp;"&amp;utm_content="&amp;I1653</f>
        <v>https://firmsfinder.eu/?utm_source=email_outreach&amp;utm_medium=email&amp;utm_campaign=2610_ff_lansare&amp;utm_content=client_general</v>
      </c>
    </row>
    <row r="1654" customFormat="false" ht="15" hidden="false" customHeight="false" outlineLevel="0" collapsed="false">
      <c r="A1654" s="10" t="s">
        <v>87</v>
      </c>
      <c r="B1654" s="10" t="str">
        <f aca="false">INDEX('Site-uri'!$B$2:$B$20,MATCH(A1654,'Site-uri'!$A$2:$A$20,0))</f>
        <v>firmsfinder.eu</v>
      </c>
      <c r="C1654" s="10" t="s">
        <v>131</v>
      </c>
      <c r="D1654" s="10" t="s">
        <v>219</v>
      </c>
      <c r="E1654" s="10" t="str">
        <f aca="false">INDEX(Canale!$C$2:$C$30,MATCH(C1654,Canale!$A$2:$A$30,0))</f>
        <v>newsletter</v>
      </c>
      <c r="F1654" s="10" t="str">
        <f aca="false">INDEX(Canale!$D$2:$D$30,MATCH(C1654,Canale!$A$2:$A$30,0))</f>
        <v>email</v>
      </c>
      <c r="G1654" s="10" t="str">
        <f aca="false">INDEX('Site-uri'!$C$2:$C$20,MATCH(A1654,'Site-uri'!$A$2:$A$20,0))</f>
        <v>/</v>
      </c>
      <c r="H1654" s="10" t="str">
        <f aca="false">Config!$B$3</f>
        <v>2610_ff_lansare</v>
      </c>
      <c r="I1654" s="10" t="str">
        <f aca="false">D1654&amp;"_"&amp;Config!$B$4</f>
        <v>rece_general</v>
      </c>
      <c r="J1654" s="10" t="str">
        <f aca="false">"https://"&amp;B1654&amp;G1654&amp;"?utm_source="&amp;E1654&amp;"&amp;utm_medium="&amp;F1654&amp;"&amp;utm_campaign="&amp;H1654&amp;"&amp;utm_content="&amp;I1654</f>
        <v>https://firmsfinder.eu/?utm_source=newsletter&amp;utm_medium=email&amp;utm_campaign=2610_ff_lansare&amp;utm_content=rece_general</v>
      </c>
    </row>
    <row r="1655" customFormat="false" ht="15" hidden="false" customHeight="false" outlineLevel="0" collapsed="false">
      <c r="A1655" s="10" t="s">
        <v>87</v>
      </c>
      <c r="B1655" s="10" t="str">
        <f aca="false">INDEX('Site-uri'!$B$2:$B$20,MATCH(A1655,'Site-uri'!$A$2:$A$20,0))</f>
        <v>firmsfinder.eu</v>
      </c>
      <c r="C1655" s="10" t="s">
        <v>131</v>
      </c>
      <c r="D1655" s="10" t="s">
        <v>225</v>
      </c>
      <c r="E1655" s="10" t="str">
        <f aca="false">INDEX(Canale!$C$2:$C$30,MATCH(C1655,Canale!$A$2:$A$30,0))</f>
        <v>newsletter</v>
      </c>
      <c r="F1655" s="10" t="str">
        <f aca="false">INDEX(Canale!$D$2:$D$30,MATCH(C1655,Canale!$A$2:$A$30,0))</f>
        <v>email</v>
      </c>
      <c r="G1655" s="10" t="str">
        <f aca="false">INDEX('Site-uri'!$C$2:$C$20,MATCH(A1655,'Site-uri'!$A$2:$A$20,0))</f>
        <v>/</v>
      </c>
      <c r="H1655" s="10" t="str">
        <f aca="false">Config!$B$3</f>
        <v>2610_ff_lansare</v>
      </c>
      <c r="I1655" s="10" t="str">
        <f aca="false">D1655&amp;"_"&amp;Config!$B$4</f>
        <v>cald_general</v>
      </c>
      <c r="J1655" s="10" t="str">
        <f aca="false">"https://"&amp;B1655&amp;G1655&amp;"?utm_source="&amp;E1655&amp;"&amp;utm_medium="&amp;F1655&amp;"&amp;utm_campaign="&amp;H1655&amp;"&amp;utm_content="&amp;I1655</f>
        <v>https://firmsfinder.eu/?utm_source=newsletter&amp;utm_medium=email&amp;utm_campaign=2610_ff_lansare&amp;utm_content=cald_general</v>
      </c>
    </row>
    <row r="1656" customFormat="false" ht="15" hidden="false" customHeight="false" outlineLevel="0" collapsed="false">
      <c r="A1656" s="10" t="s">
        <v>87</v>
      </c>
      <c r="B1656" s="10" t="str">
        <f aca="false">INDEX('Site-uri'!$B$2:$B$20,MATCH(A1656,'Site-uri'!$A$2:$A$20,0))</f>
        <v>firmsfinder.eu</v>
      </c>
      <c r="C1656" s="10" t="s">
        <v>131</v>
      </c>
      <c r="D1656" s="10" t="s">
        <v>231</v>
      </c>
      <c r="E1656" s="10" t="str">
        <f aca="false">INDEX(Canale!$C$2:$C$30,MATCH(C1656,Canale!$A$2:$A$30,0))</f>
        <v>newsletter</v>
      </c>
      <c r="F1656" s="10" t="str">
        <f aca="false">INDEX(Canale!$D$2:$D$30,MATCH(C1656,Canale!$A$2:$A$30,0))</f>
        <v>email</v>
      </c>
      <c r="G1656" s="10" t="str">
        <f aca="false">INDEX('Site-uri'!$C$2:$C$20,MATCH(A1656,'Site-uri'!$A$2:$A$20,0))</f>
        <v>/</v>
      </c>
      <c r="H1656" s="10" t="str">
        <f aca="false">Config!$B$3</f>
        <v>2610_ff_lansare</v>
      </c>
      <c r="I1656" s="10" t="str">
        <f aca="false">D1656&amp;"_"&amp;Config!$B$4</f>
        <v>fierbinte_general</v>
      </c>
      <c r="J1656" s="10" t="str">
        <f aca="false">"https://"&amp;B1656&amp;G1656&amp;"?utm_source="&amp;E1656&amp;"&amp;utm_medium="&amp;F1656&amp;"&amp;utm_campaign="&amp;H1656&amp;"&amp;utm_content="&amp;I1656</f>
        <v>https://firmsfinder.eu/?utm_source=newsletter&amp;utm_medium=email&amp;utm_campaign=2610_ff_lansare&amp;utm_content=fierbinte_general</v>
      </c>
    </row>
    <row r="1657" customFormat="false" ht="15" hidden="false" customHeight="false" outlineLevel="0" collapsed="false">
      <c r="A1657" s="10" t="s">
        <v>87</v>
      </c>
      <c r="B1657" s="10" t="str">
        <f aca="false">INDEX('Site-uri'!$B$2:$B$20,MATCH(A1657,'Site-uri'!$A$2:$A$20,0))</f>
        <v>firmsfinder.eu</v>
      </c>
      <c r="C1657" s="10" t="s">
        <v>131</v>
      </c>
      <c r="D1657" s="10" t="s">
        <v>237</v>
      </c>
      <c r="E1657" s="10" t="str">
        <f aca="false">INDEX(Canale!$C$2:$C$30,MATCH(C1657,Canale!$A$2:$A$30,0))</f>
        <v>newsletter</v>
      </c>
      <c r="F1657" s="10" t="str">
        <f aca="false">INDEX(Canale!$D$2:$D$30,MATCH(C1657,Canale!$A$2:$A$30,0))</f>
        <v>email</v>
      </c>
      <c r="G1657" s="10" t="str">
        <f aca="false">INDEX('Site-uri'!$C$2:$C$20,MATCH(A1657,'Site-uri'!$A$2:$A$20,0))</f>
        <v>/</v>
      </c>
      <c r="H1657" s="10" t="str">
        <f aca="false">Config!$B$3</f>
        <v>2610_ff_lansare</v>
      </c>
      <c r="I1657" s="10" t="str">
        <f aca="false">D1657&amp;"_"&amp;Config!$B$4</f>
        <v>client_general</v>
      </c>
      <c r="J1657" s="10" t="str">
        <f aca="false">"https://"&amp;B1657&amp;G1657&amp;"?utm_source="&amp;E1657&amp;"&amp;utm_medium="&amp;F1657&amp;"&amp;utm_campaign="&amp;H1657&amp;"&amp;utm_content="&amp;I1657</f>
        <v>https://firmsfinder.eu/?utm_source=newsletter&amp;utm_medium=email&amp;utm_campaign=2610_ff_lansare&amp;utm_content=client_general</v>
      </c>
    </row>
    <row r="1658" customFormat="false" ht="15" hidden="false" customHeight="false" outlineLevel="0" collapsed="false">
      <c r="A1658" s="10" t="s">
        <v>87</v>
      </c>
      <c r="B1658" s="10" t="str">
        <f aca="false">INDEX('Site-uri'!$B$2:$B$20,MATCH(A1658,'Site-uri'!$A$2:$A$20,0))</f>
        <v>firmsfinder.eu</v>
      </c>
      <c r="C1658" s="10" t="s">
        <v>134</v>
      </c>
      <c r="D1658" s="10" t="s">
        <v>219</v>
      </c>
      <c r="E1658" s="10" t="str">
        <f aca="false">INDEX(Canale!$C$2:$C$30,MATCH(C1658,Canale!$A$2:$A$30,0))</f>
        <v>email_signature</v>
      </c>
      <c r="F1658" s="10" t="str">
        <f aca="false">INDEX(Canale!$D$2:$D$30,MATCH(C1658,Canale!$A$2:$A$30,0))</f>
        <v>email</v>
      </c>
      <c r="G1658" s="10" t="str">
        <f aca="false">INDEX('Site-uri'!$C$2:$C$20,MATCH(A1658,'Site-uri'!$A$2:$A$20,0))</f>
        <v>/</v>
      </c>
      <c r="H1658" s="10" t="str">
        <f aca="false">Config!$B$3</f>
        <v>2610_ff_lansare</v>
      </c>
      <c r="I1658" s="10" t="str">
        <f aca="false">D1658&amp;"_"&amp;Config!$B$4</f>
        <v>rece_general</v>
      </c>
      <c r="J1658" s="10" t="str">
        <f aca="false">"https://"&amp;B1658&amp;G1658&amp;"?utm_source="&amp;E1658&amp;"&amp;utm_medium="&amp;F1658&amp;"&amp;utm_campaign="&amp;H1658&amp;"&amp;utm_content="&amp;I1658</f>
        <v>https://firmsfinder.eu/?utm_source=email_signature&amp;utm_medium=email&amp;utm_campaign=2610_ff_lansare&amp;utm_content=rece_general</v>
      </c>
    </row>
    <row r="1659" customFormat="false" ht="15" hidden="false" customHeight="false" outlineLevel="0" collapsed="false">
      <c r="A1659" s="10" t="s">
        <v>87</v>
      </c>
      <c r="B1659" s="10" t="str">
        <f aca="false">INDEX('Site-uri'!$B$2:$B$20,MATCH(A1659,'Site-uri'!$A$2:$A$20,0))</f>
        <v>firmsfinder.eu</v>
      </c>
      <c r="C1659" s="10" t="s">
        <v>134</v>
      </c>
      <c r="D1659" s="10" t="s">
        <v>225</v>
      </c>
      <c r="E1659" s="10" t="str">
        <f aca="false">INDEX(Canale!$C$2:$C$30,MATCH(C1659,Canale!$A$2:$A$30,0))</f>
        <v>email_signature</v>
      </c>
      <c r="F1659" s="10" t="str">
        <f aca="false">INDEX(Canale!$D$2:$D$30,MATCH(C1659,Canale!$A$2:$A$30,0))</f>
        <v>email</v>
      </c>
      <c r="G1659" s="10" t="str">
        <f aca="false">INDEX('Site-uri'!$C$2:$C$20,MATCH(A1659,'Site-uri'!$A$2:$A$20,0))</f>
        <v>/</v>
      </c>
      <c r="H1659" s="10" t="str">
        <f aca="false">Config!$B$3</f>
        <v>2610_ff_lansare</v>
      </c>
      <c r="I1659" s="10" t="str">
        <f aca="false">D1659&amp;"_"&amp;Config!$B$4</f>
        <v>cald_general</v>
      </c>
      <c r="J1659" s="10" t="str">
        <f aca="false">"https://"&amp;B1659&amp;G1659&amp;"?utm_source="&amp;E1659&amp;"&amp;utm_medium="&amp;F1659&amp;"&amp;utm_campaign="&amp;H1659&amp;"&amp;utm_content="&amp;I1659</f>
        <v>https://firmsfinder.eu/?utm_source=email_signature&amp;utm_medium=email&amp;utm_campaign=2610_ff_lansare&amp;utm_content=cald_general</v>
      </c>
    </row>
    <row r="1660" customFormat="false" ht="15" hidden="false" customHeight="false" outlineLevel="0" collapsed="false">
      <c r="A1660" s="10" t="s">
        <v>87</v>
      </c>
      <c r="B1660" s="10" t="str">
        <f aca="false">INDEX('Site-uri'!$B$2:$B$20,MATCH(A1660,'Site-uri'!$A$2:$A$20,0))</f>
        <v>firmsfinder.eu</v>
      </c>
      <c r="C1660" s="10" t="s">
        <v>134</v>
      </c>
      <c r="D1660" s="10" t="s">
        <v>231</v>
      </c>
      <c r="E1660" s="10" t="str">
        <f aca="false">INDEX(Canale!$C$2:$C$30,MATCH(C1660,Canale!$A$2:$A$30,0))</f>
        <v>email_signature</v>
      </c>
      <c r="F1660" s="10" t="str">
        <f aca="false">INDEX(Canale!$D$2:$D$30,MATCH(C1660,Canale!$A$2:$A$30,0))</f>
        <v>email</v>
      </c>
      <c r="G1660" s="10" t="str">
        <f aca="false">INDEX('Site-uri'!$C$2:$C$20,MATCH(A1660,'Site-uri'!$A$2:$A$20,0))</f>
        <v>/</v>
      </c>
      <c r="H1660" s="10" t="str">
        <f aca="false">Config!$B$3</f>
        <v>2610_ff_lansare</v>
      </c>
      <c r="I1660" s="10" t="str">
        <f aca="false">D1660&amp;"_"&amp;Config!$B$4</f>
        <v>fierbinte_general</v>
      </c>
      <c r="J1660" s="10" t="str">
        <f aca="false">"https://"&amp;B1660&amp;G1660&amp;"?utm_source="&amp;E1660&amp;"&amp;utm_medium="&amp;F1660&amp;"&amp;utm_campaign="&amp;H1660&amp;"&amp;utm_content="&amp;I1660</f>
        <v>https://firmsfinder.eu/?utm_source=email_signature&amp;utm_medium=email&amp;utm_campaign=2610_ff_lansare&amp;utm_content=fierbinte_general</v>
      </c>
    </row>
    <row r="1661" customFormat="false" ht="15" hidden="false" customHeight="false" outlineLevel="0" collapsed="false">
      <c r="A1661" s="10" t="s">
        <v>87</v>
      </c>
      <c r="B1661" s="10" t="str">
        <f aca="false">INDEX('Site-uri'!$B$2:$B$20,MATCH(A1661,'Site-uri'!$A$2:$A$20,0))</f>
        <v>firmsfinder.eu</v>
      </c>
      <c r="C1661" s="10" t="s">
        <v>134</v>
      </c>
      <c r="D1661" s="10" t="s">
        <v>237</v>
      </c>
      <c r="E1661" s="10" t="str">
        <f aca="false">INDEX(Canale!$C$2:$C$30,MATCH(C1661,Canale!$A$2:$A$30,0))</f>
        <v>email_signature</v>
      </c>
      <c r="F1661" s="10" t="str">
        <f aca="false">INDEX(Canale!$D$2:$D$30,MATCH(C1661,Canale!$A$2:$A$30,0))</f>
        <v>email</v>
      </c>
      <c r="G1661" s="10" t="str">
        <f aca="false">INDEX('Site-uri'!$C$2:$C$20,MATCH(A1661,'Site-uri'!$A$2:$A$20,0))</f>
        <v>/</v>
      </c>
      <c r="H1661" s="10" t="str">
        <f aca="false">Config!$B$3</f>
        <v>2610_ff_lansare</v>
      </c>
      <c r="I1661" s="10" t="str">
        <f aca="false">D1661&amp;"_"&amp;Config!$B$4</f>
        <v>client_general</v>
      </c>
      <c r="J1661" s="10" t="str">
        <f aca="false">"https://"&amp;B1661&amp;G1661&amp;"?utm_source="&amp;E1661&amp;"&amp;utm_medium="&amp;F1661&amp;"&amp;utm_campaign="&amp;H1661&amp;"&amp;utm_content="&amp;I1661</f>
        <v>https://firmsfinder.eu/?utm_source=email_signature&amp;utm_medium=email&amp;utm_campaign=2610_ff_lansare&amp;utm_content=client_general</v>
      </c>
    </row>
    <row r="1662" customFormat="false" ht="15" hidden="false" customHeight="false" outlineLevel="0" collapsed="false">
      <c r="A1662" s="10" t="s">
        <v>87</v>
      </c>
      <c r="B1662" s="10" t="str">
        <f aca="false">INDEX('Site-uri'!$B$2:$B$20,MATCH(A1662,'Site-uri'!$A$2:$A$20,0))</f>
        <v>firmsfinder.eu</v>
      </c>
      <c r="C1662" s="10" t="s">
        <v>137</v>
      </c>
      <c r="D1662" s="10" t="s">
        <v>219</v>
      </c>
      <c r="E1662" s="10" t="str">
        <f aca="false">INDEX(Canale!$C$2:$C$30,MATCH(C1662,Canale!$A$2:$A$30,0))</f>
        <v>whatsapp</v>
      </c>
      <c r="F1662" s="10" t="str">
        <f aca="false">INDEX(Canale!$D$2:$D$30,MATCH(C1662,Canale!$A$2:$A$30,0))</f>
        <v>dm</v>
      </c>
      <c r="G1662" s="10" t="str">
        <f aca="false">INDEX('Site-uri'!$C$2:$C$20,MATCH(A1662,'Site-uri'!$A$2:$A$20,0))</f>
        <v>/</v>
      </c>
      <c r="H1662" s="10" t="str">
        <f aca="false">Config!$B$3</f>
        <v>2610_ff_lansare</v>
      </c>
      <c r="I1662" s="10" t="str">
        <f aca="false">D1662&amp;"_"&amp;Config!$B$4</f>
        <v>rece_general</v>
      </c>
      <c r="J1662" s="10" t="str">
        <f aca="false">"https://"&amp;B1662&amp;G1662&amp;"?utm_source="&amp;E1662&amp;"&amp;utm_medium="&amp;F1662&amp;"&amp;utm_campaign="&amp;H1662&amp;"&amp;utm_content="&amp;I1662</f>
        <v>https://firmsfinder.eu/?utm_source=whatsapp&amp;utm_medium=dm&amp;utm_campaign=2610_ff_lansare&amp;utm_content=rece_general</v>
      </c>
    </row>
    <row r="1663" customFormat="false" ht="15" hidden="false" customHeight="false" outlineLevel="0" collapsed="false">
      <c r="A1663" s="10" t="s">
        <v>87</v>
      </c>
      <c r="B1663" s="10" t="str">
        <f aca="false">INDEX('Site-uri'!$B$2:$B$20,MATCH(A1663,'Site-uri'!$A$2:$A$20,0))</f>
        <v>firmsfinder.eu</v>
      </c>
      <c r="C1663" s="10" t="s">
        <v>137</v>
      </c>
      <c r="D1663" s="10" t="s">
        <v>225</v>
      </c>
      <c r="E1663" s="10" t="str">
        <f aca="false">INDEX(Canale!$C$2:$C$30,MATCH(C1663,Canale!$A$2:$A$30,0))</f>
        <v>whatsapp</v>
      </c>
      <c r="F1663" s="10" t="str">
        <f aca="false">INDEX(Canale!$D$2:$D$30,MATCH(C1663,Canale!$A$2:$A$30,0))</f>
        <v>dm</v>
      </c>
      <c r="G1663" s="10" t="str">
        <f aca="false">INDEX('Site-uri'!$C$2:$C$20,MATCH(A1663,'Site-uri'!$A$2:$A$20,0))</f>
        <v>/</v>
      </c>
      <c r="H1663" s="10" t="str">
        <f aca="false">Config!$B$3</f>
        <v>2610_ff_lansare</v>
      </c>
      <c r="I1663" s="10" t="str">
        <f aca="false">D1663&amp;"_"&amp;Config!$B$4</f>
        <v>cald_general</v>
      </c>
      <c r="J1663" s="10" t="str">
        <f aca="false">"https://"&amp;B1663&amp;G1663&amp;"?utm_source="&amp;E1663&amp;"&amp;utm_medium="&amp;F1663&amp;"&amp;utm_campaign="&amp;H1663&amp;"&amp;utm_content="&amp;I1663</f>
        <v>https://firmsfinder.eu/?utm_source=whatsapp&amp;utm_medium=dm&amp;utm_campaign=2610_ff_lansare&amp;utm_content=cald_general</v>
      </c>
    </row>
    <row r="1664" customFormat="false" ht="15" hidden="false" customHeight="false" outlineLevel="0" collapsed="false">
      <c r="A1664" s="10" t="s">
        <v>87</v>
      </c>
      <c r="B1664" s="10" t="str">
        <f aca="false">INDEX('Site-uri'!$B$2:$B$20,MATCH(A1664,'Site-uri'!$A$2:$A$20,0))</f>
        <v>firmsfinder.eu</v>
      </c>
      <c r="C1664" s="10" t="s">
        <v>137</v>
      </c>
      <c r="D1664" s="10" t="s">
        <v>231</v>
      </c>
      <c r="E1664" s="10" t="str">
        <f aca="false">INDEX(Canale!$C$2:$C$30,MATCH(C1664,Canale!$A$2:$A$30,0))</f>
        <v>whatsapp</v>
      </c>
      <c r="F1664" s="10" t="str">
        <f aca="false">INDEX(Canale!$D$2:$D$30,MATCH(C1664,Canale!$A$2:$A$30,0))</f>
        <v>dm</v>
      </c>
      <c r="G1664" s="10" t="str">
        <f aca="false">INDEX('Site-uri'!$C$2:$C$20,MATCH(A1664,'Site-uri'!$A$2:$A$20,0))</f>
        <v>/</v>
      </c>
      <c r="H1664" s="10" t="str">
        <f aca="false">Config!$B$3</f>
        <v>2610_ff_lansare</v>
      </c>
      <c r="I1664" s="10" t="str">
        <f aca="false">D1664&amp;"_"&amp;Config!$B$4</f>
        <v>fierbinte_general</v>
      </c>
      <c r="J1664" s="10" t="str">
        <f aca="false">"https://"&amp;B1664&amp;G1664&amp;"?utm_source="&amp;E1664&amp;"&amp;utm_medium="&amp;F1664&amp;"&amp;utm_campaign="&amp;H1664&amp;"&amp;utm_content="&amp;I1664</f>
        <v>https://firmsfinder.eu/?utm_source=whatsapp&amp;utm_medium=dm&amp;utm_campaign=2610_ff_lansare&amp;utm_content=fierbinte_general</v>
      </c>
    </row>
    <row r="1665" customFormat="false" ht="15" hidden="false" customHeight="false" outlineLevel="0" collapsed="false">
      <c r="A1665" s="10" t="s">
        <v>87</v>
      </c>
      <c r="B1665" s="10" t="str">
        <f aca="false">INDEX('Site-uri'!$B$2:$B$20,MATCH(A1665,'Site-uri'!$A$2:$A$20,0))</f>
        <v>firmsfinder.eu</v>
      </c>
      <c r="C1665" s="10" t="s">
        <v>137</v>
      </c>
      <c r="D1665" s="10" t="s">
        <v>237</v>
      </c>
      <c r="E1665" s="10" t="str">
        <f aca="false">INDEX(Canale!$C$2:$C$30,MATCH(C1665,Canale!$A$2:$A$30,0))</f>
        <v>whatsapp</v>
      </c>
      <c r="F1665" s="10" t="str">
        <f aca="false">INDEX(Canale!$D$2:$D$30,MATCH(C1665,Canale!$A$2:$A$30,0))</f>
        <v>dm</v>
      </c>
      <c r="G1665" s="10" t="str">
        <f aca="false">INDEX('Site-uri'!$C$2:$C$20,MATCH(A1665,'Site-uri'!$A$2:$A$20,0))</f>
        <v>/</v>
      </c>
      <c r="H1665" s="10" t="str">
        <f aca="false">Config!$B$3</f>
        <v>2610_ff_lansare</v>
      </c>
      <c r="I1665" s="10" t="str">
        <f aca="false">D1665&amp;"_"&amp;Config!$B$4</f>
        <v>client_general</v>
      </c>
      <c r="J1665" s="10" t="str">
        <f aca="false">"https://"&amp;B1665&amp;G1665&amp;"?utm_source="&amp;E1665&amp;"&amp;utm_medium="&amp;F1665&amp;"&amp;utm_campaign="&amp;H1665&amp;"&amp;utm_content="&amp;I1665</f>
        <v>https://firmsfinder.eu/?utm_source=whatsapp&amp;utm_medium=dm&amp;utm_campaign=2610_ff_lansare&amp;utm_content=client_general</v>
      </c>
    </row>
    <row r="1666" customFormat="false" ht="15" hidden="false" customHeight="false" outlineLevel="0" collapsed="false">
      <c r="A1666" s="10" t="s">
        <v>87</v>
      </c>
      <c r="B1666" s="10" t="str">
        <f aca="false">INDEX('Site-uri'!$B$2:$B$20,MATCH(A1666,'Site-uri'!$A$2:$A$20,0))</f>
        <v>firmsfinder.eu</v>
      </c>
      <c r="C1666" s="10" t="s">
        <v>141</v>
      </c>
      <c r="D1666" s="10" t="s">
        <v>219</v>
      </c>
      <c r="E1666" s="10" t="str">
        <f aca="false">INDEX(Canale!$C$2:$C$30,MATCH(C1666,Canale!$A$2:$A$30,0))</f>
        <v>google</v>
      </c>
      <c r="F1666" s="10" t="str">
        <f aca="false">INDEX(Canale!$D$2:$D$30,MATCH(C1666,Canale!$A$2:$A$30,0))</f>
        <v>cpc</v>
      </c>
      <c r="G1666" s="10" t="str">
        <f aca="false">INDEX('Site-uri'!$C$2:$C$20,MATCH(A1666,'Site-uri'!$A$2:$A$20,0))</f>
        <v>/</v>
      </c>
      <c r="H1666" s="10" t="str">
        <f aca="false">Config!$B$3</f>
        <v>2610_ff_lansare</v>
      </c>
      <c r="I1666" s="10" t="str">
        <f aca="false">D1666&amp;"_"&amp;Config!$B$4</f>
        <v>rece_general</v>
      </c>
      <c r="J1666" s="10" t="str">
        <f aca="false">"https://"&amp;B1666&amp;G1666&amp;"?utm_source="&amp;E1666&amp;"&amp;utm_medium="&amp;F1666&amp;"&amp;utm_campaign="&amp;H1666&amp;"&amp;utm_content="&amp;I1666</f>
        <v>https://firmsfinder.eu/?utm_source=google&amp;utm_medium=cpc&amp;utm_campaign=2610_ff_lansare&amp;utm_content=rece_general</v>
      </c>
    </row>
    <row r="1667" customFormat="false" ht="15" hidden="false" customHeight="false" outlineLevel="0" collapsed="false">
      <c r="A1667" s="10" t="s">
        <v>87</v>
      </c>
      <c r="B1667" s="10" t="str">
        <f aca="false">INDEX('Site-uri'!$B$2:$B$20,MATCH(A1667,'Site-uri'!$A$2:$A$20,0))</f>
        <v>firmsfinder.eu</v>
      </c>
      <c r="C1667" s="10" t="s">
        <v>141</v>
      </c>
      <c r="D1667" s="10" t="s">
        <v>225</v>
      </c>
      <c r="E1667" s="10" t="str">
        <f aca="false">INDEX(Canale!$C$2:$C$30,MATCH(C1667,Canale!$A$2:$A$30,0))</f>
        <v>google</v>
      </c>
      <c r="F1667" s="10" t="str">
        <f aca="false">INDEX(Canale!$D$2:$D$30,MATCH(C1667,Canale!$A$2:$A$30,0))</f>
        <v>cpc</v>
      </c>
      <c r="G1667" s="10" t="str">
        <f aca="false">INDEX('Site-uri'!$C$2:$C$20,MATCH(A1667,'Site-uri'!$A$2:$A$20,0))</f>
        <v>/</v>
      </c>
      <c r="H1667" s="10" t="str">
        <f aca="false">Config!$B$3</f>
        <v>2610_ff_lansare</v>
      </c>
      <c r="I1667" s="10" t="str">
        <f aca="false">D1667&amp;"_"&amp;Config!$B$4</f>
        <v>cald_general</v>
      </c>
      <c r="J1667" s="10" t="str">
        <f aca="false">"https://"&amp;B1667&amp;G1667&amp;"?utm_source="&amp;E1667&amp;"&amp;utm_medium="&amp;F1667&amp;"&amp;utm_campaign="&amp;H1667&amp;"&amp;utm_content="&amp;I1667</f>
        <v>https://firmsfinder.eu/?utm_source=google&amp;utm_medium=cpc&amp;utm_campaign=2610_ff_lansare&amp;utm_content=cald_general</v>
      </c>
    </row>
    <row r="1668" customFormat="false" ht="15" hidden="false" customHeight="false" outlineLevel="0" collapsed="false">
      <c r="A1668" s="10" t="s">
        <v>87</v>
      </c>
      <c r="B1668" s="10" t="str">
        <f aca="false">INDEX('Site-uri'!$B$2:$B$20,MATCH(A1668,'Site-uri'!$A$2:$A$20,0))</f>
        <v>firmsfinder.eu</v>
      </c>
      <c r="C1668" s="10" t="s">
        <v>141</v>
      </c>
      <c r="D1668" s="10" t="s">
        <v>231</v>
      </c>
      <c r="E1668" s="10" t="str">
        <f aca="false">INDEX(Canale!$C$2:$C$30,MATCH(C1668,Canale!$A$2:$A$30,0))</f>
        <v>google</v>
      </c>
      <c r="F1668" s="10" t="str">
        <f aca="false">INDEX(Canale!$D$2:$D$30,MATCH(C1668,Canale!$A$2:$A$30,0))</f>
        <v>cpc</v>
      </c>
      <c r="G1668" s="10" t="str">
        <f aca="false">INDEX('Site-uri'!$C$2:$C$20,MATCH(A1668,'Site-uri'!$A$2:$A$20,0))</f>
        <v>/</v>
      </c>
      <c r="H1668" s="10" t="str">
        <f aca="false">Config!$B$3</f>
        <v>2610_ff_lansare</v>
      </c>
      <c r="I1668" s="10" t="str">
        <f aca="false">D1668&amp;"_"&amp;Config!$B$4</f>
        <v>fierbinte_general</v>
      </c>
      <c r="J1668" s="10" t="str">
        <f aca="false">"https://"&amp;B1668&amp;G1668&amp;"?utm_source="&amp;E1668&amp;"&amp;utm_medium="&amp;F1668&amp;"&amp;utm_campaign="&amp;H1668&amp;"&amp;utm_content="&amp;I1668</f>
        <v>https://firmsfinder.eu/?utm_source=google&amp;utm_medium=cpc&amp;utm_campaign=2610_ff_lansare&amp;utm_content=fierbinte_general</v>
      </c>
    </row>
    <row r="1669" customFormat="false" ht="15" hidden="false" customHeight="false" outlineLevel="0" collapsed="false">
      <c r="A1669" s="10" t="s">
        <v>87</v>
      </c>
      <c r="B1669" s="10" t="str">
        <f aca="false">INDEX('Site-uri'!$B$2:$B$20,MATCH(A1669,'Site-uri'!$A$2:$A$20,0))</f>
        <v>firmsfinder.eu</v>
      </c>
      <c r="C1669" s="10" t="s">
        <v>141</v>
      </c>
      <c r="D1669" s="10" t="s">
        <v>237</v>
      </c>
      <c r="E1669" s="10" t="str">
        <f aca="false">INDEX(Canale!$C$2:$C$30,MATCH(C1669,Canale!$A$2:$A$30,0))</f>
        <v>google</v>
      </c>
      <c r="F1669" s="10" t="str">
        <f aca="false">INDEX(Canale!$D$2:$D$30,MATCH(C1669,Canale!$A$2:$A$30,0))</f>
        <v>cpc</v>
      </c>
      <c r="G1669" s="10" t="str">
        <f aca="false">INDEX('Site-uri'!$C$2:$C$20,MATCH(A1669,'Site-uri'!$A$2:$A$20,0))</f>
        <v>/</v>
      </c>
      <c r="H1669" s="10" t="str">
        <f aca="false">Config!$B$3</f>
        <v>2610_ff_lansare</v>
      </c>
      <c r="I1669" s="10" t="str">
        <f aca="false">D1669&amp;"_"&amp;Config!$B$4</f>
        <v>client_general</v>
      </c>
      <c r="J1669" s="10" t="str">
        <f aca="false">"https://"&amp;B1669&amp;G1669&amp;"?utm_source="&amp;E1669&amp;"&amp;utm_medium="&amp;F1669&amp;"&amp;utm_campaign="&amp;H1669&amp;"&amp;utm_content="&amp;I1669</f>
        <v>https://firmsfinder.eu/?utm_source=google&amp;utm_medium=cpc&amp;utm_campaign=2610_ff_lansare&amp;utm_content=client_general</v>
      </c>
    </row>
    <row r="1670" customFormat="false" ht="15" hidden="false" customHeight="false" outlineLevel="0" collapsed="false">
      <c r="A1670" s="10" t="s">
        <v>87</v>
      </c>
      <c r="B1670" s="10" t="str">
        <f aca="false">INDEX('Site-uri'!$B$2:$B$20,MATCH(A1670,'Site-uri'!$A$2:$A$20,0))</f>
        <v>firmsfinder.eu</v>
      </c>
      <c r="C1670" s="10" t="s">
        <v>146</v>
      </c>
      <c r="D1670" s="10" t="s">
        <v>219</v>
      </c>
      <c r="E1670" s="10" t="str">
        <f aca="false">INDEX(Canale!$C$2:$C$30,MATCH(C1670,Canale!$A$2:$A$30,0))</f>
        <v>bing</v>
      </c>
      <c r="F1670" s="10" t="str">
        <f aca="false">INDEX(Canale!$D$2:$D$30,MATCH(C1670,Canale!$A$2:$A$30,0))</f>
        <v>cpc</v>
      </c>
      <c r="G1670" s="10" t="str">
        <f aca="false">INDEX('Site-uri'!$C$2:$C$20,MATCH(A1670,'Site-uri'!$A$2:$A$20,0))</f>
        <v>/</v>
      </c>
      <c r="H1670" s="10" t="str">
        <f aca="false">Config!$B$3</f>
        <v>2610_ff_lansare</v>
      </c>
      <c r="I1670" s="10" t="str">
        <f aca="false">D1670&amp;"_"&amp;Config!$B$4</f>
        <v>rece_general</v>
      </c>
      <c r="J1670" s="10" t="str">
        <f aca="false">"https://"&amp;B1670&amp;G1670&amp;"?utm_source="&amp;E1670&amp;"&amp;utm_medium="&amp;F1670&amp;"&amp;utm_campaign="&amp;H1670&amp;"&amp;utm_content="&amp;I1670</f>
        <v>https://firmsfinder.eu/?utm_source=bing&amp;utm_medium=cpc&amp;utm_campaign=2610_ff_lansare&amp;utm_content=rece_general</v>
      </c>
    </row>
    <row r="1671" customFormat="false" ht="15" hidden="false" customHeight="false" outlineLevel="0" collapsed="false">
      <c r="A1671" s="10" t="s">
        <v>87</v>
      </c>
      <c r="B1671" s="10" t="str">
        <f aca="false">INDEX('Site-uri'!$B$2:$B$20,MATCH(A1671,'Site-uri'!$A$2:$A$20,0))</f>
        <v>firmsfinder.eu</v>
      </c>
      <c r="C1671" s="10" t="s">
        <v>146</v>
      </c>
      <c r="D1671" s="10" t="s">
        <v>225</v>
      </c>
      <c r="E1671" s="10" t="str">
        <f aca="false">INDEX(Canale!$C$2:$C$30,MATCH(C1671,Canale!$A$2:$A$30,0))</f>
        <v>bing</v>
      </c>
      <c r="F1671" s="10" t="str">
        <f aca="false">INDEX(Canale!$D$2:$D$30,MATCH(C1671,Canale!$A$2:$A$30,0))</f>
        <v>cpc</v>
      </c>
      <c r="G1671" s="10" t="str">
        <f aca="false">INDEX('Site-uri'!$C$2:$C$20,MATCH(A1671,'Site-uri'!$A$2:$A$20,0))</f>
        <v>/</v>
      </c>
      <c r="H1671" s="10" t="str">
        <f aca="false">Config!$B$3</f>
        <v>2610_ff_lansare</v>
      </c>
      <c r="I1671" s="10" t="str">
        <f aca="false">D1671&amp;"_"&amp;Config!$B$4</f>
        <v>cald_general</v>
      </c>
      <c r="J1671" s="10" t="str">
        <f aca="false">"https://"&amp;B1671&amp;G1671&amp;"?utm_source="&amp;E1671&amp;"&amp;utm_medium="&amp;F1671&amp;"&amp;utm_campaign="&amp;H1671&amp;"&amp;utm_content="&amp;I1671</f>
        <v>https://firmsfinder.eu/?utm_source=bing&amp;utm_medium=cpc&amp;utm_campaign=2610_ff_lansare&amp;utm_content=cald_general</v>
      </c>
    </row>
    <row r="1672" customFormat="false" ht="15" hidden="false" customHeight="false" outlineLevel="0" collapsed="false">
      <c r="A1672" s="10" t="s">
        <v>87</v>
      </c>
      <c r="B1672" s="10" t="str">
        <f aca="false">INDEX('Site-uri'!$B$2:$B$20,MATCH(A1672,'Site-uri'!$A$2:$A$20,0))</f>
        <v>firmsfinder.eu</v>
      </c>
      <c r="C1672" s="10" t="s">
        <v>146</v>
      </c>
      <c r="D1672" s="10" t="s">
        <v>231</v>
      </c>
      <c r="E1672" s="10" t="str">
        <f aca="false">INDEX(Canale!$C$2:$C$30,MATCH(C1672,Canale!$A$2:$A$30,0))</f>
        <v>bing</v>
      </c>
      <c r="F1672" s="10" t="str">
        <f aca="false">INDEX(Canale!$D$2:$D$30,MATCH(C1672,Canale!$A$2:$A$30,0))</f>
        <v>cpc</v>
      </c>
      <c r="G1672" s="10" t="str">
        <f aca="false">INDEX('Site-uri'!$C$2:$C$20,MATCH(A1672,'Site-uri'!$A$2:$A$20,0))</f>
        <v>/</v>
      </c>
      <c r="H1672" s="10" t="str">
        <f aca="false">Config!$B$3</f>
        <v>2610_ff_lansare</v>
      </c>
      <c r="I1672" s="10" t="str">
        <f aca="false">D1672&amp;"_"&amp;Config!$B$4</f>
        <v>fierbinte_general</v>
      </c>
      <c r="J1672" s="10" t="str">
        <f aca="false">"https://"&amp;B1672&amp;G1672&amp;"?utm_source="&amp;E1672&amp;"&amp;utm_medium="&amp;F1672&amp;"&amp;utm_campaign="&amp;H1672&amp;"&amp;utm_content="&amp;I1672</f>
        <v>https://firmsfinder.eu/?utm_source=bing&amp;utm_medium=cpc&amp;utm_campaign=2610_ff_lansare&amp;utm_content=fierbinte_general</v>
      </c>
    </row>
    <row r="1673" customFormat="false" ht="15" hidden="false" customHeight="false" outlineLevel="0" collapsed="false">
      <c r="A1673" s="10" t="s">
        <v>87</v>
      </c>
      <c r="B1673" s="10" t="str">
        <f aca="false">INDEX('Site-uri'!$B$2:$B$20,MATCH(A1673,'Site-uri'!$A$2:$A$20,0))</f>
        <v>firmsfinder.eu</v>
      </c>
      <c r="C1673" s="10" t="s">
        <v>146</v>
      </c>
      <c r="D1673" s="10" t="s">
        <v>237</v>
      </c>
      <c r="E1673" s="10" t="str">
        <f aca="false">INDEX(Canale!$C$2:$C$30,MATCH(C1673,Canale!$A$2:$A$30,0))</f>
        <v>bing</v>
      </c>
      <c r="F1673" s="10" t="str">
        <f aca="false">INDEX(Canale!$D$2:$D$30,MATCH(C1673,Canale!$A$2:$A$30,0))</f>
        <v>cpc</v>
      </c>
      <c r="G1673" s="10" t="str">
        <f aca="false">INDEX('Site-uri'!$C$2:$C$20,MATCH(A1673,'Site-uri'!$A$2:$A$20,0))</f>
        <v>/</v>
      </c>
      <c r="H1673" s="10" t="str">
        <f aca="false">Config!$B$3</f>
        <v>2610_ff_lansare</v>
      </c>
      <c r="I1673" s="10" t="str">
        <f aca="false">D1673&amp;"_"&amp;Config!$B$4</f>
        <v>client_general</v>
      </c>
      <c r="J1673" s="10" t="str">
        <f aca="false">"https://"&amp;B1673&amp;G1673&amp;"?utm_source="&amp;E1673&amp;"&amp;utm_medium="&amp;F1673&amp;"&amp;utm_campaign="&amp;H1673&amp;"&amp;utm_content="&amp;I1673</f>
        <v>https://firmsfinder.eu/?utm_source=bing&amp;utm_medium=cpc&amp;utm_campaign=2610_ff_lansare&amp;utm_content=client_general</v>
      </c>
    </row>
    <row r="1674" customFormat="false" ht="15" hidden="false" customHeight="false" outlineLevel="0" collapsed="false">
      <c r="A1674" s="10" t="s">
        <v>87</v>
      </c>
      <c r="B1674" s="10" t="str">
        <f aca="false">INDEX('Site-uri'!$B$2:$B$20,MATCH(A1674,'Site-uri'!$A$2:$A$20,0))</f>
        <v>firmsfinder.eu</v>
      </c>
      <c r="C1674" s="10" t="s">
        <v>149</v>
      </c>
      <c r="D1674" s="10" t="s">
        <v>219</v>
      </c>
      <c r="E1674" s="10" t="str">
        <f aca="false">INDEX(Canale!$C$2:$C$30,MATCH(C1674,Canale!$A$2:$A$30,0))</f>
        <v>facebook</v>
      </c>
      <c r="F1674" s="10" t="str">
        <f aca="false">INDEX(Canale!$D$2:$D$30,MATCH(C1674,Canale!$A$2:$A$30,0))</f>
        <v>social</v>
      </c>
      <c r="G1674" s="10" t="str">
        <f aca="false">INDEX('Site-uri'!$C$2:$C$20,MATCH(A1674,'Site-uri'!$A$2:$A$20,0))</f>
        <v>/</v>
      </c>
      <c r="H1674" s="10" t="str">
        <f aca="false">Config!$B$3</f>
        <v>2610_ff_lansare</v>
      </c>
      <c r="I1674" s="10" t="str">
        <f aca="false">D1674&amp;"_"&amp;Config!$B$4</f>
        <v>rece_general</v>
      </c>
      <c r="J1674" s="10" t="str">
        <f aca="false">"https://"&amp;B1674&amp;G1674&amp;"?utm_source="&amp;E1674&amp;"&amp;utm_medium="&amp;F1674&amp;"&amp;utm_campaign="&amp;H1674&amp;"&amp;utm_content="&amp;I1674</f>
        <v>https://firmsfinder.eu/?utm_source=facebook&amp;utm_medium=social&amp;utm_campaign=2610_ff_lansare&amp;utm_content=rece_general</v>
      </c>
    </row>
    <row r="1675" customFormat="false" ht="15" hidden="false" customHeight="false" outlineLevel="0" collapsed="false">
      <c r="A1675" s="10" t="s">
        <v>87</v>
      </c>
      <c r="B1675" s="10" t="str">
        <f aca="false">INDEX('Site-uri'!$B$2:$B$20,MATCH(A1675,'Site-uri'!$A$2:$A$20,0))</f>
        <v>firmsfinder.eu</v>
      </c>
      <c r="C1675" s="10" t="s">
        <v>149</v>
      </c>
      <c r="D1675" s="10" t="s">
        <v>225</v>
      </c>
      <c r="E1675" s="10" t="str">
        <f aca="false">INDEX(Canale!$C$2:$C$30,MATCH(C1675,Canale!$A$2:$A$30,0))</f>
        <v>facebook</v>
      </c>
      <c r="F1675" s="10" t="str">
        <f aca="false">INDEX(Canale!$D$2:$D$30,MATCH(C1675,Canale!$A$2:$A$30,0))</f>
        <v>social</v>
      </c>
      <c r="G1675" s="10" t="str">
        <f aca="false">INDEX('Site-uri'!$C$2:$C$20,MATCH(A1675,'Site-uri'!$A$2:$A$20,0))</f>
        <v>/</v>
      </c>
      <c r="H1675" s="10" t="str">
        <f aca="false">Config!$B$3</f>
        <v>2610_ff_lansare</v>
      </c>
      <c r="I1675" s="10" t="str">
        <f aca="false">D1675&amp;"_"&amp;Config!$B$4</f>
        <v>cald_general</v>
      </c>
      <c r="J1675" s="10" t="str">
        <f aca="false">"https://"&amp;B1675&amp;G1675&amp;"?utm_source="&amp;E1675&amp;"&amp;utm_medium="&amp;F1675&amp;"&amp;utm_campaign="&amp;H1675&amp;"&amp;utm_content="&amp;I1675</f>
        <v>https://firmsfinder.eu/?utm_source=facebook&amp;utm_medium=social&amp;utm_campaign=2610_ff_lansare&amp;utm_content=cald_general</v>
      </c>
    </row>
    <row r="1676" customFormat="false" ht="15" hidden="false" customHeight="false" outlineLevel="0" collapsed="false">
      <c r="A1676" s="10" t="s">
        <v>87</v>
      </c>
      <c r="B1676" s="10" t="str">
        <f aca="false">INDEX('Site-uri'!$B$2:$B$20,MATCH(A1676,'Site-uri'!$A$2:$A$20,0))</f>
        <v>firmsfinder.eu</v>
      </c>
      <c r="C1676" s="10" t="s">
        <v>149</v>
      </c>
      <c r="D1676" s="10" t="s">
        <v>231</v>
      </c>
      <c r="E1676" s="10" t="str">
        <f aca="false">INDEX(Canale!$C$2:$C$30,MATCH(C1676,Canale!$A$2:$A$30,0))</f>
        <v>facebook</v>
      </c>
      <c r="F1676" s="10" t="str">
        <f aca="false">INDEX(Canale!$D$2:$D$30,MATCH(C1676,Canale!$A$2:$A$30,0))</f>
        <v>social</v>
      </c>
      <c r="G1676" s="10" t="str">
        <f aca="false">INDEX('Site-uri'!$C$2:$C$20,MATCH(A1676,'Site-uri'!$A$2:$A$20,0))</f>
        <v>/</v>
      </c>
      <c r="H1676" s="10" t="str">
        <f aca="false">Config!$B$3</f>
        <v>2610_ff_lansare</v>
      </c>
      <c r="I1676" s="10" t="str">
        <f aca="false">D1676&amp;"_"&amp;Config!$B$4</f>
        <v>fierbinte_general</v>
      </c>
      <c r="J1676" s="10" t="str">
        <f aca="false">"https://"&amp;B1676&amp;G1676&amp;"?utm_source="&amp;E1676&amp;"&amp;utm_medium="&amp;F1676&amp;"&amp;utm_campaign="&amp;H1676&amp;"&amp;utm_content="&amp;I1676</f>
        <v>https://firmsfinder.eu/?utm_source=facebook&amp;utm_medium=social&amp;utm_campaign=2610_ff_lansare&amp;utm_content=fierbinte_general</v>
      </c>
    </row>
    <row r="1677" customFormat="false" ht="15" hidden="false" customHeight="false" outlineLevel="0" collapsed="false">
      <c r="A1677" s="10" t="s">
        <v>87</v>
      </c>
      <c r="B1677" s="10" t="str">
        <f aca="false">INDEX('Site-uri'!$B$2:$B$20,MATCH(A1677,'Site-uri'!$A$2:$A$20,0))</f>
        <v>firmsfinder.eu</v>
      </c>
      <c r="C1677" s="10" t="s">
        <v>149</v>
      </c>
      <c r="D1677" s="10" t="s">
        <v>237</v>
      </c>
      <c r="E1677" s="10" t="str">
        <f aca="false">INDEX(Canale!$C$2:$C$30,MATCH(C1677,Canale!$A$2:$A$30,0))</f>
        <v>facebook</v>
      </c>
      <c r="F1677" s="10" t="str">
        <f aca="false">INDEX(Canale!$D$2:$D$30,MATCH(C1677,Canale!$A$2:$A$30,0))</f>
        <v>social</v>
      </c>
      <c r="G1677" s="10" t="str">
        <f aca="false">INDEX('Site-uri'!$C$2:$C$20,MATCH(A1677,'Site-uri'!$A$2:$A$20,0))</f>
        <v>/</v>
      </c>
      <c r="H1677" s="10" t="str">
        <f aca="false">Config!$B$3</f>
        <v>2610_ff_lansare</v>
      </c>
      <c r="I1677" s="10" t="str">
        <f aca="false">D1677&amp;"_"&amp;Config!$B$4</f>
        <v>client_general</v>
      </c>
      <c r="J1677" s="10" t="str">
        <f aca="false">"https://"&amp;B1677&amp;G1677&amp;"?utm_source="&amp;E1677&amp;"&amp;utm_medium="&amp;F1677&amp;"&amp;utm_campaign="&amp;H1677&amp;"&amp;utm_content="&amp;I1677</f>
        <v>https://firmsfinder.eu/?utm_source=facebook&amp;utm_medium=social&amp;utm_campaign=2610_ff_lansare&amp;utm_content=client_general</v>
      </c>
    </row>
    <row r="1678" customFormat="false" ht="15" hidden="false" customHeight="false" outlineLevel="0" collapsed="false">
      <c r="A1678" s="10" t="s">
        <v>87</v>
      </c>
      <c r="B1678" s="10" t="str">
        <f aca="false">INDEX('Site-uri'!$B$2:$B$20,MATCH(A1678,'Site-uri'!$A$2:$A$20,0))</f>
        <v>firmsfinder.eu</v>
      </c>
      <c r="C1678" s="10" t="s">
        <v>153</v>
      </c>
      <c r="D1678" s="10" t="s">
        <v>219</v>
      </c>
      <c r="E1678" s="10" t="str">
        <f aca="false">INDEX(Canale!$C$2:$C$30,MATCH(C1678,Canale!$A$2:$A$30,0))</f>
        <v>x</v>
      </c>
      <c r="F1678" s="10" t="str">
        <f aca="false">INDEX(Canale!$D$2:$D$30,MATCH(C1678,Canale!$A$2:$A$30,0))</f>
        <v>social</v>
      </c>
      <c r="G1678" s="10" t="str">
        <f aca="false">INDEX('Site-uri'!$C$2:$C$20,MATCH(A1678,'Site-uri'!$A$2:$A$20,0))</f>
        <v>/</v>
      </c>
      <c r="H1678" s="10" t="str">
        <f aca="false">Config!$B$3</f>
        <v>2610_ff_lansare</v>
      </c>
      <c r="I1678" s="10" t="str">
        <f aca="false">D1678&amp;"_"&amp;Config!$B$4</f>
        <v>rece_general</v>
      </c>
      <c r="J1678" s="10" t="str">
        <f aca="false">"https://"&amp;B1678&amp;G1678&amp;"?utm_source="&amp;E1678&amp;"&amp;utm_medium="&amp;F1678&amp;"&amp;utm_campaign="&amp;H1678&amp;"&amp;utm_content="&amp;I1678</f>
        <v>https://firmsfinder.eu/?utm_source=x&amp;utm_medium=social&amp;utm_campaign=2610_ff_lansare&amp;utm_content=rece_general</v>
      </c>
    </row>
    <row r="1679" customFormat="false" ht="15" hidden="false" customHeight="false" outlineLevel="0" collapsed="false">
      <c r="A1679" s="10" t="s">
        <v>87</v>
      </c>
      <c r="B1679" s="10" t="str">
        <f aca="false">INDEX('Site-uri'!$B$2:$B$20,MATCH(A1679,'Site-uri'!$A$2:$A$20,0))</f>
        <v>firmsfinder.eu</v>
      </c>
      <c r="C1679" s="10" t="s">
        <v>153</v>
      </c>
      <c r="D1679" s="10" t="s">
        <v>225</v>
      </c>
      <c r="E1679" s="10" t="str">
        <f aca="false">INDEX(Canale!$C$2:$C$30,MATCH(C1679,Canale!$A$2:$A$30,0))</f>
        <v>x</v>
      </c>
      <c r="F1679" s="10" t="str">
        <f aca="false">INDEX(Canale!$D$2:$D$30,MATCH(C1679,Canale!$A$2:$A$30,0))</f>
        <v>social</v>
      </c>
      <c r="G1679" s="10" t="str">
        <f aca="false">INDEX('Site-uri'!$C$2:$C$20,MATCH(A1679,'Site-uri'!$A$2:$A$20,0))</f>
        <v>/</v>
      </c>
      <c r="H1679" s="10" t="str">
        <f aca="false">Config!$B$3</f>
        <v>2610_ff_lansare</v>
      </c>
      <c r="I1679" s="10" t="str">
        <f aca="false">D1679&amp;"_"&amp;Config!$B$4</f>
        <v>cald_general</v>
      </c>
      <c r="J1679" s="10" t="str">
        <f aca="false">"https://"&amp;B1679&amp;G1679&amp;"?utm_source="&amp;E1679&amp;"&amp;utm_medium="&amp;F1679&amp;"&amp;utm_campaign="&amp;H1679&amp;"&amp;utm_content="&amp;I1679</f>
        <v>https://firmsfinder.eu/?utm_source=x&amp;utm_medium=social&amp;utm_campaign=2610_ff_lansare&amp;utm_content=cald_general</v>
      </c>
    </row>
    <row r="1680" customFormat="false" ht="15" hidden="false" customHeight="false" outlineLevel="0" collapsed="false">
      <c r="A1680" s="10" t="s">
        <v>87</v>
      </c>
      <c r="B1680" s="10" t="str">
        <f aca="false">INDEX('Site-uri'!$B$2:$B$20,MATCH(A1680,'Site-uri'!$A$2:$A$20,0))</f>
        <v>firmsfinder.eu</v>
      </c>
      <c r="C1680" s="10" t="s">
        <v>153</v>
      </c>
      <c r="D1680" s="10" t="s">
        <v>231</v>
      </c>
      <c r="E1680" s="10" t="str">
        <f aca="false">INDEX(Canale!$C$2:$C$30,MATCH(C1680,Canale!$A$2:$A$30,0))</f>
        <v>x</v>
      </c>
      <c r="F1680" s="10" t="str">
        <f aca="false">INDEX(Canale!$D$2:$D$30,MATCH(C1680,Canale!$A$2:$A$30,0))</f>
        <v>social</v>
      </c>
      <c r="G1680" s="10" t="str">
        <f aca="false">INDEX('Site-uri'!$C$2:$C$20,MATCH(A1680,'Site-uri'!$A$2:$A$20,0))</f>
        <v>/</v>
      </c>
      <c r="H1680" s="10" t="str">
        <f aca="false">Config!$B$3</f>
        <v>2610_ff_lansare</v>
      </c>
      <c r="I1680" s="10" t="str">
        <f aca="false">D1680&amp;"_"&amp;Config!$B$4</f>
        <v>fierbinte_general</v>
      </c>
      <c r="J1680" s="10" t="str">
        <f aca="false">"https://"&amp;B1680&amp;G1680&amp;"?utm_source="&amp;E1680&amp;"&amp;utm_medium="&amp;F1680&amp;"&amp;utm_campaign="&amp;H1680&amp;"&amp;utm_content="&amp;I1680</f>
        <v>https://firmsfinder.eu/?utm_source=x&amp;utm_medium=social&amp;utm_campaign=2610_ff_lansare&amp;utm_content=fierbinte_general</v>
      </c>
    </row>
    <row r="1681" customFormat="false" ht="15" hidden="false" customHeight="false" outlineLevel="0" collapsed="false">
      <c r="A1681" s="10" t="s">
        <v>87</v>
      </c>
      <c r="B1681" s="10" t="str">
        <f aca="false">INDEX('Site-uri'!$B$2:$B$20,MATCH(A1681,'Site-uri'!$A$2:$A$20,0))</f>
        <v>firmsfinder.eu</v>
      </c>
      <c r="C1681" s="10" t="s">
        <v>153</v>
      </c>
      <c r="D1681" s="10" t="s">
        <v>237</v>
      </c>
      <c r="E1681" s="10" t="str">
        <f aca="false">INDEX(Canale!$C$2:$C$30,MATCH(C1681,Canale!$A$2:$A$30,0))</f>
        <v>x</v>
      </c>
      <c r="F1681" s="10" t="str">
        <f aca="false">INDEX(Canale!$D$2:$D$30,MATCH(C1681,Canale!$A$2:$A$30,0))</f>
        <v>social</v>
      </c>
      <c r="G1681" s="10" t="str">
        <f aca="false">INDEX('Site-uri'!$C$2:$C$20,MATCH(A1681,'Site-uri'!$A$2:$A$20,0))</f>
        <v>/</v>
      </c>
      <c r="H1681" s="10" t="str">
        <f aca="false">Config!$B$3</f>
        <v>2610_ff_lansare</v>
      </c>
      <c r="I1681" s="10" t="str">
        <f aca="false">D1681&amp;"_"&amp;Config!$B$4</f>
        <v>client_general</v>
      </c>
      <c r="J1681" s="10" t="str">
        <f aca="false">"https://"&amp;B1681&amp;G1681&amp;"?utm_source="&amp;E1681&amp;"&amp;utm_medium="&amp;F1681&amp;"&amp;utm_campaign="&amp;H1681&amp;"&amp;utm_content="&amp;I1681</f>
        <v>https://firmsfinder.eu/?utm_source=x&amp;utm_medium=social&amp;utm_campaign=2610_ff_lansare&amp;utm_content=client_general</v>
      </c>
    </row>
    <row r="1682" customFormat="false" ht="15" hidden="false" customHeight="false" outlineLevel="0" collapsed="false">
      <c r="A1682" s="10" t="s">
        <v>87</v>
      </c>
      <c r="B1682" s="10" t="str">
        <f aca="false">INDEX('Site-uri'!$B$2:$B$20,MATCH(A1682,'Site-uri'!$A$2:$A$20,0))</f>
        <v>firmsfinder.eu</v>
      </c>
      <c r="C1682" s="10" t="s">
        <v>155</v>
      </c>
      <c r="D1682" s="10" t="s">
        <v>219</v>
      </c>
      <c r="E1682" s="10" t="str">
        <f aca="false">INDEX(Canale!$C$2:$C$30,MATCH(C1682,Canale!$A$2:$A$30,0))</f>
        <v>youtube</v>
      </c>
      <c r="F1682" s="10" t="str">
        <f aca="false">INDEX(Canale!$D$2:$D$30,MATCH(C1682,Canale!$A$2:$A$30,0))</f>
        <v>video</v>
      </c>
      <c r="G1682" s="10" t="str">
        <f aca="false">INDEX('Site-uri'!$C$2:$C$20,MATCH(A1682,'Site-uri'!$A$2:$A$20,0))</f>
        <v>/</v>
      </c>
      <c r="H1682" s="10" t="str">
        <f aca="false">Config!$B$3</f>
        <v>2610_ff_lansare</v>
      </c>
      <c r="I1682" s="10" t="str">
        <f aca="false">D1682&amp;"_"&amp;Config!$B$4</f>
        <v>rece_general</v>
      </c>
      <c r="J1682" s="10" t="str">
        <f aca="false">"https://"&amp;B1682&amp;G1682&amp;"?utm_source="&amp;E1682&amp;"&amp;utm_medium="&amp;F1682&amp;"&amp;utm_campaign="&amp;H1682&amp;"&amp;utm_content="&amp;I1682</f>
        <v>https://firmsfinder.eu/?utm_source=youtube&amp;utm_medium=video&amp;utm_campaign=2610_ff_lansare&amp;utm_content=rece_general</v>
      </c>
    </row>
    <row r="1683" customFormat="false" ht="15" hidden="false" customHeight="false" outlineLevel="0" collapsed="false">
      <c r="A1683" s="10" t="s">
        <v>87</v>
      </c>
      <c r="B1683" s="10" t="str">
        <f aca="false">INDEX('Site-uri'!$B$2:$B$20,MATCH(A1683,'Site-uri'!$A$2:$A$20,0))</f>
        <v>firmsfinder.eu</v>
      </c>
      <c r="C1683" s="10" t="s">
        <v>155</v>
      </c>
      <c r="D1683" s="10" t="s">
        <v>225</v>
      </c>
      <c r="E1683" s="10" t="str">
        <f aca="false">INDEX(Canale!$C$2:$C$30,MATCH(C1683,Canale!$A$2:$A$30,0))</f>
        <v>youtube</v>
      </c>
      <c r="F1683" s="10" t="str">
        <f aca="false">INDEX(Canale!$D$2:$D$30,MATCH(C1683,Canale!$A$2:$A$30,0))</f>
        <v>video</v>
      </c>
      <c r="G1683" s="10" t="str">
        <f aca="false">INDEX('Site-uri'!$C$2:$C$20,MATCH(A1683,'Site-uri'!$A$2:$A$20,0))</f>
        <v>/</v>
      </c>
      <c r="H1683" s="10" t="str">
        <f aca="false">Config!$B$3</f>
        <v>2610_ff_lansare</v>
      </c>
      <c r="I1683" s="10" t="str">
        <f aca="false">D1683&amp;"_"&amp;Config!$B$4</f>
        <v>cald_general</v>
      </c>
      <c r="J1683" s="10" t="str">
        <f aca="false">"https://"&amp;B1683&amp;G1683&amp;"?utm_source="&amp;E1683&amp;"&amp;utm_medium="&amp;F1683&amp;"&amp;utm_campaign="&amp;H1683&amp;"&amp;utm_content="&amp;I1683</f>
        <v>https://firmsfinder.eu/?utm_source=youtube&amp;utm_medium=video&amp;utm_campaign=2610_ff_lansare&amp;utm_content=cald_general</v>
      </c>
    </row>
    <row r="1684" customFormat="false" ht="15" hidden="false" customHeight="false" outlineLevel="0" collapsed="false">
      <c r="A1684" s="10" t="s">
        <v>87</v>
      </c>
      <c r="B1684" s="10" t="str">
        <f aca="false">INDEX('Site-uri'!$B$2:$B$20,MATCH(A1684,'Site-uri'!$A$2:$A$20,0))</f>
        <v>firmsfinder.eu</v>
      </c>
      <c r="C1684" s="10" t="s">
        <v>155</v>
      </c>
      <c r="D1684" s="10" t="s">
        <v>231</v>
      </c>
      <c r="E1684" s="10" t="str">
        <f aca="false">INDEX(Canale!$C$2:$C$30,MATCH(C1684,Canale!$A$2:$A$30,0))</f>
        <v>youtube</v>
      </c>
      <c r="F1684" s="10" t="str">
        <f aca="false">INDEX(Canale!$D$2:$D$30,MATCH(C1684,Canale!$A$2:$A$30,0))</f>
        <v>video</v>
      </c>
      <c r="G1684" s="10" t="str">
        <f aca="false">INDEX('Site-uri'!$C$2:$C$20,MATCH(A1684,'Site-uri'!$A$2:$A$20,0))</f>
        <v>/</v>
      </c>
      <c r="H1684" s="10" t="str">
        <f aca="false">Config!$B$3</f>
        <v>2610_ff_lansare</v>
      </c>
      <c r="I1684" s="10" t="str">
        <f aca="false">D1684&amp;"_"&amp;Config!$B$4</f>
        <v>fierbinte_general</v>
      </c>
      <c r="J1684" s="10" t="str">
        <f aca="false">"https://"&amp;B1684&amp;G1684&amp;"?utm_source="&amp;E1684&amp;"&amp;utm_medium="&amp;F1684&amp;"&amp;utm_campaign="&amp;H1684&amp;"&amp;utm_content="&amp;I1684</f>
        <v>https://firmsfinder.eu/?utm_source=youtube&amp;utm_medium=video&amp;utm_campaign=2610_ff_lansare&amp;utm_content=fierbinte_general</v>
      </c>
    </row>
    <row r="1685" customFormat="false" ht="15" hidden="false" customHeight="false" outlineLevel="0" collapsed="false">
      <c r="A1685" s="10" t="s">
        <v>87</v>
      </c>
      <c r="B1685" s="10" t="str">
        <f aca="false">INDEX('Site-uri'!$B$2:$B$20,MATCH(A1685,'Site-uri'!$A$2:$A$20,0))</f>
        <v>firmsfinder.eu</v>
      </c>
      <c r="C1685" s="10" t="s">
        <v>155</v>
      </c>
      <c r="D1685" s="10" t="s">
        <v>237</v>
      </c>
      <c r="E1685" s="10" t="str">
        <f aca="false">INDEX(Canale!$C$2:$C$30,MATCH(C1685,Canale!$A$2:$A$30,0))</f>
        <v>youtube</v>
      </c>
      <c r="F1685" s="10" t="str">
        <f aca="false">INDEX(Canale!$D$2:$D$30,MATCH(C1685,Canale!$A$2:$A$30,0))</f>
        <v>video</v>
      </c>
      <c r="G1685" s="10" t="str">
        <f aca="false">INDEX('Site-uri'!$C$2:$C$20,MATCH(A1685,'Site-uri'!$A$2:$A$20,0))</f>
        <v>/</v>
      </c>
      <c r="H1685" s="10" t="str">
        <f aca="false">Config!$B$3</f>
        <v>2610_ff_lansare</v>
      </c>
      <c r="I1685" s="10" t="str">
        <f aca="false">D1685&amp;"_"&amp;Config!$B$4</f>
        <v>client_general</v>
      </c>
      <c r="J1685" s="10" t="str">
        <f aca="false">"https://"&amp;B1685&amp;G1685&amp;"?utm_source="&amp;E1685&amp;"&amp;utm_medium="&amp;F1685&amp;"&amp;utm_campaign="&amp;H1685&amp;"&amp;utm_content="&amp;I1685</f>
        <v>https://firmsfinder.eu/?utm_source=youtube&amp;utm_medium=video&amp;utm_campaign=2610_ff_lansare&amp;utm_content=client_general</v>
      </c>
    </row>
    <row r="1686" customFormat="false" ht="15" hidden="false" customHeight="false" outlineLevel="0" collapsed="false">
      <c r="A1686" s="10" t="s">
        <v>87</v>
      </c>
      <c r="B1686" s="10" t="str">
        <f aca="false">INDEX('Site-uri'!$B$2:$B$20,MATCH(A1686,'Site-uri'!$A$2:$A$20,0))</f>
        <v>firmsfinder.eu</v>
      </c>
      <c r="C1686" s="10" t="s">
        <v>160</v>
      </c>
      <c r="D1686" s="10" t="s">
        <v>219</v>
      </c>
      <c r="E1686" s="10" t="str">
        <f aca="false">INDEX(Canale!$C$2:$C$30,MATCH(C1686,Canale!$A$2:$A$30,0))</f>
        <v>medium</v>
      </c>
      <c r="F1686" s="10" t="str">
        <f aca="false">INDEX(Canale!$D$2:$D$30,MATCH(C1686,Canale!$A$2:$A$30,0))</f>
        <v>content</v>
      </c>
      <c r="G1686" s="10" t="str">
        <f aca="false">INDEX('Site-uri'!$C$2:$C$20,MATCH(A1686,'Site-uri'!$A$2:$A$20,0))</f>
        <v>/</v>
      </c>
      <c r="H1686" s="10" t="str">
        <f aca="false">Config!$B$3</f>
        <v>2610_ff_lansare</v>
      </c>
      <c r="I1686" s="10" t="str">
        <f aca="false">D1686&amp;"_"&amp;Config!$B$4</f>
        <v>rece_general</v>
      </c>
      <c r="J1686" s="10" t="str">
        <f aca="false">"https://"&amp;B1686&amp;G1686&amp;"?utm_source="&amp;E1686&amp;"&amp;utm_medium="&amp;F1686&amp;"&amp;utm_campaign="&amp;H1686&amp;"&amp;utm_content="&amp;I1686</f>
        <v>https://firmsfinder.eu/?utm_source=medium&amp;utm_medium=content&amp;utm_campaign=2610_ff_lansare&amp;utm_content=rece_general</v>
      </c>
    </row>
    <row r="1687" customFormat="false" ht="15" hidden="false" customHeight="false" outlineLevel="0" collapsed="false">
      <c r="A1687" s="10" t="s">
        <v>87</v>
      </c>
      <c r="B1687" s="10" t="str">
        <f aca="false">INDEX('Site-uri'!$B$2:$B$20,MATCH(A1687,'Site-uri'!$A$2:$A$20,0))</f>
        <v>firmsfinder.eu</v>
      </c>
      <c r="C1687" s="10" t="s">
        <v>160</v>
      </c>
      <c r="D1687" s="10" t="s">
        <v>225</v>
      </c>
      <c r="E1687" s="10" t="str">
        <f aca="false">INDEX(Canale!$C$2:$C$30,MATCH(C1687,Canale!$A$2:$A$30,0))</f>
        <v>medium</v>
      </c>
      <c r="F1687" s="10" t="str">
        <f aca="false">INDEX(Canale!$D$2:$D$30,MATCH(C1687,Canale!$A$2:$A$30,0))</f>
        <v>content</v>
      </c>
      <c r="G1687" s="10" t="str">
        <f aca="false">INDEX('Site-uri'!$C$2:$C$20,MATCH(A1687,'Site-uri'!$A$2:$A$20,0))</f>
        <v>/</v>
      </c>
      <c r="H1687" s="10" t="str">
        <f aca="false">Config!$B$3</f>
        <v>2610_ff_lansare</v>
      </c>
      <c r="I1687" s="10" t="str">
        <f aca="false">D1687&amp;"_"&amp;Config!$B$4</f>
        <v>cald_general</v>
      </c>
      <c r="J1687" s="10" t="str">
        <f aca="false">"https://"&amp;B1687&amp;G1687&amp;"?utm_source="&amp;E1687&amp;"&amp;utm_medium="&amp;F1687&amp;"&amp;utm_campaign="&amp;H1687&amp;"&amp;utm_content="&amp;I1687</f>
        <v>https://firmsfinder.eu/?utm_source=medium&amp;utm_medium=content&amp;utm_campaign=2610_ff_lansare&amp;utm_content=cald_general</v>
      </c>
    </row>
    <row r="1688" customFormat="false" ht="15" hidden="false" customHeight="false" outlineLevel="0" collapsed="false">
      <c r="A1688" s="10" t="s">
        <v>87</v>
      </c>
      <c r="B1688" s="10" t="str">
        <f aca="false">INDEX('Site-uri'!$B$2:$B$20,MATCH(A1688,'Site-uri'!$A$2:$A$20,0))</f>
        <v>firmsfinder.eu</v>
      </c>
      <c r="C1688" s="10" t="s">
        <v>160</v>
      </c>
      <c r="D1688" s="10" t="s">
        <v>231</v>
      </c>
      <c r="E1688" s="10" t="str">
        <f aca="false">INDEX(Canale!$C$2:$C$30,MATCH(C1688,Canale!$A$2:$A$30,0))</f>
        <v>medium</v>
      </c>
      <c r="F1688" s="10" t="str">
        <f aca="false">INDEX(Canale!$D$2:$D$30,MATCH(C1688,Canale!$A$2:$A$30,0))</f>
        <v>content</v>
      </c>
      <c r="G1688" s="10" t="str">
        <f aca="false">INDEX('Site-uri'!$C$2:$C$20,MATCH(A1688,'Site-uri'!$A$2:$A$20,0))</f>
        <v>/</v>
      </c>
      <c r="H1688" s="10" t="str">
        <f aca="false">Config!$B$3</f>
        <v>2610_ff_lansare</v>
      </c>
      <c r="I1688" s="10" t="str">
        <f aca="false">D1688&amp;"_"&amp;Config!$B$4</f>
        <v>fierbinte_general</v>
      </c>
      <c r="J1688" s="10" t="str">
        <f aca="false">"https://"&amp;B1688&amp;G1688&amp;"?utm_source="&amp;E1688&amp;"&amp;utm_medium="&amp;F1688&amp;"&amp;utm_campaign="&amp;H1688&amp;"&amp;utm_content="&amp;I1688</f>
        <v>https://firmsfinder.eu/?utm_source=medium&amp;utm_medium=content&amp;utm_campaign=2610_ff_lansare&amp;utm_content=fierbinte_general</v>
      </c>
    </row>
    <row r="1689" customFormat="false" ht="15" hidden="false" customHeight="false" outlineLevel="0" collapsed="false">
      <c r="A1689" s="10" t="s">
        <v>87</v>
      </c>
      <c r="B1689" s="10" t="str">
        <f aca="false">INDEX('Site-uri'!$B$2:$B$20,MATCH(A1689,'Site-uri'!$A$2:$A$20,0))</f>
        <v>firmsfinder.eu</v>
      </c>
      <c r="C1689" s="10" t="s">
        <v>160</v>
      </c>
      <c r="D1689" s="10" t="s">
        <v>237</v>
      </c>
      <c r="E1689" s="10" t="str">
        <f aca="false">INDEX(Canale!$C$2:$C$30,MATCH(C1689,Canale!$A$2:$A$30,0))</f>
        <v>medium</v>
      </c>
      <c r="F1689" s="10" t="str">
        <f aca="false">INDEX(Canale!$D$2:$D$30,MATCH(C1689,Canale!$A$2:$A$30,0))</f>
        <v>content</v>
      </c>
      <c r="G1689" s="10" t="str">
        <f aca="false">INDEX('Site-uri'!$C$2:$C$20,MATCH(A1689,'Site-uri'!$A$2:$A$20,0))</f>
        <v>/</v>
      </c>
      <c r="H1689" s="10" t="str">
        <f aca="false">Config!$B$3</f>
        <v>2610_ff_lansare</v>
      </c>
      <c r="I1689" s="10" t="str">
        <f aca="false">D1689&amp;"_"&amp;Config!$B$4</f>
        <v>client_general</v>
      </c>
      <c r="J1689" s="10" t="str">
        <f aca="false">"https://"&amp;B1689&amp;G1689&amp;"?utm_source="&amp;E1689&amp;"&amp;utm_medium="&amp;F1689&amp;"&amp;utm_campaign="&amp;H1689&amp;"&amp;utm_content="&amp;I1689</f>
        <v>https://firmsfinder.eu/?utm_source=medium&amp;utm_medium=content&amp;utm_campaign=2610_ff_lansare&amp;utm_content=client_general</v>
      </c>
    </row>
    <row r="1690" customFormat="false" ht="15" hidden="false" customHeight="false" outlineLevel="0" collapsed="false">
      <c r="A1690" s="10" t="s">
        <v>87</v>
      </c>
      <c r="B1690" s="10" t="str">
        <f aca="false">INDEX('Site-uri'!$B$2:$B$20,MATCH(A1690,'Site-uri'!$A$2:$A$20,0))</f>
        <v>firmsfinder.eu</v>
      </c>
      <c r="C1690" s="10" t="s">
        <v>165</v>
      </c>
      <c r="D1690" s="10" t="s">
        <v>219</v>
      </c>
      <c r="E1690" s="10" t="str">
        <f aca="false">INDEX(Canale!$C$2:$C$30,MATCH(C1690,Canale!$A$2:$A$30,0))</f>
        <v>crunchbase</v>
      </c>
      <c r="F1690" s="10" t="str">
        <f aca="false">INDEX(Canale!$D$2:$D$30,MATCH(C1690,Canale!$A$2:$A$30,0))</f>
        <v>referral</v>
      </c>
      <c r="G1690" s="10" t="str">
        <f aca="false">INDEX('Site-uri'!$C$2:$C$20,MATCH(A1690,'Site-uri'!$A$2:$A$20,0))</f>
        <v>/</v>
      </c>
      <c r="H1690" s="10" t="str">
        <f aca="false">Config!$B$3</f>
        <v>2610_ff_lansare</v>
      </c>
      <c r="I1690" s="10" t="str">
        <f aca="false">D1690&amp;"_"&amp;Config!$B$4</f>
        <v>rece_general</v>
      </c>
      <c r="J1690" s="10" t="str">
        <f aca="false">"https://"&amp;B1690&amp;G1690&amp;"?utm_source="&amp;E1690&amp;"&amp;utm_medium="&amp;F1690&amp;"&amp;utm_campaign="&amp;H1690&amp;"&amp;utm_content="&amp;I1690</f>
        <v>https://firmsfinder.eu/?utm_source=crunchbase&amp;utm_medium=referral&amp;utm_campaign=2610_ff_lansare&amp;utm_content=rece_general</v>
      </c>
    </row>
    <row r="1691" customFormat="false" ht="15" hidden="false" customHeight="false" outlineLevel="0" collapsed="false">
      <c r="A1691" s="10" t="s">
        <v>87</v>
      </c>
      <c r="B1691" s="10" t="str">
        <f aca="false">INDEX('Site-uri'!$B$2:$B$20,MATCH(A1691,'Site-uri'!$A$2:$A$20,0))</f>
        <v>firmsfinder.eu</v>
      </c>
      <c r="C1691" s="10" t="s">
        <v>165</v>
      </c>
      <c r="D1691" s="10" t="s">
        <v>225</v>
      </c>
      <c r="E1691" s="10" t="str">
        <f aca="false">INDEX(Canale!$C$2:$C$30,MATCH(C1691,Canale!$A$2:$A$30,0))</f>
        <v>crunchbase</v>
      </c>
      <c r="F1691" s="10" t="str">
        <f aca="false">INDEX(Canale!$D$2:$D$30,MATCH(C1691,Canale!$A$2:$A$30,0))</f>
        <v>referral</v>
      </c>
      <c r="G1691" s="10" t="str">
        <f aca="false">INDEX('Site-uri'!$C$2:$C$20,MATCH(A1691,'Site-uri'!$A$2:$A$20,0))</f>
        <v>/</v>
      </c>
      <c r="H1691" s="10" t="str">
        <f aca="false">Config!$B$3</f>
        <v>2610_ff_lansare</v>
      </c>
      <c r="I1691" s="10" t="str">
        <f aca="false">D1691&amp;"_"&amp;Config!$B$4</f>
        <v>cald_general</v>
      </c>
      <c r="J1691" s="10" t="str">
        <f aca="false">"https://"&amp;B1691&amp;G1691&amp;"?utm_source="&amp;E1691&amp;"&amp;utm_medium="&amp;F1691&amp;"&amp;utm_campaign="&amp;H1691&amp;"&amp;utm_content="&amp;I1691</f>
        <v>https://firmsfinder.eu/?utm_source=crunchbase&amp;utm_medium=referral&amp;utm_campaign=2610_ff_lansare&amp;utm_content=cald_general</v>
      </c>
    </row>
    <row r="1692" customFormat="false" ht="15" hidden="false" customHeight="false" outlineLevel="0" collapsed="false">
      <c r="A1692" s="10" t="s">
        <v>87</v>
      </c>
      <c r="B1692" s="10" t="str">
        <f aca="false">INDEX('Site-uri'!$B$2:$B$20,MATCH(A1692,'Site-uri'!$A$2:$A$20,0))</f>
        <v>firmsfinder.eu</v>
      </c>
      <c r="C1692" s="10" t="s">
        <v>165</v>
      </c>
      <c r="D1692" s="10" t="s">
        <v>231</v>
      </c>
      <c r="E1692" s="10" t="str">
        <f aca="false">INDEX(Canale!$C$2:$C$30,MATCH(C1692,Canale!$A$2:$A$30,0))</f>
        <v>crunchbase</v>
      </c>
      <c r="F1692" s="10" t="str">
        <f aca="false">INDEX(Canale!$D$2:$D$30,MATCH(C1692,Canale!$A$2:$A$30,0))</f>
        <v>referral</v>
      </c>
      <c r="G1692" s="10" t="str">
        <f aca="false">INDEX('Site-uri'!$C$2:$C$20,MATCH(A1692,'Site-uri'!$A$2:$A$20,0))</f>
        <v>/</v>
      </c>
      <c r="H1692" s="10" t="str">
        <f aca="false">Config!$B$3</f>
        <v>2610_ff_lansare</v>
      </c>
      <c r="I1692" s="10" t="str">
        <f aca="false">D1692&amp;"_"&amp;Config!$B$4</f>
        <v>fierbinte_general</v>
      </c>
      <c r="J1692" s="10" t="str">
        <f aca="false">"https://"&amp;B1692&amp;G1692&amp;"?utm_source="&amp;E1692&amp;"&amp;utm_medium="&amp;F1692&amp;"&amp;utm_campaign="&amp;H1692&amp;"&amp;utm_content="&amp;I1692</f>
        <v>https://firmsfinder.eu/?utm_source=crunchbase&amp;utm_medium=referral&amp;utm_campaign=2610_ff_lansare&amp;utm_content=fierbinte_general</v>
      </c>
    </row>
    <row r="1693" customFormat="false" ht="15" hidden="false" customHeight="false" outlineLevel="0" collapsed="false">
      <c r="A1693" s="10" t="s">
        <v>87</v>
      </c>
      <c r="B1693" s="10" t="str">
        <f aca="false">INDEX('Site-uri'!$B$2:$B$20,MATCH(A1693,'Site-uri'!$A$2:$A$20,0))</f>
        <v>firmsfinder.eu</v>
      </c>
      <c r="C1693" s="10" t="s">
        <v>165</v>
      </c>
      <c r="D1693" s="10" t="s">
        <v>237</v>
      </c>
      <c r="E1693" s="10" t="str">
        <f aca="false">INDEX(Canale!$C$2:$C$30,MATCH(C1693,Canale!$A$2:$A$30,0))</f>
        <v>crunchbase</v>
      </c>
      <c r="F1693" s="10" t="str">
        <f aca="false">INDEX(Canale!$D$2:$D$30,MATCH(C1693,Canale!$A$2:$A$30,0))</f>
        <v>referral</v>
      </c>
      <c r="G1693" s="10" t="str">
        <f aca="false">INDEX('Site-uri'!$C$2:$C$20,MATCH(A1693,'Site-uri'!$A$2:$A$20,0))</f>
        <v>/</v>
      </c>
      <c r="H1693" s="10" t="str">
        <f aca="false">Config!$B$3</f>
        <v>2610_ff_lansare</v>
      </c>
      <c r="I1693" s="10" t="str">
        <f aca="false">D1693&amp;"_"&amp;Config!$B$4</f>
        <v>client_general</v>
      </c>
      <c r="J1693" s="10" t="str">
        <f aca="false">"https://"&amp;B1693&amp;G1693&amp;"?utm_source="&amp;E1693&amp;"&amp;utm_medium="&amp;F1693&amp;"&amp;utm_campaign="&amp;H1693&amp;"&amp;utm_content="&amp;I1693</f>
        <v>https://firmsfinder.eu/?utm_source=crunchbase&amp;utm_medium=referral&amp;utm_campaign=2610_ff_lansare&amp;utm_content=client_general</v>
      </c>
    </row>
    <row r="1694" customFormat="false" ht="15" hidden="false" customHeight="false" outlineLevel="0" collapsed="false">
      <c r="A1694" s="10" t="s">
        <v>87</v>
      </c>
      <c r="B1694" s="10" t="str">
        <f aca="false">INDEX('Site-uri'!$B$2:$B$20,MATCH(A1694,'Site-uri'!$A$2:$A$20,0))</f>
        <v>firmsfinder.eu</v>
      </c>
      <c r="C1694" s="10" t="s">
        <v>170</v>
      </c>
      <c r="D1694" s="10" t="s">
        <v>219</v>
      </c>
      <c r="E1694" s="10" t="str">
        <f aca="false">INDEX(Canale!$C$2:$C$30,MATCH(C1694,Canale!$A$2:$A$30,0))</f>
        <v>zenodo</v>
      </c>
      <c r="F1694" s="10" t="str">
        <f aca="false">INDEX(Canale!$D$2:$D$30,MATCH(C1694,Canale!$A$2:$A$30,0))</f>
        <v>referral</v>
      </c>
      <c r="G1694" s="10" t="str">
        <f aca="false">INDEX('Site-uri'!$C$2:$C$20,MATCH(A1694,'Site-uri'!$A$2:$A$20,0))</f>
        <v>/</v>
      </c>
      <c r="H1694" s="10" t="str">
        <f aca="false">Config!$B$3</f>
        <v>2610_ff_lansare</v>
      </c>
      <c r="I1694" s="10" t="str">
        <f aca="false">D1694&amp;"_"&amp;Config!$B$4</f>
        <v>rece_general</v>
      </c>
      <c r="J1694" s="10" t="str">
        <f aca="false">"https://"&amp;B1694&amp;G1694&amp;"?utm_source="&amp;E1694&amp;"&amp;utm_medium="&amp;F1694&amp;"&amp;utm_campaign="&amp;H1694&amp;"&amp;utm_content="&amp;I1694</f>
        <v>https://firmsfinder.eu/?utm_source=zenodo&amp;utm_medium=referral&amp;utm_campaign=2610_ff_lansare&amp;utm_content=rece_general</v>
      </c>
    </row>
    <row r="1695" customFormat="false" ht="15" hidden="false" customHeight="false" outlineLevel="0" collapsed="false">
      <c r="A1695" s="10" t="s">
        <v>87</v>
      </c>
      <c r="B1695" s="10" t="str">
        <f aca="false">INDEX('Site-uri'!$B$2:$B$20,MATCH(A1695,'Site-uri'!$A$2:$A$20,0))</f>
        <v>firmsfinder.eu</v>
      </c>
      <c r="C1695" s="10" t="s">
        <v>170</v>
      </c>
      <c r="D1695" s="10" t="s">
        <v>225</v>
      </c>
      <c r="E1695" s="10" t="str">
        <f aca="false">INDEX(Canale!$C$2:$C$30,MATCH(C1695,Canale!$A$2:$A$30,0))</f>
        <v>zenodo</v>
      </c>
      <c r="F1695" s="10" t="str">
        <f aca="false">INDEX(Canale!$D$2:$D$30,MATCH(C1695,Canale!$A$2:$A$30,0))</f>
        <v>referral</v>
      </c>
      <c r="G1695" s="10" t="str">
        <f aca="false">INDEX('Site-uri'!$C$2:$C$20,MATCH(A1695,'Site-uri'!$A$2:$A$20,0))</f>
        <v>/</v>
      </c>
      <c r="H1695" s="10" t="str">
        <f aca="false">Config!$B$3</f>
        <v>2610_ff_lansare</v>
      </c>
      <c r="I1695" s="10" t="str">
        <f aca="false">D1695&amp;"_"&amp;Config!$B$4</f>
        <v>cald_general</v>
      </c>
      <c r="J1695" s="10" t="str">
        <f aca="false">"https://"&amp;B1695&amp;G1695&amp;"?utm_source="&amp;E1695&amp;"&amp;utm_medium="&amp;F1695&amp;"&amp;utm_campaign="&amp;H1695&amp;"&amp;utm_content="&amp;I1695</f>
        <v>https://firmsfinder.eu/?utm_source=zenodo&amp;utm_medium=referral&amp;utm_campaign=2610_ff_lansare&amp;utm_content=cald_general</v>
      </c>
    </row>
    <row r="1696" customFormat="false" ht="15" hidden="false" customHeight="false" outlineLevel="0" collapsed="false">
      <c r="A1696" s="10" t="s">
        <v>87</v>
      </c>
      <c r="B1696" s="10" t="str">
        <f aca="false">INDEX('Site-uri'!$B$2:$B$20,MATCH(A1696,'Site-uri'!$A$2:$A$20,0))</f>
        <v>firmsfinder.eu</v>
      </c>
      <c r="C1696" s="10" t="s">
        <v>170</v>
      </c>
      <c r="D1696" s="10" t="s">
        <v>231</v>
      </c>
      <c r="E1696" s="10" t="str">
        <f aca="false">INDEX(Canale!$C$2:$C$30,MATCH(C1696,Canale!$A$2:$A$30,0))</f>
        <v>zenodo</v>
      </c>
      <c r="F1696" s="10" t="str">
        <f aca="false">INDEX(Canale!$D$2:$D$30,MATCH(C1696,Canale!$A$2:$A$30,0))</f>
        <v>referral</v>
      </c>
      <c r="G1696" s="10" t="str">
        <f aca="false">INDEX('Site-uri'!$C$2:$C$20,MATCH(A1696,'Site-uri'!$A$2:$A$20,0))</f>
        <v>/</v>
      </c>
      <c r="H1696" s="10" t="str">
        <f aca="false">Config!$B$3</f>
        <v>2610_ff_lansare</v>
      </c>
      <c r="I1696" s="10" t="str">
        <f aca="false">D1696&amp;"_"&amp;Config!$B$4</f>
        <v>fierbinte_general</v>
      </c>
      <c r="J1696" s="10" t="str">
        <f aca="false">"https://"&amp;B1696&amp;G1696&amp;"?utm_source="&amp;E1696&amp;"&amp;utm_medium="&amp;F1696&amp;"&amp;utm_campaign="&amp;H1696&amp;"&amp;utm_content="&amp;I1696</f>
        <v>https://firmsfinder.eu/?utm_source=zenodo&amp;utm_medium=referral&amp;utm_campaign=2610_ff_lansare&amp;utm_content=fierbinte_general</v>
      </c>
    </row>
    <row r="1697" customFormat="false" ht="15" hidden="false" customHeight="false" outlineLevel="0" collapsed="false">
      <c r="A1697" s="10" t="s">
        <v>87</v>
      </c>
      <c r="B1697" s="10" t="str">
        <f aca="false">INDEX('Site-uri'!$B$2:$B$20,MATCH(A1697,'Site-uri'!$A$2:$A$20,0))</f>
        <v>firmsfinder.eu</v>
      </c>
      <c r="C1697" s="10" t="s">
        <v>170</v>
      </c>
      <c r="D1697" s="10" t="s">
        <v>237</v>
      </c>
      <c r="E1697" s="10" t="str">
        <f aca="false">INDEX(Canale!$C$2:$C$30,MATCH(C1697,Canale!$A$2:$A$30,0))</f>
        <v>zenodo</v>
      </c>
      <c r="F1697" s="10" t="str">
        <f aca="false">INDEX(Canale!$D$2:$D$30,MATCH(C1697,Canale!$A$2:$A$30,0))</f>
        <v>referral</v>
      </c>
      <c r="G1697" s="10" t="str">
        <f aca="false">INDEX('Site-uri'!$C$2:$C$20,MATCH(A1697,'Site-uri'!$A$2:$A$20,0))</f>
        <v>/</v>
      </c>
      <c r="H1697" s="10" t="str">
        <f aca="false">Config!$B$3</f>
        <v>2610_ff_lansare</v>
      </c>
      <c r="I1697" s="10" t="str">
        <f aca="false">D1697&amp;"_"&amp;Config!$B$4</f>
        <v>client_general</v>
      </c>
      <c r="J1697" s="10" t="str">
        <f aca="false">"https://"&amp;B1697&amp;G1697&amp;"?utm_source="&amp;E1697&amp;"&amp;utm_medium="&amp;F1697&amp;"&amp;utm_campaign="&amp;H1697&amp;"&amp;utm_content="&amp;I1697</f>
        <v>https://firmsfinder.eu/?utm_source=zenodo&amp;utm_medium=referral&amp;utm_campaign=2610_ff_lansare&amp;utm_content=client_general</v>
      </c>
    </row>
    <row r="1698" customFormat="false" ht="15" hidden="false" customHeight="false" outlineLevel="0" collapsed="false">
      <c r="A1698" s="10" t="s">
        <v>87</v>
      </c>
      <c r="B1698" s="10" t="str">
        <f aca="false">INDEX('Site-uri'!$B$2:$B$20,MATCH(A1698,'Site-uri'!$A$2:$A$20,0))</f>
        <v>firmsfinder.eu</v>
      </c>
      <c r="C1698" s="10" t="s">
        <v>173</v>
      </c>
      <c r="D1698" s="10" t="s">
        <v>219</v>
      </c>
      <c r="E1698" s="10" t="str">
        <f aca="false">INDEX(Canale!$C$2:$C$30,MATCH(C1698,Canale!$A$2:$A$30,0))</f>
        <v>orcid</v>
      </c>
      <c r="F1698" s="10" t="str">
        <f aca="false">INDEX(Canale!$D$2:$D$30,MATCH(C1698,Canale!$A$2:$A$30,0))</f>
        <v>referral</v>
      </c>
      <c r="G1698" s="10" t="str">
        <f aca="false">INDEX('Site-uri'!$C$2:$C$20,MATCH(A1698,'Site-uri'!$A$2:$A$20,0))</f>
        <v>/</v>
      </c>
      <c r="H1698" s="10" t="str">
        <f aca="false">Config!$B$3</f>
        <v>2610_ff_lansare</v>
      </c>
      <c r="I1698" s="10" t="str">
        <f aca="false">D1698&amp;"_"&amp;Config!$B$4</f>
        <v>rece_general</v>
      </c>
      <c r="J1698" s="10" t="str">
        <f aca="false">"https://"&amp;B1698&amp;G1698&amp;"?utm_source="&amp;E1698&amp;"&amp;utm_medium="&amp;F1698&amp;"&amp;utm_campaign="&amp;H1698&amp;"&amp;utm_content="&amp;I1698</f>
        <v>https://firmsfinder.eu/?utm_source=orcid&amp;utm_medium=referral&amp;utm_campaign=2610_ff_lansare&amp;utm_content=rece_general</v>
      </c>
    </row>
    <row r="1699" customFormat="false" ht="15" hidden="false" customHeight="false" outlineLevel="0" collapsed="false">
      <c r="A1699" s="10" t="s">
        <v>87</v>
      </c>
      <c r="B1699" s="10" t="str">
        <f aca="false">INDEX('Site-uri'!$B$2:$B$20,MATCH(A1699,'Site-uri'!$A$2:$A$20,0))</f>
        <v>firmsfinder.eu</v>
      </c>
      <c r="C1699" s="10" t="s">
        <v>173</v>
      </c>
      <c r="D1699" s="10" t="s">
        <v>225</v>
      </c>
      <c r="E1699" s="10" t="str">
        <f aca="false">INDEX(Canale!$C$2:$C$30,MATCH(C1699,Canale!$A$2:$A$30,0))</f>
        <v>orcid</v>
      </c>
      <c r="F1699" s="10" t="str">
        <f aca="false">INDEX(Canale!$D$2:$D$30,MATCH(C1699,Canale!$A$2:$A$30,0))</f>
        <v>referral</v>
      </c>
      <c r="G1699" s="10" t="str">
        <f aca="false">INDEX('Site-uri'!$C$2:$C$20,MATCH(A1699,'Site-uri'!$A$2:$A$20,0))</f>
        <v>/</v>
      </c>
      <c r="H1699" s="10" t="str">
        <f aca="false">Config!$B$3</f>
        <v>2610_ff_lansare</v>
      </c>
      <c r="I1699" s="10" t="str">
        <f aca="false">D1699&amp;"_"&amp;Config!$B$4</f>
        <v>cald_general</v>
      </c>
      <c r="J1699" s="10" t="str">
        <f aca="false">"https://"&amp;B1699&amp;G1699&amp;"?utm_source="&amp;E1699&amp;"&amp;utm_medium="&amp;F1699&amp;"&amp;utm_campaign="&amp;H1699&amp;"&amp;utm_content="&amp;I1699</f>
        <v>https://firmsfinder.eu/?utm_source=orcid&amp;utm_medium=referral&amp;utm_campaign=2610_ff_lansare&amp;utm_content=cald_general</v>
      </c>
    </row>
    <row r="1700" customFormat="false" ht="15" hidden="false" customHeight="false" outlineLevel="0" collapsed="false">
      <c r="A1700" s="10" t="s">
        <v>87</v>
      </c>
      <c r="B1700" s="10" t="str">
        <f aca="false">INDEX('Site-uri'!$B$2:$B$20,MATCH(A1700,'Site-uri'!$A$2:$A$20,0))</f>
        <v>firmsfinder.eu</v>
      </c>
      <c r="C1700" s="10" t="s">
        <v>173</v>
      </c>
      <c r="D1700" s="10" t="s">
        <v>231</v>
      </c>
      <c r="E1700" s="10" t="str">
        <f aca="false">INDEX(Canale!$C$2:$C$30,MATCH(C1700,Canale!$A$2:$A$30,0))</f>
        <v>orcid</v>
      </c>
      <c r="F1700" s="10" t="str">
        <f aca="false">INDEX(Canale!$D$2:$D$30,MATCH(C1700,Canale!$A$2:$A$30,0))</f>
        <v>referral</v>
      </c>
      <c r="G1700" s="10" t="str">
        <f aca="false">INDEX('Site-uri'!$C$2:$C$20,MATCH(A1700,'Site-uri'!$A$2:$A$20,0))</f>
        <v>/</v>
      </c>
      <c r="H1700" s="10" t="str">
        <f aca="false">Config!$B$3</f>
        <v>2610_ff_lansare</v>
      </c>
      <c r="I1700" s="10" t="str">
        <f aca="false">D1700&amp;"_"&amp;Config!$B$4</f>
        <v>fierbinte_general</v>
      </c>
      <c r="J1700" s="10" t="str">
        <f aca="false">"https://"&amp;B1700&amp;G1700&amp;"?utm_source="&amp;E1700&amp;"&amp;utm_medium="&amp;F1700&amp;"&amp;utm_campaign="&amp;H1700&amp;"&amp;utm_content="&amp;I1700</f>
        <v>https://firmsfinder.eu/?utm_source=orcid&amp;utm_medium=referral&amp;utm_campaign=2610_ff_lansare&amp;utm_content=fierbinte_general</v>
      </c>
    </row>
    <row r="1701" customFormat="false" ht="15" hidden="false" customHeight="false" outlineLevel="0" collapsed="false">
      <c r="A1701" s="10" t="s">
        <v>87</v>
      </c>
      <c r="B1701" s="10" t="str">
        <f aca="false">INDEX('Site-uri'!$B$2:$B$20,MATCH(A1701,'Site-uri'!$A$2:$A$20,0))</f>
        <v>firmsfinder.eu</v>
      </c>
      <c r="C1701" s="10" t="s">
        <v>173</v>
      </c>
      <c r="D1701" s="10" t="s">
        <v>237</v>
      </c>
      <c r="E1701" s="10" t="str">
        <f aca="false">INDEX(Canale!$C$2:$C$30,MATCH(C1701,Canale!$A$2:$A$30,0))</f>
        <v>orcid</v>
      </c>
      <c r="F1701" s="10" t="str">
        <f aca="false">INDEX(Canale!$D$2:$D$30,MATCH(C1701,Canale!$A$2:$A$30,0))</f>
        <v>referral</v>
      </c>
      <c r="G1701" s="10" t="str">
        <f aca="false">INDEX('Site-uri'!$C$2:$C$20,MATCH(A1701,'Site-uri'!$A$2:$A$20,0))</f>
        <v>/</v>
      </c>
      <c r="H1701" s="10" t="str">
        <f aca="false">Config!$B$3</f>
        <v>2610_ff_lansare</v>
      </c>
      <c r="I1701" s="10" t="str">
        <f aca="false">D1701&amp;"_"&amp;Config!$B$4</f>
        <v>client_general</v>
      </c>
      <c r="J1701" s="10" t="str">
        <f aca="false">"https://"&amp;B1701&amp;G1701&amp;"?utm_source="&amp;E1701&amp;"&amp;utm_medium="&amp;F1701&amp;"&amp;utm_campaign="&amp;H1701&amp;"&amp;utm_content="&amp;I1701</f>
        <v>https://firmsfinder.eu/?utm_source=orcid&amp;utm_medium=referral&amp;utm_campaign=2610_ff_lansare&amp;utm_content=client_general</v>
      </c>
    </row>
    <row r="1702" customFormat="false" ht="15" hidden="false" customHeight="false" outlineLevel="0" collapsed="false">
      <c r="A1702" s="10" t="s">
        <v>87</v>
      </c>
      <c r="B1702" s="10" t="str">
        <f aca="false">INDEX('Site-uri'!$B$2:$B$20,MATCH(A1702,'Site-uri'!$A$2:$A$20,0))</f>
        <v>firmsfinder.eu</v>
      </c>
      <c r="C1702" s="10" t="s">
        <v>176</v>
      </c>
      <c r="D1702" s="10" t="s">
        <v>219</v>
      </c>
      <c r="E1702" s="10" t="str">
        <f aca="false">INDEX(Canale!$C$2:$C$30,MATCH(C1702,Canale!$A$2:$A$30,0))</f>
        <v>github</v>
      </c>
      <c r="F1702" s="10" t="str">
        <f aca="false">INDEX(Canale!$D$2:$D$30,MATCH(C1702,Canale!$A$2:$A$30,0))</f>
        <v>referral</v>
      </c>
      <c r="G1702" s="10" t="str">
        <f aca="false">INDEX('Site-uri'!$C$2:$C$20,MATCH(A1702,'Site-uri'!$A$2:$A$20,0))</f>
        <v>/</v>
      </c>
      <c r="H1702" s="10" t="str">
        <f aca="false">Config!$B$3</f>
        <v>2610_ff_lansare</v>
      </c>
      <c r="I1702" s="10" t="str">
        <f aca="false">D1702&amp;"_"&amp;Config!$B$4</f>
        <v>rece_general</v>
      </c>
      <c r="J1702" s="10" t="str">
        <f aca="false">"https://"&amp;B1702&amp;G1702&amp;"?utm_source="&amp;E1702&amp;"&amp;utm_medium="&amp;F1702&amp;"&amp;utm_campaign="&amp;H1702&amp;"&amp;utm_content="&amp;I1702</f>
        <v>https://firmsfinder.eu/?utm_source=github&amp;utm_medium=referral&amp;utm_campaign=2610_ff_lansare&amp;utm_content=rece_general</v>
      </c>
    </row>
    <row r="1703" customFormat="false" ht="15" hidden="false" customHeight="false" outlineLevel="0" collapsed="false">
      <c r="A1703" s="10" t="s">
        <v>87</v>
      </c>
      <c r="B1703" s="10" t="str">
        <f aca="false">INDEX('Site-uri'!$B$2:$B$20,MATCH(A1703,'Site-uri'!$A$2:$A$20,0))</f>
        <v>firmsfinder.eu</v>
      </c>
      <c r="C1703" s="10" t="s">
        <v>176</v>
      </c>
      <c r="D1703" s="10" t="s">
        <v>225</v>
      </c>
      <c r="E1703" s="10" t="str">
        <f aca="false">INDEX(Canale!$C$2:$C$30,MATCH(C1703,Canale!$A$2:$A$30,0))</f>
        <v>github</v>
      </c>
      <c r="F1703" s="10" t="str">
        <f aca="false">INDEX(Canale!$D$2:$D$30,MATCH(C1703,Canale!$A$2:$A$30,0))</f>
        <v>referral</v>
      </c>
      <c r="G1703" s="10" t="str">
        <f aca="false">INDEX('Site-uri'!$C$2:$C$20,MATCH(A1703,'Site-uri'!$A$2:$A$20,0))</f>
        <v>/</v>
      </c>
      <c r="H1703" s="10" t="str">
        <f aca="false">Config!$B$3</f>
        <v>2610_ff_lansare</v>
      </c>
      <c r="I1703" s="10" t="str">
        <f aca="false">D1703&amp;"_"&amp;Config!$B$4</f>
        <v>cald_general</v>
      </c>
      <c r="J1703" s="10" t="str">
        <f aca="false">"https://"&amp;B1703&amp;G1703&amp;"?utm_source="&amp;E1703&amp;"&amp;utm_medium="&amp;F1703&amp;"&amp;utm_campaign="&amp;H1703&amp;"&amp;utm_content="&amp;I1703</f>
        <v>https://firmsfinder.eu/?utm_source=github&amp;utm_medium=referral&amp;utm_campaign=2610_ff_lansare&amp;utm_content=cald_general</v>
      </c>
    </row>
    <row r="1704" customFormat="false" ht="15" hidden="false" customHeight="false" outlineLevel="0" collapsed="false">
      <c r="A1704" s="10" t="s">
        <v>87</v>
      </c>
      <c r="B1704" s="10" t="str">
        <f aca="false">INDEX('Site-uri'!$B$2:$B$20,MATCH(A1704,'Site-uri'!$A$2:$A$20,0))</f>
        <v>firmsfinder.eu</v>
      </c>
      <c r="C1704" s="10" t="s">
        <v>176</v>
      </c>
      <c r="D1704" s="10" t="s">
        <v>231</v>
      </c>
      <c r="E1704" s="10" t="str">
        <f aca="false">INDEX(Canale!$C$2:$C$30,MATCH(C1704,Canale!$A$2:$A$30,0))</f>
        <v>github</v>
      </c>
      <c r="F1704" s="10" t="str">
        <f aca="false">INDEX(Canale!$D$2:$D$30,MATCH(C1704,Canale!$A$2:$A$30,0))</f>
        <v>referral</v>
      </c>
      <c r="G1704" s="10" t="str">
        <f aca="false">INDEX('Site-uri'!$C$2:$C$20,MATCH(A1704,'Site-uri'!$A$2:$A$20,0))</f>
        <v>/</v>
      </c>
      <c r="H1704" s="10" t="str">
        <f aca="false">Config!$B$3</f>
        <v>2610_ff_lansare</v>
      </c>
      <c r="I1704" s="10" t="str">
        <f aca="false">D1704&amp;"_"&amp;Config!$B$4</f>
        <v>fierbinte_general</v>
      </c>
      <c r="J1704" s="10" t="str">
        <f aca="false">"https://"&amp;B1704&amp;G1704&amp;"?utm_source="&amp;E1704&amp;"&amp;utm_medium="&amp;F1704&amp;"&amp;utm_campaign="&amp;H1704&amp;"&amp;utm_content="&amp;I1704</f>
        <v>https://firmsfinder.eu/?utm_source=github&amp;utm_medium=referral&amp;utm_campaign=2610_ff_lansare&amp;utm_content=fierbinte_general</v>
      </c>
    </row>
    <row r="1705" customFormat="false" ht="15" hidden="false" customHeight="false" outlineLevel="0" collapsed="false">
      <c r="A1705" s="10" t="s">
        <v>87</v>
      </c>
      <c r="B1705" s="10" t="str">
        <f aca="false">INDEX('Site-uri'!$B$2:$B$20,MATCH(A1705,'Site-uri'!$A$2:$A$20,0))</f>
        <v>firmsfinder.eu</v>
      </c>
      <c r="C1705" s="10" t="s">
        <v>176</v>
      </c>
      <c r="D1705" s="10" t="s">
        <v>237</v>
      </c>
      <c r="E1705" s="10" t="str">
        <f aca="false">INDEX(Canale!$C$2:$C$30,MATCH(C1705,Canale!$A$2:$A$30,0))</f>
        <v>github</v>
      </c>
      <c r="F1705" s="10" t="str">
        <f aca="false">INDEX(Canale!$D$2:$D$30,MATCH(C1705,Canale!$A$2:$A$30,0))</f>
        <v>referral</v>
      </c>
      <c r="G1705" s="10" t="str">
        <f aca="false">INDEX('Site-uri'!$C$2:$C$20,MATCH(A1705,'Site-uri'!$A$2:$A$20,0))</f>
        <v>/</v>
      </c>
      <c r="H1705" s="10" t="str">
        <f aca="false">Config!$B$3</f>
        <v>2610_ff_lansare</v>
      </c>
      <c r="I1705" s="10" t="str">
        <f aca="false">D1705&amp;"_"&amp;Config!$B$4</f>
        <v>client_general</v>
      </c>
      <c r="J1705" s="10" t="str">
        <f aca="false">"https://"&amp;B1705&amp;G1705&amp;"?utm_source="&amp;E1705&amp;"&amp;utm_medium="&amp;F1705&amp;"&amp;utm_campaign="&amp;H1705&amp;"&amp;utm_content="&amp;I1705</f>
        <v>https://firmsfinder.eu/?utm_source=github&amp;utm_medium=referral&amp;utm_campaign=2610_ff_lansare&amp;utm_content=client_general</v>
      </c>
    </row>
    <row r="1706" customFormat="false" ht="15" hidden="false" customHeight="false" outlineLevel="0" collapsed="false">
      <c r="A1706" s="10" t="s">
        <v>87</v>
      </c>
      <c r="B1706" s="10" t="str">
        <f aca="false">INDEX('Site-uri'!$B$2:$B$20,MATCH(A1706,'Site-uri'!$A$2:$A$20,0))</f>
        <v>firmsfinder.eu</v>
      </c>
      <c r="C1706" s="10" t="s">
        <v>179</v>
      </c>
      <c r="D1706" s="10" t="s">
        <v>219</v>
      </c>
      <c r="E1706" s="10" t="str">
        <f aca="false">INDEX(Canale!$C$2:$C$30,MATCH(C1706,Canale!$A$2:$A$30,0))</f>
        <v>kdp_book</v>
      </c>
      <c r="F1706" s="10" t="str">
        <f aca="false">INDEX(Canale!$D$2:$D$30,MATCH(C1706,Canale!$A$2:$A$30,0))</f>
        <v>book</v>
      </c>
      <c r="G1706" s="10" t="str">
        <f aca="false">INDEX('Site-uri'!$C$2:$C$20,MATCH(A1706,'Site-uri'!$A$2:$A$20,0))</f>
        <v>/</v>
      </c>
      <c r="H1706" s="10" t="str">
        <f aca="false">Config!$B$3</f>
        <v>2610_ff_lansare</v>
      </c>
      <c r="I1706" s="10" t="str">
        <f aca="false">D1706&amp;"_"&amp;Config!$B$4</f>
        <v>rece_general</v>
      </c>
      <c r="J1706" s="10" t="str">
        <f aca="false">"https://"&amp;B1706&amp;G1706&amp;"?utm_source="&amp;E1706&amp;"&amp;utm_medium="&amp;F1706&amp;"&amp;utm_campaign="&amp;H1706&amp;"&amp;utm_content="&amp;I1706</f>
        <v>https://firmsfinder.eu/?utm_source=kdp_book&amp;utm_medium=book&amp;utm_campaign=2610_ff_lansare&amp;utm_content=rece_general</v>
      </c>
    </row>
    <row r="1707" customFormat="false" ht="15" hidden="false" customHeight="false" outlineLevel="0" collapsed="false">
      <c r="A1707" s="10" t="s">
        <v>87</v>
      </c>
      <c r="B1707" s="10" t="str">
        <f aca="false">INDEX('Site-uri'!$B$2:$B$20,MATCH(A1707,'Site-uri'!$A$2:$A$20,0))</f>
        <v>firmsfinder.eu</v>
      </c>
      <c r="C1707" s="10" t="s">
        <v>179</v>
      </c>
      <c r="D1707" s="10" t="s">
        <v>225</v>
      </c>
      <c r="E1707" s="10" t="str">
        <f aca="false">INDEX(Canale!$C$2:$C$30,MATCH(C1707,Canale!$A$2:$A$30,0))</f>
        <v>kdp_book</v>
      </c>
      <c r="F1707" s="10" t="str">
        <f aca="false">INDEX(Canale!$D$2:$D$30,MATCH(C1707,Canale!$A$2:$A$30,0))</f>
        <v>book</v>
      </c>
      <c r="G1707" s="10" t="str">
        <f aca="false">INDEX('Site-uri'!$C$2:$C$20,MATCH(A1707,'Site-uri'!$A$2:$A$20,0))</f>
        <v>/</v>
      </c>
      <c r="H1707" s="10" t="str">
        <f aca="false">Config!$B$3</f>
        <v>2610_ff_lansare</v>
      </c>
      <c r="I1707" s="10" t="str">
        <f aca="false">D1707&amp;"_"&amp;Config!$B$4</f>
        <v>cald_general</v>
      </c>
      <c r="J1707" s="10" t="str">
        <f aca="false">"https://"&amp;B1707&amp;G1707&amp;"?utm_source="&amp;E1707&amp;"&amp;utm_medium="&amp;F1707&amp;"&amp;utm_campaign="&amp;H1707&amp;"&amp;utm_content="&amp;I1707</f>
        <v>https://firmsfinder.eu/?utm_source=kdp_book&amp;utm_medium=book&amp;utm_campaign=2610_ff_lansare&amp;utm_content=cald_general</v>
      </c>
    </row>
    <row r="1708" customFormat="false" ht="15" hidden="false" customHeight="false" outlineLevel="0" collapsed="false">
      <c r="A1708" s="10" t="s">
        <v>87</v>
      </c>
      <c r="B1708" s="10" t="str">
        <f aca="false">INDEX('Site-uri'!$B$2:$B$20,MATCH(A1708,'Site-uri'!$A$2:$A$20,0))</f>
        <v>firmsfinder.eu</v>
      </c>
      <c r="C1708" s="10" t="s">
        <v>179</v>
      </c>
      <c r="D1708" s="10" t="s">
        <v>231</v>
      </c>
      <c r="E1708" s="10" t="str">
        <f aca="false">INDEX(Canale!$C$2:$C$30,MATCH(C1708,Canale!$A$2:$A$30,0))</f>
        <v>kdp_book</v>
      </c>
      <c r="F1708" s="10" t="str">
        <f aca="false">INDEX(Canale!$D$2:$D$30,MATCH(C1708,Canale!$A$2:$A$30,0))</f>
        <v>book</v>
      </c>
      <c r="G1708" s="10" t="str">
        <f aca="false">INDEX('Site-uri'!$C$2:$C$20,MATCH(A1708,'Site-uri'!$A$2:$A$20,0))</f>
        <v>/</v>
      </c>
      <c r="H1708" s="10" t="str">
        <f aca="false">Config!$B$3</f>
        <v>2610_ff_lansare</v>
      </c>
      <c r="I1708" s="10" t="str">
        <f aca="false">D1708&amp;"_"&amp;Config!$B$4</f>
        <v>fierbinte_general</v>
      </c>
      <c r="J1708" s="10" t="str">
        <f aca="false">"https://"&amp;B1708&amp;G1708&amp;"?utm_source="&amp;E1708&amp;"&amp;utm_medium="&amp;F1708&amp;"&amp;utm_campaign="&amp;H1708&amp;"&amp;utm_content="&amp;I1708</f>
        <v>https://firmsfinder.eu/?utm_source=kdp_book&amp;utm_medium=book&amp;utm_campaign=2610_ff_lansare&amp;utm_content=fierbinte_general</v>
      </c>
    </row>
    <row r="1709" customFormat="false" ht="15" hidden="false" customHeight="false" outlineLevel="0" collapsed="false">
      <c r="A1709" s="10" t="s">
        <v>87</v>
      </c>
      <c r="B1709" s="10" t="str">
        <f aca="false">INDEX('Site-uri'!$B$2:$B$20,MATCH(A1709,'Site-uri'!$A$2:$A$20,0))</f>
        <v>firmsfinder.eu</v>
      </c>
      <c r="C1709" s="10" t="s">
        <v>179</v>
      </c>
      <c r="D1709" s="10" t="s">
        <v>237</v>
      </c>
      <c r="E1709" s="10" t="str">
        <f aca="false">INDEX(Canale!$C$2:$C$30,MATCH(C1709,Canale!$A$2:$A$30,0))</f>
        <v>kdp_book</v>
      </c>
      <c r="F1709" s="10" t="str">
        <f aca="false">INDEX(Canale!$D$2:$D$30,MATCH(C1709,Canale!$A$2:$A$30,0))</f>
        <v>book</v>
      </c>
      <c r="G1709" s="10" t="str">
        <f aca="false">INDEX('Site-uri'!$C$2:$C$20,MATCH(A1709,'Site-uri'!$A$2:$A$20,0))</f>
        <v>/</v>
      </c>
      <c r="H1709" s="10" t="str">
        <f aca="false">Config!$B$3</f>
        <v>2610_ff_lansare</v>
      </c>
      <c r="I1709" s="10" t="str">
        <f aca="false">D1709&amp;"_"&amp;Config!$B$4</f>
        <v>client_general</v>
      </c>
      <c r="J1709" s="10" t="str">
        <f aca="false">"https://"&amp;B1709&amp;G1709&amp;"?utm_source="&amp;E1709&amp;"&amp;utm_medium="&amp;F1709&amp;"&amp;utm_campaign="&amp;H1709&amp;"&amp;utm_content="&amp;I1709</f>
        <v>https://firmsfinder.eu/?utm_source=kdp_book&amp;utm_medium=book&amp;utm_campaign=2610_ff_lansare&amp;utm_content=client_general</v>
      </c>
    </row>
    <row r="1710" customFormat="false" ht="15" hidden="false" customHeight="false" outlineLevel="0" collapsed="false">
      <c r="A1710" s="10" t="s">
        <v>87</v>
      </c>
      <c r="B1710" s="10" t="str">
        <f aca="false">INDEX('Site-uri'!$B$2:$B$20,MATCH(A1710,'Site-uri'!$A$2:$A$20,0))</f>
        <v>firmsfinder.eu</v>
      </c>
      <c r="C1710" s="10" t="s">
        <v>184</v>
      </c>
      <c r="D1710" s="10" t="s">
        <v>219</v>
      </c>
      <c r="E1710" s="10" t="str">
        <f aca="false">INDEX(Canale!$C$2:$C$30,MATCH(C1710,Canale!$A$2:$A$30,0))</f>
        <v>udemy</v>
      </c>
      <c r="F1710" s="10" t="str">
        <f aca="false">INDEX(Canale!$D$2:$D$30,MATCH(C1710,Canale!$A$2:$A$30,0))</f>
        <v>course</v>
      </c>
      <c r="G1710" s="10" t="str">
        <f aca="false">INDEX('Site-uri'!$C$2:$C$20,MATCH(A1710,'Site-uri'!$A$2:$A$20,0))</f>
        <v>/</v>
      </c>
      <c r="H1710" s="10" t="str">
        <f aca="false">Config!$B$3</f>
        <v>2610_ff_lansare</v>
      </c>
      <c r="I1710" s="10" t="str">
        <f aca="false">D1710&amp;"_"&amp;Config!$B$4</f>
        <v>rece_general</v>
      </c>
      <c r="J1710" s="10" t="str">
        <f aca="false">"https://"&amp;B1710&amp;G1710&amp;"?utm_source="&amp;E1710&amp;"&amp;utm_medium="&amp;F1710&amp;"&amp;utm_campaign="&amp;H1710&amp;"&amp;utm_content="&amp;I1710</f>
        <v>https://firmsfinder.eu/?utm_source=udemy&amp;utm_medium=course&amp;utm_campaign=2610_ff_lansare&amp;utm_content=rece_general</v>
      </c>
    </row>
    <row r="1711" customFormat="false" ht="15" hidden="false" customHeight="false" outlineLevel="0" collapsed="false">
      <c r="A1711" s="10" t="s">
        <v>87</v>
      </c>
      <c r="B1711" s="10" t="str">
        <f aca="false">INDEX('Site-uri'!$B$2:$B$20,MATCH(A1711,'Site-uri'!$A$2:$A$20,0))</f>
        <v>firmsfinder.eu</v>
      </c>
      <c r="C1711" s="10" t="s">
        <v>184</v>
      </c>
      <c r="D1711" s="10" t="s">
        <v>225</v>
      </c>
      <c r="E1711" s="10" t="str">
        <f aca="false">INDEX(Canale!$C$2:$C$30,MATCH(C1711,Canale!$A$2:$A$30,0))</f>
        <v>udemy</v>
      </c>
      <c r="F1711" s="10" t="str">
        <f aca="false">INDEX(Canale!$D$2:$D$30,MATCH(C1711,Canale!$A$2:$A$30,0))</f>
        <v>course</v>
      </c>
      <c r="G1711" s="10" t="str">
        <f aca="false">INDEX('Site-uri'!$C$2:$C$20,MATCH(A1711,'Site-uri'!$A$2:$A$20,0))</f>
        <v>/</v>
      </c>
      <c r="H1711" s="10" t="str">
        <f aca="false">Config!$B$3</f>
        <v>2610_ff_lansare</v>
      </c>
      <c r="I1711" s="10" t="str">
        <f aca="false">D1711&amp;"_"&amp;Config!$B$4</f>
        <v>cald_general</v>
      </c>
      <c r="J1711" s="10" t="str">
        <f aca="false">"https://"&amp;B1711&amp;G1711&amp;"?utm_source="&amp;E1711&amp;"&amp;utm_medium="&amp;F1711&amp;"&amp;utm_campaign="&amp;H1711&amp;"&amp;utm_content="&amp;I1711</f>
        <v>https://firmsfinder.eu/?utm_source=udemy&amp;utm_medium=course&amp;utm_campaign=2610_ff_lansare&amp;utm_content=cald_general</v>
      </c>
    </row>
    <row r="1712" customFormat="false" ht="15" hidden="false" customHeight="false" outlineLevel="0" collapsed="false">
      <c r="A1712" s="10" t="s">
        <v>87</v>
      </c>
      <c r="B1712" s="10" t="str">
        <f aca="false">INDEX('Site-uri'!$B$2:$B$20,MATCH(A1712,'Site-uri'!$A$2:$A$20,0))</f>
        <v>firmsfinder.eu</v>
      </c>
      <c r="C1712" s="10" t="s">
        <v>184</v>
      </c>
      <c r="D1712" s="10" t="s">
        <v>231</v>
      </c>
      <c r="E1712" s="10" t="str">
        <f aca="false">INDEX(Canale!$C$2:$C$30,MATCH(C1712,Canale!$A$2:$A$30,0))</f>
        <v>udemy</v>
      </c>
      <c r="F1712" s="10" t="str">
        <f aca="false">INDEX(Canale!$D$2:$D$30,MATCH(C1712,Canale!$A$2:$A$30,0))</f>
        <v>course</v>
      </c>
      <c r="G1712" s="10" t="str">
        <f aca="false">INDEX('Site-uri'!$C$2:$C$20,MATCH(A1712,'Site-uri'!$A$2:$A$20,0))</f>
        <v>/</v>
      </c>
      <c r="H1712" s="10" t="str">
        <f aca="false">Config!$B$3</f>
        <v>2610_ff_lansare</v>
      </c>
      <c r="I1712" s="10" t="str">
        <f aca="false">D1712&amp;"_"&amp;Config!$B$4</f>
        <v>fierbinte_general</v>
      </c>
      <c r="J1712" s="10" t="str">
        <f aca="false">"https://"&amp;B1712&amp;G1712&amp;"?utm_source="&amp;E1712&amp;"&amp;utm_medium="&amp;F1712&amp;"&amp;utm_campaign="&amp;H1712&amp;"&amp;utm_content="&amp;I1712</f>
        <v>https://firmsfinder.eu/?utm_source=udemy&amp;utm_medium=course&amp;utm_campaign=2610_ff_lansare&amp;utm_content=fierbinte_general</v>
      </c>
    </row>
    <row r="1713" customFormat="false" ht="15" hidden="false" customHeight="false" outlineLevel="0" collapsed="false">
      <c r="A1713" s="10" t="s">
        <v>87</v>
      </c>
      <c r="B1713" s="10" t="str">
        <f aca="false">INDEX('Site-uri'!$B$2:$B$20,MATCH(A1713,'Site-uri'!$A$2:$A$20,0))</f>
        <v>firmsfinder.eu</v>
      </c>
      <c r="C1713" s="10" t="s">
        <v>184</v>
      </c>
      <c r="D1713" s="10" t="s">
        <v>237</v>
      </c>
      <c r="E1713" s="10" t="str">
        <f aca="false">INDEX(Canale!$C$2:$C$30,MATCH(C1713,Canale!$A$2:$A$30,0))</f>
        <v>udemy</v>
      </c>
      <c r="F1713" s="10" t="str">
        <f aca="false">INDEX(Canale!$D$2:$D$30,MATCH(C1713,Canale!$A$2:$A$30,0))</f>
        <v>course</v>
      </c>
      <c r="G1713" s="10" t="str">
        <f aca="false">INDEX('Site-uri'!$C$2:$C$20,MATCH(A1713,'Site-uri'!$A$2:$A$20,0))</f>
        <v>/</v>
      </c>
      <c r="H1713" s="10" t="str">
        <f aca="false">Config!$B$3</f>
        <v>2610_ff_lansare</v>
      </c>
      <c r="I1713" s="10" t="str">
        <f aca="false">D1713&amp;"_"&amp;Config!$B$4</f>
        <v>client_general</v>
      </c>
      <c r="J1713" s="10" t="str">
        <f aca="false">"https://"&amp;B1713&amp;G1713&amp;"?utm_source="&amp;E1713&amp;"&amp;utm_medium="&amp;F1713&amp;"&amp;utm_campaign="&amp;H1713&amp;"&amp;utm_content="&amp;I1713</f>
        <v>https://firmsfinder.eu/?utm_source=udemy&amp;utm_medium=course&amp;utm_campaign=2610_ff_lansare&amp;utm_content=client_general</v>
      </c>
    </row>
    <row r="1714" customFormat="false" ht="15" hidden="false" customHeight="false" outlineLevel="0" collapsed="false">
      <c r="A1714" s="10" t="s">
        <v>87</v>
      </c>
      <c r="B1714" s="10" t="str">
        <f aca="false">INDEX('Site-uri'!$B$2:$B$20,MATCH(A1714,'Site-uri'!$A$2:$A$20,0))</f>
        <v>firmsfinder.eu</v>
      </c>
      <c r="C1714" s="10" t="s">
        <v>187</v>
      </c>
      <c r="D1714" s="10" t="s">
        <v>219</v>
      </c>
      <c r="E1714" s="10" t="str">
        <f aca="false">INDEX(Canale!$C$2:$C$30,MATCH(C1714,Canale!$A$2:$A$30,0))</f>
        <v>directory</v>
      </c>
      <c r="F1714" s="10" t="str">
        <f aca="false">INDEX(Canale!$D$2:$D$30,MATCH(C1714,Canale!$A$2:$A$30,0))</f>
        <v>referral</v>
      </c>
      <c r="G1714" s="10" t="str">
        <f aca="false">INDEX('Site-uri'!$C$2:$C$20,MATCH(A1714,'Site-uri'!$A$2:$A$20,0))</f>
        <v>/</v>
      </c>
      <c r="H1714" s="10" t="str">
        <f aca="false">Config!$B$3</f>
        <v>2610_ff_lansare</v>
      </c>
      <c r="I1714" s="10" t="str">
        <f aca="false">D1714&amp;"_"&amp;Config!$B$4</f>
        <v>rece_general</v>
      </c>
      <c r="J1714" s="10" t="str">
        <f aca="false">"https://"&amp;B1714&amp;G1714&amp;"?utm_source="&amp;E1714&amp;"&amp;utm_medium="&amp;F1714&amp;"&amp;utm_campaign="&amp;H1714&amp;"&amp;utm_content="&amp;I1714</f>
        <v>https://firmsfinder.eu/?utm_source=directory&amp;utm_medium=referral&amp;utm_campaign=2610_ff_lansare&amp;utm_content=rece_general</v>
      </c>
    </row>
    <row r="1715" customFormat="false" ht="15" hidden="false" customHeight="false" outlineLevel="0" collapsed="false">
      <c r="A1715" s="10" t="s">
        <v>87</v>
      </c>
      <c r="B1715" s="10" t="str">
        <f aca="false">INDEX('Site-uri'!$B$2:$B$20,MATCH(A1715,'Site-uri'!$A$2:$A$20,0))</f>
        <v>firmsfinder.eu</v>
      </c>
      <c r="C1715" s="10" t="s">
        <v>187</v>
      </c>
      <c r="D1715" s="10" t="s">
        <v>225</v>
      </c>
      <c r="E1715" s="10" t="str">
        <f aca="false">INDEX(Canale!$C$2:$C$30,MATCH(C1715,Canale!$A$2:$A$30,0))</f>
        <v>directory</v>
      </c>
      <c r="F1715" s="10" t="str">
        <f aca="false">INDEX(Canale!$D$2:$D$30,MATCH(C1715,Canale!$A$2:$A$30,0))</f>
        <v>referral</v>
      </c>
      <c r="G1715" s="10" t="str">
        <f aca="false">INDEX('Site-uri'!$C$2:$C$20,MATCH(A1715,'Site-uri'!$A$2:$A$20,0))</f>
        <v>/</v>
      </c>
      <c r="H1715" s="10" t="str">
        <f aca="false">Config!$B$3</f>
        <v>2610_ff_lansare</v>
      </c>
      <c r="I1715" s="10" t="str">
        <f aca="false">D1715&amp;"_"&amp;Config!$B$4</f>
        <v>cald_general</v>
      </c>
      <c r="J1715" s="10" t="str">
        <f aca="false">"https://"&amp;B1715&amp;G1715&amp;"?utm_source="&amp;E1715&amp;"&amp;utm_medium="&amp;F1715&amp;"&amp;utm_campaign="&amp;H1715&amp;"&amp;utm_content="&amp;I1715</f>
        <v>https://firmsfinder.eu/?utm_source=directory&amp;utm_medium=referral&amp;utm_campaign=2610_ff_lansare&amp;utm_content=cald_general</v>
      </c>
    </row>
    <row r="1716" customFormat="false" ht="15" hidden="false" customHeight="false" outlineLevel="0" collapsed="false">
      <c r="A1716" s="10" t="s">
        <v>87</v>
      </c>
      <c r="B1716" s="10" t="str">
        <f aca="false">INDEX('Site-uri'!$B$2:$B$20,MATCH(A1716,'Site-uri'!$A$2:$A$20,0))</f>
        <v>firmsfinder.eu</v>
      </c>
      <c r="C1716" s="10" t="s">
        <v>187</v>
      </c>
      <c r="D1716" s="10" t="s">
        <v>231</v>
      </c>
      <c r="E1716" s="10" t="str">
        <f aca="false">INDEX(Canale!$C$2:$C$30,MATCH(C1716,Canale!$A$2:$A$30,0))</f>
        <v>directory</v>
      </c>
      <c r="F1716" s="10" t="str">
        <f aca="false">INDEX(Canale!$D$2:$D$30,MATCH(C1716,Canale!$A$2:$A$30,0))</f>
        <v>referral</v>
      </c>
      <c r="G1716" s="10" t="str">
        <f aca="false">INDEX('Site-uri'!$C$2:$C$20,MATCH(A1716,'Site-uri'!$A$2:$A$20,0))</f>
        <v>/</v>
      </c>
      <c r="H1716" s="10" t="str">
        <f aca="false">Config!$B$3</f>
        <v>2610_ff_lansare</v>
      </c>
      <c r="I1716" s="10" t="str">
        <f aca="false">D1716&amp;"_"&amp;Config!$B$4</f>
        <v>fierbinte_general</v>
      </c>
      <c r="J1716" s="10" t="str">
        <f aca="false">"https://"&amp;B1716&amp;G1716&amp;"?utm_source="&amp;E1716&amp;"&amp;utm_medium="&amp;F1716&amp;"&amp;utm_campaign="&amp;H1716&amp;"&amp;utm_content="&amp;I1716</f>
        <v>https://firmsfinder.eu/?utm_source=directory&amp;utm_medium=referral&amp;utm_campaign=2610_ff_lansare&amp;utm_content=fierbinte_general</v>
      </c>
    </row>
    <row r="1717" customFormat="false" ht="15" hidden="false" customHeight="false" outlineLevel="0" collapsed="false">
      <c r="A1717" s="10" t="s">
        <v>87</v>
      </c>
      <c r="B1717" s="10" t="str">
        <f aca="false">INDEX('Site-uri'!$B$2:$B$20,MATCH(A1717,'Site-uri'!$A$2:$A$20,0))</f>
        <v>firmsfinder.eu</v>
      </c>
      <c r="C1717" s="10" t="s">
        <v>187</v>
      </c>
      <c r="D1717" s="10" t="s">
        <v>237</v>
      </c>
      <c r="E1717" s="10" t="str">
        <f aca="false">INDEX(Canale!$C$2:$C$30,MATCH(C1717,Canale!$A$2:$A$30,0))</f>
        <v>directory</v>
      </c>
      <c r="F1717" s="10" t="str">
        <f aca="false">INDEX(Canale!$D$2:$D$30,MATCH(C1717,Canale!$A$2:$A$30,0))</f>
        <v>referral</v>
      </c>
      <c r="G1717" s="10" t="str">
        <f aca="false">INDEX('Site-uri'!$C$2:$C$20,MATCH(A1717,'Site-uri'!$A$2:$A$20,0))</f>
        <v>/</v>
      </c>
      <c r="H1717" s="10" t="str">
        <f aca="false">Config!$B$3</f>
        <v>2610_ff_lansare</v>
      </c>
      <c r="I1717" s="10" t="str">
        <f aca="false">D1717&amp;"_"&amp;Config!$B$4</f>
        <v>client_general</v>
      </c>
      <c r="J1717" s="10" t="str">
        <f aca="false">"https://"&amp;B1717&amp;G1717&amp;"?utm_source="&amp;E1717&amp;"&amp;utm_medium="&amp;F1717&amp;"&amp;utm_campaign="&amp;H1717&amp;"&amp;utm_content="&amp;I1717</f>
        <v>https://firmsfinder.eu/?utm_source=directory&amp;utm_medium=referral&amp;utm_campaign=2610_ff_lansare&amp;utm_content=client_general</v>
      </c>
    </row>
    <row r="1718" customFormat="false" ht="15" hidden="false" customHeight="false" outlineLevel="0" collapsed="false">
      <c r="A1718" s="10" t="s">
        <v>87</v>
      </c>
      <c r="B1718" s="10" t="str">
        <f aca="false">INDEX('Site-uri'!$B$2:$B$20,MATCH(A1718,'Site-uri'!$A$2:$A$20,0))</f>
        <v>firmsfinder.eu</v>
      </c>
      <c r="C1718" s="10" t="s">
        <v>191</v>
      </c>
      <c r="D1718" s="10" t="s">
        <v>219</v>
      </c>
      <c r="E1718" s="10" t="str">
        <f aca="false">INDEX(Canale!$C$2:$C$30,MATCH(C1718,Canale!$A$2:$A$30,0))</f>
        <v>partner</v>
      </c>
      <c r="F1718" s="10" t="str">
        <f aca="false">INDEX(Canale!$D$2:$D$30,MATCH(C1718,Canale!$A$2:$A$30,0))</f>
        <v>partner</v>
      </c>
      <c r="G1718" s="10" t="str">
        <f aca="false">INDEX('Site-uri'!$C$2:$C$20,MATCH(A1718,'Site-uri'!$A$2:$A$20,0))</f>
        <v>/</v>
      </c>
      <c r="H1718" s="10" t="str">
        <f aca="false">Config!$B$3</f>
        <v>2610_ff_lansare</v>
      </c>
      <c r="I1718" s="10" t="str">
        <f aca="false">D1718&amp;"_"&amp;Config!$B$4</f>
        <v>rece_general</v>
      </c>
      <c r="J1718" s="10" t="str">
        <f aca="false">"https://"&amp;B1718&amp;G1718&amp;"?utm_source="&amp;E1718&amp;"&amp;utm_medium="&amp;F1718&amp;"&amp;utm_campaign="&amp;H1718&amp;"&amp;utm_content="&amp;I1718</f>
        <v>https://firmsfinder.eu/?utm_source=partner&amp;utm_medium=partner&amp;utm_campaign=2610_ff_lansare&amp;utm_content=rece_general</v>
      </c>
    </row>
    <row r="1719" customFormat="false" ht="15" hidden="false" customHeight="false" outlineLevel="0" collapsed="false">
      <c r="A1719" s="10" t="s">
        <v>87</v>
      </c>
      <c r="B1719" s="10" t="str">
        <f aca="false">INDEX('Site-uri'!$B$2:$B$20,MATCH(A1719,'Site-uri'!$A$2:$A$20,0))</f>
        <v>firmsfinder.eu</v>
      </c>
      <c r="C1719" s="10" t="s">
        <v>191</v>
      </c>
      <c r="D1719" s="10" t="s">
        <v>225</v>
      </c>
      <c r="E1719" s="10" t="str">
        <f aca="false">INDEX(Canale!$C$2:$C$30,MATCH(C1719,Canale!$A$2:$A$30,0))</f>
        <v>partner</v>
      </c>
      <c r="F1719" s="10" t="str">
        <f aca="false">INDEX(Canale!$D$2:$D$30,MATCH(C1719,Canale!$A$2:$A$30,0))</f>
        <v>partner</v>
      </c>
      <c r="G1719" s="10" t="str">
        <f aca="false">INDEX('Site-uri'!$C$2:$C$20,MATCH(A1719,'Site-uri'!$A$2:$A$20,0))</f>
        <v>/</v>
      </c>
      <c r="H1719" s="10" t="str">
        <f aca="false">Config!$B$3</f>
        <v>2610_ff_lansare</v>
      </c>
      <c r="I1719" s="10" t="str">
        <f aca="false">D1719&amp;"_"&amp;Config!$B$4</f>
        <v>cald_general</v>
      </c>
      <c r="J1719" s="10" t="str">
        <f aca="false">"https://"&amp;B1719&amp;G1719&amp;"?utm_source="&amp;E1719&amp;"&amp;utm_medium="&amp;F1719&amp;"&amp;utm_campaign="&amp;H1719&amp;"&amp;utm_content="&amp;I1719</f>
        <v>https://firmsfinder.eu/?utm_source=partner&amp;utm_medium=partner&amp;utm_campaign=2610_ff_lansare&amp;utm_content=cald_general</v>
      </c>
    </row>
    <row r="1720" customFormat="false" ht="15" hidden="false" customHeight="false" outlineLevel="0" collapsed="false">
      <c r="A1720" s="10" t="s">
        <v>87</v>
      </c>
      <c r="B1720" s="10" t="str">
        <f aca="false">INDEX('Site-uri'!$B$2:$B$20,MATCH(A1720,'Site-uri'!$A$2:$A$20,0))</f>
        <v>firmsfinder.eu</v>
      </c>
      <c r="C1720" s="10" t="s">
        <v>191</v>
      </c>
      <c r="D1720" s="10" t="s">
        <v>231</v>
      </c>
      <c r="E1720" s="10" t="str">
        <f aca="false">INDEX(Canale!$C$2:$C$30,MATCH(C1720,Canale!$A$2:$A$30,0))</f>
        <v>partner</v>
      </c>
      <c r="F1720" s="10" t="str">
        <f aca="false">INDEX(Canale!$D$2:$D$30,MATCH(C1720,Canale!$A$2:$A$30,0))</f>
        <v>partner</v>
      </c>
      <c r="G1720" s="10" t="str">
        <f aca="false">INDEX('Site-uri'!$C$2:$C$20,MATCH(A1720,'Site-uri'!$A$2:$A$20,0))</f>
        <v>/</v>
      </c>
      <c r="H1720" s="10" t="str">
        <f aca="false">Config!$B$3</f>
        <v>2610_ff_lansare</v>
      </c>
      <c r="I1720" s="10" t="str">
        <f aca="false">D1720&amp;"_"&amp;Config!$B$4</f>
        <v>fierbinte_general</v>
      </c>
      <c r="J1720" s="10" t="str">
        <f aca="false">"https://"&amp;B1720&amp;G1720&amp;"?utm_source="&amp;E1720&amp;"&amp;utm_medium="&amp;F1720&amp;"&amp;utm_campaign="&amp;H1720&amp;"&amp;utm_content="&amp;I1720</f>
        <v>https://firmsfinder.eu/?utm_source=partner&amp;utm_medium=partner&amp;utm_campaign=2610_ff_lansare&amp;utm_content=fierbinte_general</v>
      </c>
    </row>
    <row r="1721" customFormat="false" ht="15" hidden="false" customHeight="false" outlineLevel="0" collapsed="false">
      <c r="A1721" s="10" t="s">
        <v>87</v>
      </c>
      <c r="B1721" s="10" t="str">
        <f aca="false">INDEX('Site-uri'!$B$2:$B$20,MATCH(A1721,'Site-uri'!$A$2:$A$20,0))</f>
        <v>firmsfinder.eu</v>
      </c>
      <c r="C1721" s="10" t="s">
        <v>191</v>
      </c>
      <c r="D1721" s="10" t="s">
        <v>237</v>
      </c>
      <c r="E1721" s="10" t="str">
        <f aca="false">INDEX(Canale!$C$2:$C$30,MATCH(C1721,Canale!$A$2:$A$30,0))</f>
        <v>partner</v>
      </c>
      <c r="F1721" s="10" t="str">
        <f aca="false">INDEX(Canale!$D$2:$D$30,MATCH(C1721,Canale!$A$2:$A$30,0))</f>
        <v>partner</v>
      </c>
      <c r="G1721" s="10" t="str">
        <f aca="false">INDEX('Site-uri'!$C$2:$C$20,MATCH(A1721,'Site-uri'!$A$2:$A$20,0))</f>
        <v>/</v>
      </c>
      <c r="H1721" s="10" t="str">
        <f aca="false">Config!$B$3</f>
        <v>2610_ff_lansare</v>
      </c>
      <c r="I1721" s="10" t="str">
        <f aca="false">D1721&amp;"_"&amp;Config!$B$4</f>
        <v>client_general</v>
      </c>
      <c r="J1721" s="10" t="str">
        <f aca="false">"https://"&amp;B1721&amp;G1721&amp;"?utm_source="&amp;E1721&amp;"&amp;utm_medium="&amp;F1721&amp;"&amp;utm_campaign="&amp;H1721&amp;"&amp;utm_content="&amp;I1721</f>
        <v>https://firmsfinder.eu/?utm_source=partner&amp;utm_medium=partner&amp;utm_campaign=2610_ff_lansare&amp;utm_content=client_general</v>
      </c>
    </row>
    <row r="1722" customFormat="false" ht="15" hidden="false" customHeight="false" outlineLevel="0" collapsed="false">
      <c r="A1722" s="10" t="s">
        <v>87</v>
      </c>
      <c r="B1722" s="10" t="str">
        <f aca="false">INDEX('Site-uri'!$B$2:$B$20,MATCH(A1722,'Site-uri'!$A$2:$A$20,0))</f>
        <v>firmsfinder.eu</v>
      </c>
      <c r="C1722" s="10" t="s">
        <v>193</v>
      </c>
      <c r="D1722" s="10" t="s">
        <v>219</v>
      </c>
      <c r="E1722" s="10" t="str">
        <f aca="false">INDEX(Canale!$C$2:$C$30,MATCH(C1722,Canale!$A$2:$A$30,0))</f>
        <v>pdf_proposal</v>
      </c>
      <c r="F1722" s="10" t="str">
        <f aca="false">INDEX(Canale!$D$2:$D$30,MATCH(C1722,Canale!$A$2:$A$30,0))</f>
        <v>document</v>
      </c>
      <c r="G1722" s="10" t="str">
        <f aca="false">INDEX('Site-uri'!$C$2:$C$20,MATCH(A1722,'Site-uri'!$A$2:$A$20,0))</f>
        <v>/</v>
      </c>
      <c r="H1722" s="10" t="str">
        <f aca="false">Config!$B$3</f>
        <v>2610_ff_lansare</v>
      </c>
      <c r="I1722" s="10" t="str">
        <f aca="false">D1722&amp;"_"&amp;Config!$B$4</f>
        <v>rece_general</v>
      </c>
      <c r="J1722" s="10" t="str">
        <f aca="false">"https://"&amp;B1722&amp;G1722&amp;"?utm_source="&amp;E1722&amp;"&amp;utm_medium="&amp;F1722&amp;"&amp;utm_campaign="&amp;H1722&amp;"&amp;utm_content="&amp;I1722</f>
        <v>https://firmsfinder.eu/?utm_source=pdf_proposal&amp;utm_medium=document&amp;utm_campaign=2610_ff_lansare&amp;utm_content=rece_general</v>
      </c>
    </row>
    <row r="1723" customFormat="false" ht="15" hidden="false" customHeight="false" outlineLevel="0" collapsed="false">
      <c r="A1723" s="10" t="s">
        <v>87</v>
      </c>
      <c r="B1723" s="10" t="str">
        <f aca="false">INDEX('Site-uri'!$B$2:$B$20,MATCH(A1723,'Site-uri'!$A$2:$A$20,0))</f>
        <v>firmsfinder.eu</v>
      </c>
      <c r="C1723" s="10" t="s">
        <v>193</v>
      </c>
      <c r="D1723" s="10" t="s">
        <v>225</v>
      </c>
      <c r="E1723" s="10" t="str">
        <f aca="false">INDEX(Canale!$C$2:$C$30,MATCH(C1723,Canale!$A$2:$A$30,0))</f>
        <v>pdf_proposal</v>
      </c>
      <c r="F1723" s="10" t="str">
        <f aca="false">INDEX(Canale!$D$2:$D$30,MATCH(C1723,Canale!$A$2:$A$30,0))</f>
        <v>document</v>
      </c>
      <c r="G1723" s="10" t="str">
        <f aca="false">INDEX('Site-uri'!$C$2:$C$20,MATCH(A1723,'Site-uri'!$A$2:$A$20,0))</f>
        <v>/</v>
      </c>
      <c r="H1723" s="10" t="str">
        <f aca="false">Config!$B$3</f>
        <v>2610_ff_lansare</v>
      </c>
      <c r="I1723" s="10" t="str">
        <f aca="false">D1723&amp;"_"&amp;Config!$B$4</f>
        <v>cald_general</v>
      </c>
      <c r="J1723" s="10" t="str">
        <f aca="false">"https://"&amp;B1723&amp;G1723&amp;"?utm_source="&amp;E1723&amp;"&amp;utm_medium="&amp;F1723&amp;"&amp;utm_campaign="&amp;H1723&amp;"&amp;utm_content="&amp;I1723</f>
        <v>https://firmsfinder.eu/?utm_source=pdf_proposal&amp;utm_medium=document&amp;utm_campaign=2610_ff_lansare&amp;utm_content=cald_general</v>
      </c>
    </row>
    <row r="1724" customFormat="false" ht="15" hidden="false" customHeight="false" outlineLevel="0" collapsed="false">
      <c r="A1724" s="10" t="s">
        <v>87</v>
      </c>
      <c r="B1724" s="10" t="str">
        <f aca="false">INDEX('Site-uri'!$B$2:$B$20,MATCH(A1724,'Site-uri'!$A$2:$A$20,0))</f>
        <v>firmsfinder.eu</v>
      </c>
      <c r="C1724" s="10" t="s">
        <v>193</v>
      </c>
      <c r="D1724" s="10" t="s">
        <v>231</v>
      </c>
      <c r="E1724" s="10" t="str">
        <f aca="false">INDEX(Canale!$C$2:$C$30,MATCH(C1724,Canale!$A$2:$A$30,0))</f>
        <v>pdf_proposal</v>
      </c>
      <c r="F1724" s="10" t="str">
        <f aca="false">INDEX(Canale!$D$2:$D$30,MATCH(C1724,Canale!$A$2:$A$30,0))</f>
        <v>document</v>
      </c>
      <c r="G1724" s="10" t="str">
        <f aca="false">INDEX('Site-uri'!$C$2:$C$20,MATCH(A1724,'Site-uri'!$A$2:$A$20,0))</f>
        <v>/</v>
      </c>
      <c r="H1724" s="10" t="str">
        <f aca="false">Config!$B$3</f>
        <v>2610_ff_lansare</v>
      </c>
      <c r="I1724" s="10" t="str">
        <f aca="false">D1724&amp;"_"&amp;Config!$B$4</f>
        <v>fierbinte_general</v>
      </c>
      <c r="J1724" s="10" t="str">
        <f aca="false">"https://"&amp;B1724&amp;G1724&amp;"?utm_source="&amp;E1724&amp;"&amp;utm_medium="&amp;F1724&amp;"&amp;utm_campaign="&amp;H1724&amp;"&amp;utm_content="&amp;I1724</f>
        <v>https://firmsfinder.eu/?utm_source=pdf_proposal&amp;utm_medium=document&amp;utm_campaign=2610_ff_lansare&amp;utm_content=fierbinte_general</v>
      </c>
    </row>
    <row r="1725" customFormat="false" ht="15" hidden="false" customHeight="false" outlineLevel="0" collapsed="false">
      <c r="A1725" s="10" t="s">
        <v>87</v>
      </c>
      <c r="B1725" s="10" t="str">
        <f aca="false">INDEX('Site-uri'!$B$2:$B$20,MATCH(A1725,'Site-uri'!$A$2:$A$20,0))</f>
        <v>firmsfinder.eu</v>
      </c>
      <c r="C1725" s="10" t="s">
        <v>193</v>
      </c>
      <c r="D1725" s="10" t="s">
        <v>237</v>
      </c>
      <c r="E1725" s="10" t="str">
        <f aca="false">INDEX(Canale!$C$2:$C$30,MATCH(C1725,Canale!$A$2:$A$30,0))</f>
        <v>pdf_proposal</v>
      </c>
      <c r="F1725" s="10" t="str">
        <f aca="false">INDEX(Canale!$D$2:$D$30,MATCH(C1725,Canale!$A$2:$A$30,0))</f>
        <v>document</v>
      </c>
      <c r="G1725" s="10" t="str">
        <f aca="false">INDEX('Site-uri'!$C$2:$C$20,MATCH(A1725,'Site-uri'!$A$2:$A$20,0))</f>
        <v>/</v>
      </c>
      <c r="H1725" s="10" t="str">
        <f aca="false">Config!$B$3</f>
        <v>2610_ff_lansare</v>
      </c>
      <c r="I1725" s="10" t="str">
        <f aca="false">D1725&amp;"_"&amp;Config!$B$4</f>
        <v>client_general</v>
      </c>
      <c r="J1725" s="10" t="str">
        <f aca="false">"https://"&amp;B1725&amp;G1725&amp;"?utm_source="&amp;E1725&amp;"&amp;utm_medium="&amp;F1725&amp;"&amp;utm_campaign="&amp;H1725&amp;"&amp;utm_content="&amp;I1725</f>
        <v>https://firmsfinder.eu/?utm_source=pdf_proposal&amp;utm_medium=document&amp;utm_campaign=2610_ff_lansare&amp;utm_content=client_general</v>
      </c>
    </row>
    <row r="1726" customFormat="false" ht="15" hidden="false" customHeight="false" outlineLevel="0" collapsed="false">
      <c r="A1726" s="10" t="s">
        <v>87</v>
      </c>
      <c r="B1726" s="10" t="str">
        <f aca="false">INDEX('Site-uri'!$B$2:$B$20,MATCH(A1726,'Site-uri'!$A$2:$A$20,0))</f>
        <v>firmsfinder.eu</v>
      </c>
      <c r="C1726" s="10" t="s">
        <v>198</v>
      </c>
      <c r="D1726" s="10" t="s">
        <v>219</v>
      </c>
      <c r="E1726" s="10" t="str">
        <f aca="false">INDEX(Canale!$C$2:$C$30,MATCH(C1726,Canale!$A$2:$A$30,0))</f>
        <v>qr_print</v>
      </c>
      <c r="F1726" s="10" t="str">
        <f aca="false">INDEX(Canale!$D$2:$D$30,MATCH(C1726,Canale!$A$2:$A$30,0))</f>
        <v>qr</v>
      </c>
      <c r="G1726" s="10" t="str">
        <f aca="false">INDEX('Site-uri'!$C$2:$C$20,MATCH(A1726,'Site-uri'!$A$2:$A$20,0))</f>
        <v>/</v>
      </c>
      <c r="H1726" s="10" t="str">
        <f aca="false">Config!$B$3</f>
        <v>2610_ff_lansare</v>
      </c>
      <c r="I1726" s="10" t="str">
        <f aca="false">D1726&amp;"_"&amp;Config!$B$4</f>
        <v>rece_general</v>
      </c>
      <c r="J1726" s="10" t="str">
        <f aca="false">"https://"&amp;B1726&amp;G1726&amp;"?utm_source="&amp;E1726&amp;"&amp;utm_medium="&amp;F1726&amp;"&amp;utm_campaign="&amp;H1726&amp;"&amp;utm_content="&amp;I1726</f>
        <v>https://firmsfinder.eu/?utm_source=qr_print&amp;utm_medium=qr&amp;utm_campaign=2610_ff_lansare&amp;utm_content=rece_general</v>
      </c>
    </row>
    <row r="1727" customFormat="false" ht="15" hidden="false" customHeight="false" outlineLevel="0" collapsed="false">
      <c r="A1727" s="10" t="s">
        <v>87</v>
      </c>
      <c r="B1727" s="10" t="str">
        <f aca="false">INDEX('Site-uri'!$B$2:$B$20,MATCH(A1727,'Site-uri'!$A$2:$A$20,0))</f>
        <v>firmsfinder.eu</v>
      </c>
      <c r="C1727" s="10" t="s">
        <v>198</v>
      </c>
      <c r="D1727" s="10" t="s">
        <v>225</v>
      </c>
      <c r="E1727" s="10" t="str">
        <f aca="false">INDEX(Canale!$C$2:$C$30,MATCH(C1727,Canale!$A$2:$A$30,0))</f>
        <v>qr_print</v>
      </c>
      <c r="F1727" s="10" t="str">
        <f aca="false">INDEX(Canale!$D$2:$D$30,MATCH(C1727,Canale!$A$2:$A$30,0))</f>
        <v>qr</v>
      </c>
      <c r="G1727" s="10" t="str">
        <f aca="false">INDEX('Site-uri'!$C$2:$C$20,MATCH(A1727,'Site-uri'!$A$2:$A$20,0))</f>
        <v>/</v>
      </c>
      <c r="H1727" s="10" t="str">
        <f aca="false">Config!$B$3</f>
        <v>2610_ff_lansare</v>
      </c>
      <c r="I1727" s="10" t="str">
        <f aca="false">D1727&amp;"_"&amp;Config!$B$4</f>
        <v>cald_general</v>
      </c>
      <c r="J1727" s="10" t="str">
        <f aca="false">"https://"&amp;B1727&amp;G1727&amp;"?utm_source="&amp;E1727&amp;"&amp;utm_medium="&amp;F1727&amp;"&amp;utm_campaign="&amp;H1727&amp;"&amp;utm_content="&amp;I1727</f>
        <v>https://firmsfinder.eu/?utm_source=qr_print&amp;utm_medium=qr&amp;utm_campaign=2610_ff_lansare&amp;utm_content=cald_general</v>
      </c>
    </row>
    <row r="1728" customFormat="false" ht="15" hidden="false" customHeight="false" outlineLevel="0" collapsed="false">
      <c r="A1728" s="10" t="s">
        <v>87</v>
      </c>
      <c r="B1728" s="10" t="str">
        <f aca="false">INDEX('Site-uri'!$B$2:$B$20,MATCH(A1728,'Site-uri'!$A$2:$A$20,0))</f>
        <v>firmsfinder.eu</v>
      </c>
      <c r="C1728" s="10" t="s">
        <v>198</v>
      </c>
      <c r="D1728" s="10" t="s">
        <v>231</v>
      </c>
      <c r="E1728" s="10" t="str">
        <f aca="false">INDEX(Canale!$C$2:$C$30,MATCH(C1728,Canale!$A$2:$A$30,0))</f>
        <v>qr_print</v>
      </c>
      <c r="F1728" s="10" t="str">
        <f aca="false">INDEX(Canale!$D$2:$D$30,MATCH(C1728,Canale!$A$2:$A$30,0))</f>
        <v>qr</v>
      </c>
      <c r="G1728" s="10" t="str">
        <f aca="false">INDEX('Site-uri'!$C$2:$C$20,MATCH(A1728,'Site-uri'!$A$2:$A$20,0))</f>
        <v>/</v>
      </c>
      <c r="H1728" s="10" t="str">
        <f aca="false">Config!$B$3</f>
        <v>2610_ff_lansare</v>
      </c>
      <c r="I1728" s="10" t="str">
        <f aca="false">D1728&amp;"_"&amp;Config!$B$4</f>
        <v>fierbinte_general</v>
      </c>
      <c r="J1728" s="10" t="str">
        <f aca="false">"https://"&amp;B1728&amp;G1728&amp;"?utm_source="&amp;E1728&amp;"&amp;utm_medium="&amp;F1728&amp;"&amp;utm_campaign="&amp;H1728&amp;"&amp;utm_content="&amp;I1728</f>
        <v>https://firmsfinder.eu/?utm_source=qr_print&amp;utm_medium=qr&amp;utm_campaign=2610_ff_lansare&amp;utm_content=fierbinte_general</v>
      </c>
    </row>
    <row r="1729" customFormat="false" ht="15" hidden="false" customHeight="false" outlineLevel="0" collapsed="false">
      <c r="A1729" s="10" t="s">
        <v>87</v>
      </c>
      <c r="B1729" s="10" t="str">
        <f aca="false">INDEX('Site-uri'!$B$2:$B$20,MATCH(A1729,'Site-uri'!$A$2:$A$20,0))</f>
        <v>firmsfinder.eu</v>
      </c>
      <c r="C1729" s="10" t="s">
        <v>198</v>
      </c>
      <c r="D1729" s="10" t="s">
        <v>237</v>
      </c>
      <c r="E1729" s="10" t="str">
        <f aca="false">INDEX(Canale!$C$2:$C$30,MATCH(C1729,Canale!$A$2:$A$30,0))</f>
        <v>qr_print</v>
      </c>
      <c r="F1729" s="10" t="str">
        <f aca="false">INDEX(Canale!$D$2:$D$30,MATCH(C1729,Canale!$A$2:$A$30,0))</f>
        <v>qr</v>
      </c>
      <c r="G1729" s="10" t="str">
        <f aca="false">INDEX('Site-uri'!$C$2:$C$20,MATCH(A1729,'Site-uri'!$A$2:$A$20,0))</f>
        <v>/</v>
      </c>
      <c r="H1729" s="10" t="str">
        <f aca="false">Config!$B$3</f>
        <v>2610_ff_lansare</v>
      </c>
      <c r="I1729" s="10" t="str">
        <f aca="false">D1729&amp;"_"&amp;Config!$B$4</f>
        <v>client_general</v>
      </c>
      <c r="J1729" s="10" t="str">
        <f aca="false">"https://"&amp;B1729&amp;G1729&amp;"?utm_source="&amp;E1729&amp;"&amp;utm_medium="&amp;F1729&amp;"&amp;utm_campaign="&amp;H1729&amp;"&amp;utm_content="&amp;I1729</f>
        <v>https://firmsfinder.eu/?utm_source=qr_print&amp;utm_medium=qr&amp;utm_campaign=2610_ff_lansare&amp;utm_content=client_general</v>
      </c>
    </row>
    <row r="1730" customFormat="false" ht="15" hidden="false" customHeight="false" outlineLevel="0" collapsed="false">
      <c r="A1730" s="10" t="s">
        <v>87</v>
      </c>
      <c r="B1730" s="10" t="str">
        <f aca="false">INDEX('Site-uri'!$B$2:$B$20,MATCH(A1730,'Site-uri'!$A$2:$A$20,0))</f>
        <v>firmsfinder.eu</v>
      </c>
      <c r="C1730" s="10" t="s">
        <v>202</v>
      </c>
      <c r="D1730" s="10" t="s">
        <v>219</v>
      </c>
      <c r="E1730" s="10" t="str">
        <f aca="false">INDEX(Canale!$C$2:$C$30,MATCH(C1730,Canale!$A$2:$A$30,0))</f>
        <v>event</v>
      </c>
      <c r="F1730" s="10" t="str">
        <f aca="false">INDEX(Canale!$D$2:$D$30,MATCH(C1730,Canale!$A$2:$A$30,0))</f>
        <v>event</v>
      </c>
      <c r="G1730" s="10" t="str">
        <f aca="false">INDEX('Site-uri'!$C$2:$C$20,MATCH(A1730,'Site-uri'!$A$2:$A$20,0))</f>
        <v>/</v>
      </c>
      <c r="H1730" s="10" t="str">
        <f aca="false">Config!$B$3</f>
        <v>2610_ff_lansare</v>
      </c>
      <c r="I1730" s="10" t="str">
        <f aca="false">D1730&amp;"_"&amp;Config!$B$4</f>
        <v>rece_general</v>
      </c>
      <c r="J1730" s="10" t="str">
        <f aca="false">"https://"&amp;B1730&amp;G1730&amp;"?utm_source="&amp;E1730&amp;"&amp;utm_medium="&amp;F1730&amp;"&amp;utm_campaign="&amp;H1730&amp;"&amp;utm_content="&amp;I1730</f>
        <v>https://firmsfinder.eu/?utm_source=event&amp;utm_medium=event&amp;utm_campaign=2610_ff_lansare&amp;utm_content=rece_general</v>
      </c>
    </row>
    <row r="1731" customFormat="false" ht="15" hidden="false" customHeight="false" outlineLevel="0" collapsed="false">
      <c r="A1731" s="10" t="s">
        <v>87</v>
      </c>
      <c r="B1731" s="10" t="str">
        <f aca="false">INDEX('Site-uri'!$B$2:$B$20,MATCH(A1731,'Site-uri'!$A$2:$A$20,0))</f>
        <v>firmsfinder.eu</v>
      </c>
      <c r="C1731" s="10" t="s">
        <v>202</v>
      </c>
      <c r="D1731" s="10" t="s">
        <v>225</v>
      </c>
      <c r="E1731" s="10" t="str">
        <f aca="false">INDEX(Canale!$C$2:$C$30,MATCH(C1731,Canale!$A$2:$A$30,0))</f>
        <v>event</v>
      </c>
      <c r="F1731" s="10" t="str">
        <f aca="false">INDEX(Canale!$D$2:$D$30,MATCH(C1731,Canale!$A$2:$A$30,0))</f>
        <v>event</v>
      </c>
      <c r="G1731" s="10" t="str">
        <f aca="false">INDEX('Site-uri'!$C$2:$C$20,MATCH(A1731,'Site-uri'!$A$2:$A$20,0))</f>
        <v>/</v>
      </c>
      <c r="H1731" s="10" t="str">
        <f aca="false">Config!$B$3</f>
        <v>2610_ff_lansare</v>
      </c>
      <c r="I1731" s="10" t="str">
        <f aca="false">D1731&amp;"_"&amp;Config!$B$4</f>
        <v>cald_general</v>
      </c>
      <c r="J1731" s="10" t="str">
        <f aca="false">"https://"&amp;B1731&amp;G1731&amp;"?utm_source="&amp;E1731&amp;"&amp;utm_medium="&amp;F1731&amp;"&amp;utm_campaign="&amp;H1731&amp;"&amp;utm_content="&amp;I1731</f>
        <v>https://firmsfinder.eu/?utm_source=event&amp;utm_medium=event&amp;utm_campaign=2610_ff_lansare&amp;utm_content=cald_general</v>
      </c>
    </row>
    <row r="1732" customFormat="false" ht="15" hidden="false" customHeight="false" outlineLevel="0" collapsed="false">
      <c r="A1732" s="10" t="s">
        <v>87</v>
      </c>
      <c r="B1732" s="10" t="str">
        <f aca="false">INDEX('Site-uri'!$B$2:$B$20,MATCH(A1732,'Site-uri'!$A$2:$A$20,0))</f>
        <v>firmsfinder.eu</v>
      </c>
      <c r="C1732" s="10" t="s">
        <v>202</v>
      </c>
      <c r="D1732" s="10" t="s">
        <v>231</v>
      </c>
      <c r="E1732" s="10" t="str">
        <f aca="false">INDEX(Canale!$C$2:$C$30,MATCH(C1732,Canale!$A$2:$A$30,0))</f>
        <v>event</v>
      </c>
      <c r="F1732" s="10" t="str">
        <f aca="false">INDEX(Canale!$D$2:$D$30,MATCH(C1732,Canale!$A$2:$A$30,0))</f>
        <v>event</v>
      </c>
      <c r="G1732" s="10" t="str">
        <f aca="false">INDEX('Site-uri'!$C$2:$C$20,MATCH(A1732,'Site-uri'!$A$2:$A$20,0))</f>
        <v>/</v>
      </c>
      <c r="H1732" s="10" t="str">
        <f aca="false">Config!$B$3</f>
        <v>2610_ff_lansare</v>
      </c>
      <c r="I1732" s="10" t="str">
        <f aca="false">D1732&amp;"_"&amp;Config!$B$4</f>
        <v>fierbinte_general</v>
      </c>
      <c r="J1732" s="10" t="str">
        <f aca="false">"https://"&amp;B1732&amp;G1732&amp;"?utm_source="&amp;E1732&amp;"&amp;utm_medium="&amp;F1732&amp;"&amp;utm_campaign="&amp;H1732&amp;"&amp;utm_content="&amp;I1732</f>
        <v>https://firmsfinder.eu/?utm_source=event&amp;utm_medium=event&amp;utm_campaign=2610_ff_lansare&amp;utm_content=fierbinte_general</v>
      </c>
    </row>
    <row r="1733" customFormat="false" ht="15" hidden="false" customHeight="false" outlineLevel="0" collapsed="false">
      <c r="A1733" s="10" t="s">
        <v>87</v>
      </c>
      <c r="B1733" s="10" t="str">
        <f aca="false">INDEX('Site-uri'!$B$2:$B$20,MATCH(A1733,'Site-uri'!$A$2:$A$20,0))</f>
        <v>firmsfinder.eu</v>
      </c>
      <c r="C1733" s="10" t="s">
        <v>202</v>
      </c>
      <c r="D1733" s="10" t="s">
        <v>237</v>
      </c>
      <c r="E1733" s="10" t="str">
        <f aca="false">INDEX(Canale!$C$2:$C$30,MATCH(C1733,Canale!$A$2:$A$30,0))</f>
        <v>event</v>
      </c>
      <c r="F1733" s="10" t="str">
        <f aca="false">INDEX(Canale!$D$2:$D$30,MATCH(C1733,Canale!$A$2:$A$30,0))</f>
        <v>event</v>
      </c>
      <c r="G1733" s="10" t="str">
        <f aca="false">INDEX('Site-uri'!$C$2:$C$20,MATCH(A1733,'Site-uri'!$A$2:$A$20,0))</f>
        <v>/</v>
      </c>
      <c r="H1733" s="10" t="str">
        <f aca="false">Config!$B$3</f>
        <v>2610_ff_lansare</v>
      </c>
      <c r="I1733" s="10" t="str">
        <f aca="false">D1733&amp;"_"&amp;Config!$B$4</f>
        <v>client_general</v>
      </c>
      <c r="J1733" s="10" t="str">
        <f aca="false">"https://"&amp;B1733&amp;G1733&amp;"?utm_source="&amp;E1733&amp;"&amp;utm_medium="&amp;F1733&amp;"&amp;utm_campaign="&amp;H1733&amp;"&amp;utm_content="&amp;I1733</f>
        <v>https://firmsfinder.eu/?utm_source=event&amp;utm_medium=event&amp;utm_campaign=2610_ff_lansare&amp;utm_content=client_general</v>
      </c>
    </row>
    <row r="1734" customFormat="false" ht="15" hidden="false" customHeight="false" outlineLevel="0" collapsed="false">
      <c r="A1734" s="10" t="s">
        <v>87</v>
      </c>
      <c r="B1734" s="10" t="str">
        <f aca="false">INDEX('Site-uri'!$B$2:$B$20,MATCH(A1734,'Site-uri'!$A$2:$A$20,0))</f>
        <v>firmsfinder.eu</v>
      </c>
      <c r="C1734" s="10" t="s">
        <v>204</v>
      </c>
      <c r="D1734" s="10" t="s">
        <v>219</v>
      </c>
      <c r="E1734" s="10" t="str">
        <f aca="false">INDEX(Canale!$C$2:$C$30,MATCH(C1734,Canale!$A$2:$A$30,0))</f>
        <v>a2a_agent_card</v>
      </c>
      <c r="F1734" s="10" t="str">
        <f aca="false">INDEX(Canale!$D$2:$D$30,MATCH(C1734,Canale!$A$2:$A$30,0))</f>
        <v>agent</v>
      </c>
      <c r="G1734" s="10" t="str">
        <f aca="false">INDEX('Site-uri'!$C$2:$C$20,MATCH(A1734,'Site-uri'!$A$2:$A$20,0))</f>
        <v>/</v>
      </c>
      <c r="H1734" s="10" t="str">
        <f aca="false">Config!$B$3</f>
        <v>2610_ff_lansare</v>
      </c>
      <c r="I1734" s="10" t="str">
        <f aca="false">D1734&amp;"_"&amp;Config!$B$4</f>
        <v>rece_general</v>
      </c>
      <c r="J1734" s="10" t="str">
        <f aca="false">"https://"&amp;B1734&amp;G1734&amp;"?utm_source="&amp;E1734&amp;"&amp;utm_medium="&amp;F1734&amp;"&amp;utm_campaign="&amp;H1734&amp;"&amp;utm_content="&amp;I1734</f>
        <v>https://firmsfinder.eu/?utm_source=a2a_agent_card&amp;utm_medium=agent&amp;utm_campaign=2610_ff_lansare&amp;utm_content=rece_general</v>
      </c>
    </row>
    <row r="1735" customFormat="false" ht="15" hidden="false" customHeight="false" outlineLevel="0" collapsed="false">
      <c r="A1735" s="10" t="s">
        <v>87</v>
      </c>
      <c r="B1735" s="10" t="str">
        <f aca="false">INDEX('Site-uri'!$B$2:$B$20,MATCH(A1735,'Site-uri'!$A$2:$A$20,0))</f>
        <v>firmsfinder.eu</v>
      </c>
      <c r="C1735" s="10" t="s">
        <v>204</v>
      </c>
      <c r="D1735" s="10" t="s">
        <v>225</v>
      </c>
      <c r="E1735" s="10" t="str">
        <f aca="false">INDEX(Canale!$C$2:$C$30,MATCH(C1735,Canale!$A$2:$A$30,0))</f>
        <v>a2a_agent_card</v>
      </c>
      <c r="F1735" s="10" t="str">
        <f aca="false">INDEX(Canale!$D$2:$D$30,MATCH(C1735,Canale!$A$2:$A$30,0))</f>
        <v>agent</v>
      </c>
      <c r="G1735" s="10" t="str">
        <f aca="false">INDEX('Site-uri'!$C$2:$C$20,MATCH(A1735,'Site-uri'!$A$2:$A$20,0))</f>
        <v>/</v>
      </c>
      <c r="H1735" s="10" t="str">
        <f aca="false">Config!$B$3</f>
        <v>2610_ff_lansare</v>
      </c>
      <c r="I1735" s="10" t="str">
        <f aca="false">D1735&amp;"_"&amp;Config!$B$4</f>
        <v>cald_general</v>
      </c>
      <c r="J1735" s="10" t="str">
        <f aca="false">"https://"&amp;B1735&amp;G1735&amp;"?utm_source="&amp;E1735&amp;"&amp;utm_medium="&amp;F1735&amp;"&amp;utm_campaign="&amp;H1735&amp;"&amp;utm_content="&amp;I1735</f>
        <v>https://firmsfinder.eu/?utm_source=a2a_agent_card&amp;utm_medium=agent&amp;utm_campaign=2610_ff_lansare&amp;utm_content=cald_general</v>
      </c>
    </row>
    <row r="1736" customFormat="false" ht="15" hidden="false" customHeight="false" outlineLevel="0" collapsed="false">
      <c r="A1736" s="10" t="s">
        <v>87</v>
      </c>
      <c r="B1736" s="10" t="str">
        <f aca="false">INDEX('Site-uri'!$B$2:$B$20,MATCH(A1736,'Site-uri'!$A$2:$A$20,0))</f>
        <v>firmsfinder.eu</v>
      </c>
      <c r="C1736" s="10" t="s">
        <v>204</v>
      </c>
      <c r="D1736" s="10" t="s">
        <v>231</v>
      </c>
      <c r="E1736" s="10" t="str">
        <f aca="false">INDEX(Canale!$C$2:$C$30,MATCH(C1736,Canale!$A$2:$A$30,0))</f>
        <v>a2a_agent_card</v>
      </c>
      <c r="F1736" s="10" t="str">
        <f aca="false">INDEX(Canale!$D$2:$D$30,MATCH(C1736,Canale!$A$2:$A$30,0))</f>
        <v>agent</v>
      </c>
      <c r="G1736" s="10" t="str">
        <f aca="false">INDEX('Site-uri'!$C$2:$C$20,MATCH(A1736,'Site-uri'!$A$2:$A$20,0))</f>
        <v>/</v>
      </c>
      <c r="H1736" s="10" t="str">
        <f aca="false">Config!$B$3</f>
        <v>2610_ff_lansare</v>
      </c>
      <c r="I1736" s="10" t="str">
        <f aca="false">D1736&amp;"_"&amp;Config!$B$4</f>
        <v>fierbinte_general</v>
      </c>
      <c r="J1736" s="10" t="str">
        <f aca="false">"https://"&amp;B1736&amp;G1736&amp;"?utm_source="&amp;E1736&amp;"&amp;utm_medium="&amp;F1736&amp;"&amp;utm_campaign="&amp;H1736&amp;"&amp;utm_content="&amp;I1736</f>
        <v>https://firmsfinder.eu/?utm_source=a2a_agent_card&amp;utm_medium=agent&amp;utm_campaign=2610_ff_lansare&amp;utm_content=fierbinte_general</v>
      </c>
    </row>
    <row r="1737" customFormat="false" ht="15" hidden="false" customHeight="false" outlineLevel="0" collapsed="false">
      <c r="A1737" s="10" t="s">
        <v>87</v>
      </c>
      <c r="B1737" s="10" t="str">
        <f aca="false">INDEX('Site-uri'!$B$2:$B$20,MATCH(A1737,'Site-uri'!$A$2:$A$20,0))</f>
        <v>firmsfinder.eu</v>
      </c>
      <c r="C1737" s="10" t="s">
        <v>204</v>
      </c>
      <c r="D1737" s="10" t="s">
        <v>237</v>
      </c>
      <c r="E1737" s="10" t="str">
        <f aca="false">INDEX(Canale!$C$2:$C$30,MATCH(C1737,Canale!$A$2:$A$30,0))</f>
        <v>a2a_agent_card</v>
      </c>
      <c r="F1737" s="10" t="str">
        <f aca="false">INDEX(Canale!$D$2:$D$30,MATCH(C1737,Canale!$A$2:$A$30,0))</f>
        <v>agent</v>
      </c>
      <c r="G1737" s="10" t="str">
        <f aca="false">INDEX('Site-uri'!$C$2:$C$20,MATCH(A1737,'Site-uri'!$A$2:$A$20,0))</f>
        <v>/</v>
      </c>
      <c r="H1737" s="10" t="str">
        <f aca="false">Config!$B$3</f>
        <v>2610_ff_lansare</v>
      </c>
      <c r="I1737" s="10" t="str">
        <f aca="false">D1737&amp;"_"&amp;Config!$B$4</f>
        <v>client_general</v>
      </c>
      <c r="J1737" s="10" t="str">
        <f aca="false">"https://"&amp;B1737&amp;G1737&amp;"?utm_source="&amp;E1737&amp;"&amp;utm_medium="&amp;F1737&amp;"&amp;utm_campaign="&amp;H1737&amp;"&amp;utm_content="&amp;I1737</f>
        <v>https://firmsfinder.eu/?utm_source=a2a_agent_card&amp;utm_medium=agent&amp;utm_campaign=2610_ff_lansare&amp;utm_content=client_general</v>
      </c>
    </row>
    <row r="1738" customFormat="false" ht="15" hidden="false" customHeight="false" outlineLevel="0" collapsed="false">
      <c r="A1738" s="10" t="s">
        <v>87</v>
      </c>
      <c r="B1738" s="10" t="str">
        <f aca="false">INDEX('Site-uri'!$B$2:$B$20,MATCH(A1738,'Site-uri'!$A$2:$A$20,0))</f>
        <v>firmsfinder.eu</v>
      </c>
      <c r="C1738" s="10" t="s">
        <v>209</v>
      </c>
      <c r="D1738" s="10" t="s">
        <v>219</v>
      </c>
      <c r="E1738" s="10" t="str">
        <f aca="false">INDEX(Canale!$C$2:$C$30,MATCH(C1738,Canale!$A$2:$A$30,0))</f>
        <v>llms_txt</v>
      </c>
      <c r="F1738" s="10" t="str">
        <f aca="false">INDEX(Canale!$D$2:$D$30,MATCH(C1738,Canale!$A$2:$A$30,0))</f>
        <v>ai_web</v>
      </c>
      <c r="G1738" s="10" t="str">
        <f aca="false">INDEX('Site-uri'!$C$2:$C$20,MATCH(A1738,'Site-uri'!$A$2:$A$20,0))</f>
        <v>/</v>
      </c>
      <c r="H1738" s="10" t="str">
        <f aca="false">Config!$B$3</f>
        <v>2610_ff_lansare</v>
      </c>
      <c r="I1738" s="10" t="str">
        <f aca="false">D1738&amp;"_"&amp;Config!$B$4</f>
        <v>rece_general</v>
      </c>
      <c r="J1738" s="10" t="str">
        <f aca="false">"https://"&amp;B1738&amp;G1738&amp;"?utm_source="&amp;E1738&amp;"&amp;utm_medium="&amp;F1738&amp;"&amp;utm_campaign="&amp;H1738&amp;"&amp;utm_content="&amp;I1738</f>
        <v>https://firmsfinder.eu/?utm_source=llms_txt&amp;utm_medium=ai_web&amp;utm_campaign=2610_ff_lansare&amp;utm_content=rece_general</v>
      </c>
    </row>
    <row r="1739" customFormat="false" ht="15" hidden="false" customHeight="false" outlineLevel="0" collapsed="false">
      <c r="A1739" s="10" t="s">
        <v>87</v>
      </c>
      <c r="B1739" s="10" t="str">
        <f aca="false">INDEX('Site-uri'!$B$2:$B$20,MATCH(A1739,'Site-uri'!$A$2:$A$20,0))</f>
        <v>firmsfinder.eu</v>
      </c>
      <c r="C1739" s="10" t="s">
        <v>209</v>
      </c>
      <c r="D1739" s="10" t="s">
        <v>225</v>
      </c>
      <c r="E1739" s="10" t="str">
        <f aca="false">INDEX(Canale!$C$2:$C$30,MATCH(C1739,Canale!$A$2:$A$30,0))</f>
        <v>llms_txt</v>
      </c>
      <c r="F1739" s="10" t="str">
        <f aca="false">INDEX(Canale!$D$2:$D$30,MATCH(C1739,Canale!$A$2:$A$30,0))</f>
        <v>ai_web</v>
      </c>
      <c r="G1739" s="10" t="str">
        <f aca="false">INDEX('Site-uri'!$C$2:$C$20,MATCH(A1739,'Site-uri'!$A$2:$A$20,0))</f>
        <v>/</v>
      </c>
      <c r="H1739" s="10" t="str">
        <f aca="false">Config!$B$3</f>
        <v>2610_ff_lansare</v>
      </c>
      <c r="I1739" s="10" t="str">
        <f aca="false">D1739&amp;"_"&amp;Config!$B$4</f>
        <v>cald_general</v>
      </c>
      <c r="J1739" s="10" t="str">
        <f aca="false">"https://"&amp;B1739&amp;G1739&amp;"?utm_source="&amp;E1739&amp;"&amp;utm_medium="&amp;F1739&amp;"&amp;utm_campaign="&amp;H1739&amp;"&amp;utm_content="&amp;I1739</f>
        <v>https://firmsfinder.eu/?utm_source=llms_txt&amp;utm_medium=ai_web&amp;utm_campaign=2610_ff_lansare&amp;utm_content=cald_general</v>
      </c>
    </row>
    <row r="1740" customFormat="false" ht="15" hidden="false" customHeight="false" outlineLevel="0" collapsed="false">
      <c r="A1740" s="10" t="s">
        <v>87</v>
      </c>
      <c r="B1740" s="10" t="str">
        <f aca="false">INDEX('Site-uri'!$B$2:$B$20,MATCH(A1740,'Site-uri'!$A$2:$A$20,0))</f>
        <v>firmsfinder.eu</v>
      </c>
      <c r="C1740" s="10" t="s">
        <v>209</v>
      </c>
      <c r="D1740" s="10" t="s">
        <v>231</v>
      </c>
      <c r="E1740" s="10" t="str">
        <f aca="false">INDEX(Canale!$C$2:$C$30,MATCH(C1740,Canale!$A$2:$A$30,0))</f>
        <v>llms_txt</v>
      </c>
      <c r="F1740" s="10" t="str">
        <f aca="false">INDEX(Canale!$D$2:$D$30,MATCH(C1740,Canale!$A$2:$A$30,0))</f>
        <v>ai_web</v>
      </c>
      <c r="G1740" s="10" t="str">
        <f aca="false">INDEX('Site-uri'!$C$2:$C$20,MATCH(A1740,'Site-uri'!$A$2:$A$20,0))</f>
        <v>/</v>
      </c>
      <c r="H1740" s="10" t="str">
        <f aca="false">Config!$B$3</f>
        <v>2610_ff_lansare</v>
      </c>
      <c r="I1740" s="10" t="str">
        <f aca="false">D1740&amp;"_"&amp;Config!$B$4</f>
        <v>fierbinte_general</v>
      </c>
      <c r="J1740" s="10" t="str">
        <f aca="false">"https://"&amp;B1740&amp;G1740&amp;"?utm_source="&amp;E1740&amp;"&amp;utm_medium="&amp;F1740&amp;"&amp;utm_campaign="&amp;H1740&amp;"&amp;utm_content="&amp;I1740</f>
        <v>https://firmsfinder.eu/?utm_source=llms_txt&amp;utm_medium=ai_web&amp;utm_campaign=2610_ff_lansare&amp;utm_content=fierbinte_general</v>
      </c>
    </row>
    <row r="1741" customFormat="false" ht="15" hidden="false" customHeight="false" outlineLevel="0" collapsed="false">
      <c r="A1741" s="10" t="s">
        <v>87</v>
      </c>
      <c r="B1741" s="10" t="str">
        <f aca="false">INDEX('Site-uri'!$B$2:$B$20,MATCH(A1741,'Site-uri'!$A$2:$A$20,0))</f>
        <v>firmsfinder.eu</v>
      </c>
      <c r="C1741" s="10" t="s">
        <v>209</v>
      </c>
      <c r="D1741" s="10" t="s">
        <v>237</v>
      </c>
      <c r="E1741" s="10" t="str">
        <f aca="false">INDEX(Canale!$C$2:$C$30,MATCH(C1741,Canale!$A$2:$A$30,0))</f>
        <v>llms_txt</v>
      </c>
      <c r="F1741" s="10" t="str">
        <f aca="false">INDEX(Canale!$D$2:$D$30,MATCH(C1741,Canale!$A$2:$A$30,0))</f>
        <v>ai_web</v>
      </c>
      <c r="G1741" s="10" t="str">
        <f aca="false">INDEX('Site-uri'!$C$2:$C$20,MATCH(A1741,'Site-uri'!$A$2:$A$20,0))</f>
        <v>/</v>
      </c>
      <c r="H1741" s="10" t="str">
        <f aca="false">Config!$B$3</f>
        <v>2610_ff_lansare</v>
      </c>
      <c r="I1741" s="10" t="str">
        <f aca="false">D1741&amp;"_"&amp;Config!$B$4</f>
        <v>client_general</v>
      </c>
      <c r="J1741" s="10" t="str">
        <f aca="false">"https://"&amp;B1741&amp;G1741&amp;"?utm_source="&amp;E1741&amp;"&amp;utm_medium="&amp;F1741&amp;"&amp;utm_campaign="&amp;H1741&amp;"&amp;utm_content="&amp;I1741</f>
        <v>https://firmsfinder.eu/?utm_source=llms_txt&amp;utm_medium=ai_web&amp;utm_campaign=2610_ff_lansare&amp;utm_content=client_general</v>
      </c>
    </row>
    <row r="1742" customFormat="false" ht="15" hidden="false" customHeight="false" outlineLevel="0" collapsed="false">
      <c r="A1742" s="10" t="s">
        <v>90</v>
      </c>
      <c r="B1742" s="10" t="str">
        <f aca="false">INDEX('Site-uri'!$B$2:$B$20,MATCH(A1742,'Site-uri'!$A$2:$A$20,0))</f>
        <v>b2b-ai-library.org</v>
      </c>
      <c r="C1742" s="10" t="s">
        <v>104</v>
      </c>
      <c r="D1742" s="10" t="s">
        <v>219</v>
      </c>
      <c r="E1742" s="10" t="str">
        <f aca="false">INDEX(Canale!$C$2:$C$30,MATCH(C1742,Canale!$A$2:$A$30,0))</f>
        <v>linkedin_personal</v>
      </c>
      <c r="F1742" s="10" t="str">
        <f aca="false">INDEX(Canale!$D$2:$D$30,MATCH(C1742,Canale!$A$2:$A$30,0))</f>
        <v>social</v>
      </c>
      <c r="G1742" s="10" t="str">
        <f aca="false">INDEX('Site-uri'!$C$2:$C$20,MATCH(A1742,'Site-uri'!$A$2:$A$20,0))</f>
        <v>/</v>
      </c>
      <c r="H1742" s="10" t="str">
        <f aca="false">Config!$B$3</f>
        <v>2610_ff_lansare</v>
      </c>
      <c r="I1742" s="10" t="str">
        <f aca="false">D1742&amp;"_"&amp;Config!$B$4</f>
        <v>rece_general</v>
      </c>
      <c r="J1742" s="10" t="str">
        <f aca="false">"https://"&amp;B1742&amp;G1742&amp;"?utm_source="&amp;E1742&amp;"&amp;utm_medium="&amp;F1742&amp;"&amp;utm_campaign="&amp;H1742&amp;"&amp;utm_content="&amp;I1742</f>
        <v>https://b2b-ai-library.org/?utm_source=linkedin_personal&amp;utm_medium=social&amp;utm_campaign=2610_ff_lansare&amp;utm_content=rece_general</v>
      </c>
    </row>
    <row r="1743" customFormat="false" ht="15" hidden="false" customHeight="false" outlineLevel="0" collapsed="false">
      <c r="A1743" s="10" t="s">
        <v>90</v>
      </c>
      <c r="B1743" s="10" t="str">
        <f aca="false">INDEX('Site-uri'!$B$2:$B$20,MATCH(A1743,'Site-uri'!$A$2:$A$20,0))</f>
        <v>b2b-ai-library.org</v>
      </c>
      <c r="C1743" s="10" t="s">
        <v>104</v>
      </c>
      <c r="D1743" s="10" t="s">
        <v>225</v>
      </c>
      <c r="E1743" s="10" t="str">
        <f aca="false">INDEX(Canale!$C$2:$C$30,MATCH(C1743,Canale!$A$2:$A$30,0))</f>
        <v>linkedin_personal</v>
      </c>
      <c r="F1743" s="10" t="str">
        <f aca="false">INDEX(Canale!$D$2:$D$30,MATCH(C1743,Canale!$A$2:$A$30,0))</f>
        <v>social</v>
      </c>
      <c r="G1743" s="10" t="str">
        <f aca="false">INDEX('Site-uri'!$C$2:$C$20,MATCH(A1743,'Site-uri'!$A$2:$A$20,0))</f>
        <v>/</v>
      </c>
      <c r="H1743" s="10" t="str">
        <f aca="false">Config!$B$3</f>
        <v>2610_ff_lansare</v>
      </c>
      <c r="I1743" s="10" t="str">
        <f aca="false">D1743&amp;"_"&amp;Config!$B$4</f>
        <v>cald_general</v>
      </c>
      <c r="J1743" s="10" t="str">
        <f aca="false">"https://"&amp;B1743&amp;G1743&amp;"?utm_source="&amp;E1743&amp;"&amp;utm_medium="&amp;F1743&amp;"&amp;utm_campaign="&amp;H1743&amp;"&amp;utm_content="&amp;I1743</f>
        <v>https://b2b-ai-library.org/?utm_source=linkedin_personal&amp;utm_medium=social&amp;utm_campaign=2610_ff_lansare&amp;utm_content=cald_general</v>
      </c>
    </row>
    <row r="1744" customFormat="false" ht="15" hidden="false" customHeight="false" outlineLevel="0" collapsed="false">
      <c r="A1744" s="10" t="s">
        <v>90</v>
      </c>
      <c r="B1744" s="10" t="str">
        <f aca="false">INDEX('Site-uri'!$B$2:$B$20,MATCH(A1744,'Site-uri'!$A$2:$A$20,0))</f>
        <v>b2b-ai-library.org</v>
      </c>
      <c r="C1744" s="10" t="s">
        <v>104</v>
      </c>
      <c r="D1744" s="10" t="s">
        <v>231</v>
      </c>
      <c r="E1744" s="10" t="str">
        <f aca="false">INDEX(Canale!$C$2:$C$30,MATCH(C1744,Canale!$A$2:$A$30,0))</f>
        <v>linkedin_personal</v>
      </c>
      <c r="F1744" s="10" t="str">
        <f aca="false">INDEX(Canale!$D$2:$D$30,MATCH(C1744,Canale!$A$2:$A$30,0))</f>
        <v>social</v>
      </c>
      <c r="G1744" s="10" t="str">
        <f aca="false">INDEX('Site-uri'!$C$2:$C$20,MATCH(A1744,'Site-uri'!$A$2:$A$20,0))</f>
        <v>/</v>
      </c>
      <c r="H1744" s="10" t="str">
        <f aca="false">Config!$B$3</f>
        <v>2610_ff_lansare</v>
      </c>
      <c r="I1744" s="10" t="str">
        <f aca="false">D1744&amp;"_"&amp;Config!$B$4</f>
        <v>fierbinte_general</v>
      </c>
      <c r="J1744" s="10" t="str">
        <f aca="false">"https://"&amp;B1744&amp;G1744&amp;"?utm_source="&amp;E1744&amp;"&amp;utm_medium="&amp;F1744&amp;"&amp;utm_campaign="&amp;H1744&amp;"&amp;utm_content="&amp;I1744</f>
        <v>https://b2b-ai-library.org/?utm_source=linkedin_personal&amp;utm_medium=social&amp;utm_campaign=2610_ff_lansare&amp;utm_content=fierbinte_general</v>
      </c>
    </row>
    <row r="1745" customFormat="false" ht="15" hidden="false" customHeight="false" outlineLevel="0" collapsed="false">
      <c r="A1745" s="10" t="s">
        <v>90</v>
      </c>
      <c r="B1745" s="10" t="str">
        <f aca="false">INDEX('Site-uri'!$B$2:$B$20,MATCH(A1745,'Site-uri'!$A$2:$A$20,0))</f>
        <v>b2b-ai-library.org</v>
      </c>
      <c r="C1745" s="10" t="s">
        <v>104</v>
      </c>
      <c r="D1745" s="10" t="s">
        <v>237</v>
      </c>
      <c r="E1745" s="10" t="str">
        <f aca="false">INDEX(Canale!$C$2:$C$30,MATCH(C1745,Canale!$A$2:$A$30,0))</f>
        <v>linkedin_personal</v>
      </c>
      <c r="F1745" s="10" t="str">
        <f aca="false">INDEX(Canale!$D$2:$D$30,MATCH(C1745,Canale!$A$2:$A$30,0))</f>
        <v>social</v>
      </c>
      <c r="G1745" s="10" t="str">
        <f aca="false">INDEX('Site-uri'!$C$2:$C$20,MATCH(A1745,'Site-uri'!$A$2:$A$20,0))</f>
        <v>/</v>
      </c>
      <c r="H1745" s="10" t="str">
        <f aca="false">Config!$B$3</f>
        <v>2610_ff_lansare</v>
      </c>
      <c r="I1745" s="10" t="str">
        <f aca="false">D1745&amp;"_"&amp;Config!$B$4</f>
        <v>client_general</v>
      </c>
      <c r="J1745" s="10" t="str">
        <f aca="false">"https://"&amp;B1745&amp;G1745&amp;"?utm_source="&amp;E1745&amp;"&amp;utm_medium="&amp;F1745&amp;"&amp;utm_campaign="&amp;H1745&amp;"&amp;utm_content="&amp;I1745</f>
        <v>https://b2b-ai-library.org/?utm_source=linkedin_personal&amp;utm_medium=social&amp;utm_campaign=2610_ff_lansare&amp;utm_content=client_general</v>
      </c>
    </row>
    <row r="1746" customFormat="false" ht="15" hidden="false" customHeight="false" outlineLevel="0" collapsed="false">
      <c r="A1746" s="10" t="s">
        <v>90</v>
      </c>
      <c r="B1746" s="10" t="str">
        <f aca="false">INDEX('Site-uri'!$B$2:$B$20,MATCH(A1746,'Site-uri'!$A$2:$A$20,0))</f>
        <v>b2b-ai-library.org</v>
      </c>
      <c r="C1746" s="10" t="s">
        <v>109</v>
      </c>
      <c r="D1746" s="10" t="s">
        <v>219</v>
      </c>
      <c r="E1746" s="10" t="str">
        <f aca="false">INDEX(Canale!$C$2:$C$30,MATCH(C1746,Canale!$A$2:$A$30,0))</f>
        <v>linkedin_company</v>
      </c>
      <c r="F1746" s="10" t="str">
        <f aca="false">INDEX(Canale!$D$2:$D$30,MATCH(C1746,Canale!$A$2:$A$30,0))</f>
        <v>social</v>
      </c>
      <c r="G1746" s="10" t="str">
        <f aca="false">INDEX('Site-uri'!$C$2:$C$20,MATCH(A1746,'Site-uri'!$A$2:$A$20,0))</f>
        <v>/</v>
      </c>
      <c r="H1746" s="10" t="str">
        <f aca="false">Config!$B$3</f>
        <v>2610_ff_lansare</v>
      </c>
      <c r="I1746" s="10" t="str">
        <f aca="false">D1746&amp;"_"&amp;Config!$B$4</f>
        <v>rece_general</v>
      </c>
      <c r="J1746" s="10" t="str">
        <f aca="false">"https://"&amp;B1746&amp;G1746&amp;"?utm_source="&amp;E1746&amp;"&amp;utm_medium="&amp;F1746&amp;"&amp;utm_campaign="&amp;H1746&amp;"&amp;utm_content="&amp;I1746</f>
        <v>https://b2b-ai-library.org/?utm_source=linkedin_company&amp;utm_medium=social&amp;utm_campaign=2610_ff_lansare&amp;utm_content=rece_general</v>
      </c>
    </row>
    <row r="1747" customFormat="false" ht="15" hidden="false" customHeight="false" outlineLevel="0" collapsed="false">
      <c r="A1747" s="10" t="s">
        <v>90</v>
      </c>
      <c r="B1747" s="10" t="str">
        <f aca="false">INDEX('Site-uri'!$B$2:$B$20,MATCH(A1747,'Site-uri'!$A$2:$A$20,0))</f>
        <v>b2b-ai-library.org</v>
      </c>
      <c r="C1747" s="10" t="s">
        <v>109</v>
      </c>
      <c r="D1747" s="10" t="s">
        <v>225</v>
      </c>
      <c r="E1747" s="10" t="str">
        <f aca="false">INDEX(Canale!$C$2:$C$30,MATCH(C1747,Canale!$A$2:$A$30,0))</f>
        <v>linkedin_company</v>
      </c>
      <c r="F1747" s="10" t="str">
        <f aca="false">INDEX(Canale!$D$2:$D$30,MATCH(C1747,Canale!$A$2:$A$30,0))</f>
        <v>social</v>
      </c>
      <c r="G1747" s="10" t="str">
        <f aca="false">INDEX('Site-uri'!$C$2:$C$20,MATCH(A1747,'Site-uri'!$A$2:$A$20,0))</f>
        <v>/</v>
      </c>
      <c r="H1747" s="10" t="str">
        <f aca="false">Config!$B$3</f>
        <v>2610_ff_lansare</v>
      </c>
      <c r="I1747" s="10" t="str">
        <f aca="false">D1747&amp;"_"&amp;Config!$B$4</f>
        <v>cald_general</v>
      </c>
      <c r="J1747" s="10" t="str">
        <f aca="false">"https://"&amp;B1747&amp;G1747&amp;"?utm_source="&amp;E1747&amp;"&amp;utm_medium="&amp;F1747&amp;"&amp;utm_campaign="&amp;H1747&amp;"&amp;utm_content="&amp;I1747</f>
        <v>https://b2b-ai-library.org/?utm_source=linkedin_company&amp;utm_medium=social&amp;utm_campaign=2610_ff_lansare&amp;utm_content=cald_general</v>
      </c>
    </row>
    <row r="1748" customFormat="false" ht="15" hidden="false" customHeight="false" outlineLevel="0" collapsed="false">
      <c r="A1748" s="10" t="s">
        <v>90</v>
      </c>
      <c r="B1748" s="10" t="str">
        <f aca="false">INDEX('Site-uri'!$B$2:$B$20,MATCH(A1748,'Site-uri'!$A$2:$A$20,0))</f>
        <v>b2b-ai-library.org</v>
      </c>
      <c r="C1748" s="10" t="s">
        <v>109</v>
      </c>
      <c r="D1748" s="10" t="s">
        <v>231</v>
      </c>
      <c r="E1748" s="10" t="str">
        <f aca="false">INDEX(Canale!$C$2:$C$30,MATCH(C1748,Canale!$A$2:$A$30,0))</f>
        <v>linkedin_company</v>
      </c>
      <c r="F1748" s="10" t="str">
        <f aca="false">INDEX(Canale!$D$2:$D$30,MATCH(C1748,Canale!$A$2:$A$30,0))</f>
        <v>social</v>
      </c>
      <c r="G1748" s="10" t="str">
        <f aca="false">INDEX('Site-uri'!$C$2:$C$20,MATCH(A1748,'Site-uri'!$A$2:$A$20,0))</f>
        <v>/</v>
      </c>
      <c r="H1748" s="10" t="str">
        <f aca="false">Config!$B$3</f>
        <v>2610_ff_lansare</v>
      </c>
      <c r="I1748" s="10" t="str">
        <f aca="false">D1748&amp;"_"&amp;Config!$B$4</f>
        <v>fierbinte_general</v>
      </c>
      <c r="J1748" s="10" t="str">
        <f aca="false">"https://"&amp;B1748&amp;G1748&amp;"?utm_source="&amp;E1748&amp;"&amp;utm_medium="&amp;F1748&amp;"&amp;utm_campaign="&amp;H1748&amp;"&amp;utm_content="&amp;I1748</f>
        <v>https://b2b-ai-library.org/?utm_source=linkedin_company&amp;utm_medium=social&amp;utm_campaign=2610_ff_lansare&amp;utm_content=fierbinte_general</v>
      </c>
    </row>
    <row r="1749" customFormat="false" ht="15" hidden="false" customHeight="false" outlineLevel="0" collapsed="false">
      <c r="A1749" s="10" t="s">
        <v>90</v>
      </c>
      <c r="B1749" s="10" t="str">
        <f aca="false">INDEX('Site-uri'!$B$2:$B$20,MATCH(A1749,'Site-uri'!$A$2:$A$20,0))</f>
        <v>b2b-ai-library.org</v>
      </c>
      <c r="C1749" s="10" t="s">
        <v>109</v>
      </c>
      <c r="D1749" s="10" t="s">
        <v>237</v>
      </c>
      <c r="E1749" s="10" t="str">
        <f aca="false">INDEX(Canale!$C$2:$C$30,MATCH(C1749,Canale!$A$2:$A$30,0))</f>
        <v>linkedin_company</v>
      </c>
      <c r="F1749" s="10" t="str">
        <f aca="false">INDEX(Canale!$D$2:$D$30,MATCH(C1749,Canale!$A$2:$A$30,0))</f>
        <v>social</v>
      </c>
      <c r="G1749" s="10" t="str">
        <f aca="false">INDEX('Site-uri'!$C$2:$C$20,MATCH(A1749,'Site-uri'!$A$2:$A$20,0))</f>
        <v>/</v>
      </c>
      <c r="H1749" s="10" t="str">
        <f aca="false">Config!$B$3</f>
        <v>2610_ff_lansare</v>
      </c>
      <c r="I1749" s="10" t="str">
        <f aca="false">D1749&amp;"_"&amp;Config!$B$4</f>
        <v>client_general</v>
      </c>
      <c r="J1749" s="10" t="str">
        <f aca="false">"https://"&amp;B1749&amp;G1749&amp;"?utm_source="&amp;E1749&amp;"&amp;utm_medium="&amp;F1749&amp;"&amp;utm_campaign="&amp;H1749&amp;"&amp;utm_content="&amp;I1749</f>
        <v>https://b2b-ai-library.org/?utm_source=linkedin_company&amp;utm_medium=social&amp;utm_campaign=2610_ff_lansare&amp;utm_content=client_general</v>
      </c>
    </row>
    <row r="1750" customFormat="false" ht="15" hidden="false" customHeight="false" outlineLevel="0" collapsed="false">
      <c r="A1750" s="10" t="s">
        <v>90</v>
      </c>
      <c r="B1750" s="10" t="str">
        <f aca="false">INDEX('Site-uri'!$B$2:$B$20,MATCH(A1750,'Site-uri'!$A$2:$A$20,0))</f>
        <v>b2b-ai-library.org</v>
      </c>
      <c r="C1750" s="10" t="s">
        <v>112</v>
      </c>
      <c r="D1750" s="10" t="s">
        <v>219</v>
      </c>
      <c r="E1750" s="10" t="str">
        <f aca="false">INDEX(Canale!$C$2:$C$30,MATCH(C1750,Canale!$A$2:$A$30,0))</f>
        <v>linkedin_showcase</v>
      </c>
      <c r="F1750" s="10" t="str">
        <f aca="false">INDEX(Canale!$D$2:$D$30,MATCH(C1750,Canale!$A$2:$A$30,0))</f>
        <v>social</v>
      </c>
      <c r="G1750" s="10" t="str">
        <f aca="false">INDEX('Site-uri'!$C$2:$C$20,MATCH(A1750,'Site-uri'!$A$2:$A$20,0))</f>
        <v>/</v>
      </c>
      <c r="H1750" s="10" t="str">
        <f aca="false">Config!$B$3</f>
        <v>2610_ff_lansare</v>
      </c>
      <c r="I1750" s="10" t="str">
        <f aca="false">D1750&amp;"_"&amp;Config!$B$4</f>
        <v>rece_general</v>
      </c>
      <c r="J1750" s="10" t="str">
        <f aca="false">"https://"&amp;B1750&amp;G1750&amp;"?utm_source="&amp;E1750&amp;"&amp;utm_medium="&amp;F1750&amp;"&amp;utm_campaign="&amp;H1750&amp;"&amp;utm_content="&amp;I1750</f>
        <v>https://b2b-ai-library.org/?utm_source=linkedin_showcase&amp;utm_medium=social&amp;utm_campaign=2610_ff_lansare&amp;utm_content=rece_general</v>
      </c>
    </row>
    <row r="1751" customFormat="false" ht="15" hidden="false" customHeight="false" outlineLevel="0" collapsed="false">
      <c r="A1751" s="10" t="s">
        <v>90</v>
      </c>
      <c r="B1751" s="10" t="str">
        <f aca="false">INDEX('Site-uri'!$B$2:$B$20,MATCH(A1751,'Site-uri'!$A$2:$A$20,0))</f>
        <v>b2b-ai-library.org</v>
      </c>
      <c r="C1751" s="10" t="s">
        <v>112</v>
      </c>
      <c r="D1751" s="10" t="s">
        <v>225</v>
      </c>
      <c r="E1751" s="10" t="str">
        <f aca="false">INDEX(Canale!$C$2:$C$30,MATCH(C1751,Canale!$A$2:$A$30,0))</f>
        <v>linkedin_showcase</v>
      </c>
      <c r="F1751" s="10" t="str">
        <f aca="false">INDEX(Canale!$D$2:$D$30,MATCH(C1751,Canale!$A$2:$A$30,0))</f>
        <v>social</v>
      </c>
      <c r="G1751" s="10" t="str">
        <f aca="false">INDEX('Site-uri'!$C$2:$C$20,MATCH(A1751,'Site-uri'!$A$2:$A$20,0))</f>
        <v>/</v>
      </c>
      <c r="H1751" s="10" t="str">
        <f aca="false">Config!$B$3</f>
        <v>2610_ff_lansare</v>
      </c>
      <c r="I1751" s="10" t="str">
        <f aca="false">D1751&amp;"_"&amp;Config!$B$4</f>
        <v>cald_general</v>
      </c>
      <c r="J1751" s="10" t="str">
        <f aca="false">"https://"&amp;B1751&amp;G1751&amp;"?utm_source="&amp;E1751&amp;"&amp;utm_medium="&amp;F1751&amp;"&amp;utm_campaign="&amp;H1751&amp;"&amp;utm_content="&amp;I1751</f>
        <v>https://b2b-ai-library.org/?utm_source=linkedin_showcase&amp;utm_medium=social&amp;utm_campaign=2610_ff_lansare&amp;utm_content=cald_general</v>
      </c>
    </row>
    <row r="1752" customFormat="false" ht="15" hidden="false" customHeight="false" outlineLevel="0" collapsed="false">
      <c r="A1752" s="10" t="s">
        <v>90</v>
      </c>
      <c r="B1752" s="10" t="str">
        <f aca="false">INDEX('Site-uri'!$B$2:$B$20,MATCH(A1752,'Site-uri'!$A$2:$A$20,0))</f>
        <v>b2b-ai-library.org</v>
      </c>
      <c r="C1752" s="10" t="s">
        <v>112</v>
      </c>
      <c r="D1752" s="10" t="s">
        <v>231</v>
      </c>
      <c r="E1752" s="10" t="str">
        <f aca="false">INDEX(Canale!$C$2:$C$30,MATCH(C1752,Canale!$A$2:$A$30,0))</f>
        <v>linkedin_showcase</v>
      </c>
      <c r="F1752" s="10" t="str">
        <f aca="false">INDEX(Canale!$D$2:$D$30,MATCH(C1752,Canale!$A$2:$A$30,0))</f>
        <v>social</v>
      </c>
      <c r="G1752" s="10" t="str">
        <f aca="false">INDEX('Site-uri'!$C$2:$C$20,MATCH(A1752,'Site-uri'!$A$2:$A$20,0))</f>
        <v>/</v>
      </c>
      <c r="H1752" s="10" t="str">
        <f aca="false">Config!$B$3</f>
        <v>2610_ff_lansare</v>
      </c>
      <c r="I1752" s="10" t="str">
        <f aca="false">D1752&amp;"_"&amp;Config!$B$4</f>
        <v>fierbinte_general</v>
      </c>
      <c r="J1752" s="10" t="str">
        <f aca="false">"https://"&amp;B1752&amp;G1752&amp;"?utm_source="&amp;E1752&amp;"&amp;utm_medium="&amp;F1752&amp;"&amp;utm_campaign="&amp;H1752&amp;"&amp;utm_content="&amp;I1752</f>
        <v>https://b2b-ai-library.org/?utm_source=linkedin_showcase&amp;utm_medium=social&amp;utm_campaign=2610_ff_lansare&amp;utm_content=fierbinte_general</v>
      </c>
    </row>
    <row r="1753" customFormat="false" ht="15" hidden="false" customHeight="false" outlineLevel="0" collapsed="false">
      <c r="A1753" s="10" t="s">
        <v>90</v>
      </c>
      <c r="B1753" s="10" t="str">
        <f aca="false">INDEX('Site-uri'!$B$2:$B$20,MATCH(A1753,'Site-uri'!$A$2:$A$20,0))</f>
        <v>b2b-ai-library.org</v>
      </c>
      <c r="C1753" s="10" t="s">
        <v>112</v>
      </c>
      <c r="D1753" s="10" t="s">
        <v>237</v>
      </c>
      <c r="E1753" s="10" t="str">
        <f aca="false">INDEX(Canale!$C$2:$C$30,MATCH(C1753,Canale!$A$2:$A$30,0))</f>
        <v>linkedin_showcase</v>
      </c>
      <c r="F1753" s="10" t="str">
        <f aca="false">INDEX(Canale!$D$2:$D$30,MATCH(C1753,Canale!$A$2:$A$30,0))</f>
        <v>social</v>
      </c>
      <c r="G1753" s="10" t="str">
        <f aca="false">INDEX('Site-uri'!$C$2:$C$20,MATCH(A1753,'Site-uri'!$A$2:$A$20,0))</f>
        <v>/</v>
      </c>
      <c r="H1753" s="10" t="str">
        <f aca="false">Config!$B$3</f>
        <v>2610_ff_lansare</v>
      </c>
      <c r="I1753" s="10" t="str">
        <f aca="false">D1753&amp;"_"&amp;Config!$B$4</f>
        <v>client_general</v>
      </c>
      <c r="J1753" s="10" t="str">
        <f aca="false">"https://"&amp;B1753&amp;G1753&amp;"?utm_source="&amp;E1753&amp;"&amp;utm_medium="&amp;F1753&amp;"&amp;utm_campaign="&amp;H1753&amp;"&amp;utm_content="&amp;I1753</f>
        <v>https://b2b-ai-library.org/?utm_source=linkedin_showcase&amp;utm_medium=social&amp;utm_campaign=2610_ff_lansare&amp;utm_content=client_general</v>
      </c>
    </row>
    <row r="1754" customFormat="false" ht="15" hidden="false" customHeight="false" outlineLevel="0" collapsed="false">
      <c r="A1754" s="10" t="s">
        <v>90</v>
      </c>
      <c r="B1754" s="10" t="str">
        <f aca="false">INDEX('Site-uri'!$B$2:$B$20,MATCH(A1754,'Site-uri'!$A$2:$A$20,0))</f>
        <v>b2b-ai-library.org</v>
      </c>
      <c r="C1754" s="10" t="s">
        <v>115</v>
      </c>
      <c r="D1754" s="10" t="s">
        <v>219</v>
      </c>
      <c r="E1754" s="10" t="str">
        <f aca="false">INDEX(Canale!$C$2:$C$30,MATCH(C1754,Canale!$A$2:$A$30,0))</f>
        <v>linkedin_newsletter</v>
      </c>
      <c r="F1754" s="10" t="str">
        <f aca="false">INDEX(Canale!$D$2:$D$30,MATCH(C1754,Canale!$A$2:$A$30,0))</f>
        <v>social</v>
      </c>
      <c r="G1754" s="10" t="str">
        <f aca="false">INDEX('Site-uri'!$C$2:$C$20,MATCH(A1754,'Site-uri'!$A$2:$A$20,0))</f>
        <v>/</v>
      </c>
      <c r="H1754" s="10" t="str">
        <f aca="false">Config!$B$3</f>
        <v>2610_ff_lansare</v>
      </c>
      <c r="I1754" s="10" t="str">
        <f aca="false">D1754&amp;"_"&amp;Config!$B$4</f>
        <v>rece_general</v>
      </c>
      <c r="J1754" s="10" t="str">
        <f aca="false">"https://"&amp;B1754&amp;G1754&amp;"?utm_source="&amp;E1754&amp;"&amp;utm_medium="&amp;F1754&amp;"&amp;utm_campaign="&amp;H1754&amp;"&amp;utm_content="&amp;I1754</f>
        <v>https://b2b-ai-library.org/?utm_source=linkedin_newsletter&amp;utm_medium=social&amp;utm_campaign=2610_ff_lansare&amp;utm_content=rece_general</v>
      </c>
    </row>
    <row r="1755" customFormat="false" ht="15" hidden="false" customHeight="false" outlineLevel="0" collapsed="false">
      <c r="A1755" s="10" t="s">
        <v>90</v>
      </c>
      <c r="B1755" s="10" t="str">
        <f aca="false">INDEX('Site-uri'!$B$2:$B$20,MATCH(A1755,'Site-uri'!$A$2:$A$20,0))</f>
        <v>b2b-ai-library.org</v>
      </c>
      <c r="C1755" s="10" t="s">
        <v>115</v>
      </c>
      <c r="D1755" s="10" t="s">
        <v>225</v>
      </c>
      <c r="E1755" s="10" t="str">
        <f aca="false">INDEX(Canale!$C$2:$C$30,MATCH(C1755,Canale!$A$2:$A$30,0))</f>
        <v>linkedin_newsletter</v>
      </c>
      <c r="F1755" s="10" t="str">
        <f aca="false">INDEX(Canale!$D$2:$D$30,MATCH(C1755,Canale!$A$2:$A$30,0))</f>
        <v>social</v>
      </c>
      <c r="G1755" s="10" t="str">
        <f aca="false">INDEX('Site-uri'!$C$2:$C$20,MATCH(A1755,'Site-uri'!$A$2:$A$20,0))</f>
        <v>/</v>
      </c>
      <c r="H1755" s="10" t="str">
        <f aca="false">Config!$B$3</f>
        <v>2610_ff_lansare</v>
      </c>
      <c r="I1755" s="10" t="str">
        <f aca="false">D1755&amp;"_"&amp;Config!$B$4</f>
        <v>cald_general</v>
      </c>
      <c r="J1755" s="10" t="str">
        <f aca="false">"https://"&amp;B1755&amp;G1755&amp;"?utm_source="&amp;E1755&amp;"&amp;utm_medium="&amp;F1755&amp;"&amp;utm_campaign="&amp;H1755&amp;"&amp;utm_content="&amp;I1755</f>
        <v>https://b2b-ai-library.org/?utm_source=linkedin_newsletter&amp;utm_medium=social&amp;utm_campaign=2610_ff_lansare&amp;utm_content=cald_general</v>
      </c>
    </row>
    <row r="1756" customFormat="false" ht="15" hidden="false" customHeight="false" outlineLevel="0" collapsed="false">
      <c r="A1756" s="10" t="s">
        <v>90</v>
      </c>
      <c r="B1756" s="10" t="str">
        <f aca="false">INDEX('Site-uri'!$B$2:$B$20,MATCH(A1756,'Site-uri'!$A$2:$A$20,0))</f>
        <v>b2b-ai-library.org</v>
      </c>
      <c r="C1756" s="10" t="s">
        <v>115</v>
      </c>
      <c r="D1756" s="10" t="s">
        <v>231</v>
      </c>
      <c r="E1756" s="10" t="str">
        <f aca="false">INDEX(Canale!$C$2:$C$30,MATCH(C1756,Canale!$A$2:$A$30,0))</f>
        <v>linkedin_newsletter</v>
      </c>
      <c r="F1756" s="10" t="str">
        <f aca="false">INDEX(Canale!$D$2:$D$30,MATCH(C1756,Canale!$A$2:$A$30,0))</f>
        <v>social</v>
      </c>
      <c r="G1756" s="10" t="str">
        <f aca="false">INDEX('Site-uri'!$C$2:$C$20,MATCH(A1756,'Site-uri'!$A$2:$A$20,0))</f>
        <v>/</v>
      </c>
      <c r="H1756" s="10" t="str">
        <f aca="false">Config!$B$3</f>
        <v>2610_ff_lansare</v>
      </c>
      <c r="I1756" s="10" t="str">
        <f aca="false">D1756&amp;"_"&amp;Config!$B$4</f>
        <v>fierbinte_general</v>
      </c>
      <c r="J1756" s="10" t="str">
        <f aca="false">"https://"&amp;B1756&amp;G1756&amp;"?utm_source="&amp;E1756&amp;"&amp;utm_medium="&amp;F1756&amp;"&amp;utm_campaign="&amp;H1756&amp;"&amp;utm_content="&amp;I1756</f>
        <v>https://b2b-ai-library.org/?utm_source=linkedin_newsletter&amp;utm_medium=social&amp;utm_campaign=2610_ff_lansare&amp;utm_content=fierbinte_general</v>
      </c>
    </row>
    <row r="1757" customFormat="false" ht="15" hidden="false" customHeight="false" outlineLevel="0" collapsed="false">
      <c r="A1757" s="10" t="s">
        <v>90</v>
      </c>
      <c r="B1757" s="10" t="str">
        <f aca="false">INDEX('Site-uri'!$B$2:$B$20,MATCH(A1757,'Site-uri'!$A$2:$A$20,0))</f>
        <v>b2b-ai-library.org</v>
      </c>
      <c r="C1757" s="10" t="s">
        <v>115</v>
      </c>
      <c r="D1757" s="10" t="s">
        <v>237</v>
      </c>
      <c r="E1757" s="10" t="str">
        <f aca="false">INDEX(Canale!$C$2:$C$30,MATCH(C1757,Canale!$A$2:$A$30,0))</f>
        <v>linkedin_newsletter</v>
      </c>
      <c r="F1757" s="10" t="str">
        <f aca="false">INDEX(Canale!$D$2:$D$30,MATCH(C1757,Canale!$A$2:$A$30,0))</f>
        <v>social</v>
      </c>
      <c r="G1757" s="10" t="str">
        <f aca="false">INDEX('Site-uri'!$C$2:$C$20,MATCH(A1757,'Site-uri'!$A$2:$A$20,0))</f>
        <v>/</v>
      </c>
      <c r="H1757" s="10" t="str">
        <f aca="false">Config!$B$3</f>
        <v>2610_ff_lansare</v>
      </c>
      <c r="I1757" s="10" t="str">
        <f aca="false">D1757&amp;"_"&amp;Config!$B$4</f>
        <v>client_general</v>
      </c>
      <c r="J1757" s="10" t="str">
        <f aca="false">"https://"&amp;B1757&amp;G1757&amp;"?utm_source="&amp;E1757&amp;"&amp;utm_medium="&amp;F1757&amp;"&amp;utm_campaign="&amp;H1757&amp;"&amp;utm_content="&amp;I1757</f>
        <v>https://b2b-ai-library.org/?utm_source=linkedin_newsletter&amp;utm_medium=social&amp;utm_campaign=2610_ff_lansare&amp;utm_content=client_general</v>
      </c>
    </row>
    <row r="1758" customFormat="false" ht="15" hidden="false" customHeight="false" outlineLevel="0" collapsed="false">
      <c r="A1758" s="10" t="s">
        <v>90</v>
      </c>
      <c r="B1758" s="10" t="str">
        <f aca="false">INDEX('Site-uri'!$B$2:$B$20,MATCH(A1758,'Site-uri'!$A$2:$A$20,0))</f>
        <v>b2b-ai-library.org</v>
      </c>
      <c r="C1758" s="10" t="s">
        <v>118</v>
      </c>
      <c r="D1758" s="10" t="s">
        <v>219</v>
      </c>
      <c r="E1758" s="10" t="str">
        <f aca="false">INDEX(Canale!$C$2:$C$30,MATCH(C1758,Canale!$A$2:$A$30,0))</f>
        <v>linkedin_ads</v>
      </c>
      <c r="F1758" s="10" t="str">
        <f aca="false">INDEX(Canale!$D$2:$D$30,MATCH(C1758,Canale!$A$2:$A$30,0))</f>
        <v>paid_social</v>
      </c>
      <c r="G1758" s="10" t="str">
        <f aca="false">INDEX('Site-uri'!$C$2:$C$20,MATCH(A1758,'Site-uri'!$A$2:$A$20,0))</f>
        <v>/</v>
      </c>
      <c r="H1758" s="10" t="str">
        <f aca="false">Config!$B$3</f>
        <v>2610_ff_lansare</v>
      </c>
      <c r="I1758" s="10" t="str">
        <f aca="false">D1758&amp;"_"&amp;Config!$B$4</f>
        <v>rece_general</v>
      </c>
      <c r="J1758" s="10" t="str">
        <f aca="false">"https://"&amp;B1758&amp;G1758&amp;"?utm_source="&amp;E1758&amp;"&amp;utm_medium="&amp;F1758&amp;"&amp;utm_campaign="&amp;H1758&amp;"&amp;utm_content="&amp;I1758</f>
        <v>https://b2b-ai-library.org/?utm_source=linkedin_ads&amp;utm_medium=paid_social&amp;utm_campaign=2610_ff_lansare&amp;utm_content=rece_general</v>
      </c>
    </row>
    <row r="1759" customFormat="false" ht="15" hidden="false" customHeight="false" outlineLevel="0" collapsed="false">
      <c r="A1759" s="10" t="s">
        <v>90</v>
      </c>
      <c r="B1759" s="10" t="str">
        <f aca="false">INDEX('Site-uri'!$B$2:$B$20,MATCH(A1759,'Site-uri'!$A$2:$A$20,0))</f>
        <v>b2b-ai-library.org</v>
      </c>
      <c r="C1759" s="10" t="s">
        <v>118</v>
      </c>
      <c r="D1759" s="10" t="s">
        <v>225</v>
      </c>
      <c r="E1759" s="10" t="str">
        <f aca="false">INDEX(Canale!$C$2:$C$30,MATCH(C1759,Canale!$A$2:$A$30,0))</f>
        <v>linkedin_ads</v>
      </c>
      <c r="F1759" s="10" t="str">
        <f aca="false">INDEX(Canale!$D$2:$D$30,MATCH(C1759,Canale!$A$2:$A$30,0))</f>
        <v>paid_social</v>
      </c>
      <c r="G1759" s="10" t="str">
        <f aca="false">INDEX('Site-uri'!$C$2:$C$20,MATCH(A1759,'Site-uri'!$A$2:$A$20,0))</f>
        <v>/</v>
      </c>
      <c r="H1759" s="10" t="str">
        <f aca="false">Config!$B$3</f>
        <v>2610_ff_lansare</v>
      </c>
      <c r="I1759" s="10" t="str">
        <f aca="false">D1759&amp;"_"&amp;Config!$B$4</f>
        <v>cald_general</v>
      </c>
      <c r="J1759" s="10" t="str">
        <f aca="false">"https://"&amp;B1759&amp;G1759&amp;"?utm_source="&amp;E1759&amp;"&amp;utm_medium="&amp;F1759&amp;"&amp;utm_campaign="&amp;H1759&amp;"&amp;utm_content="&amp;I1759</f>
        <v>https://b2b-ai-library.org/?utm_source=linkedin_ads&amp;utm_medium=paid_social&amp;utm_campaign=2610_ff_lansare&amp;utm_content=cald_general</v>
      </c>
    </row>
    <row r="1760" customFormat="false" ht="15" hidden="false" customHeight="false" outlineLevel="0" collapsed="false">
      <c r="A1760" s="10" t="s">
        <v>90</v>
      </c>
      <c r="B1760" s="10" t="str">
        <f aca="false">INDEX('Site-uri'!$B$2:$B$20,MATCH(A1760,'Site-uri'!$A$2:$A$20,0))</f>
        <v>b2b-ai-library.org</v>
      </c>
      <c r="C1760" s="10" t="s">
        <v>118</v>
      </c>
      <c r="D1760" s="10" t="s">
        <v>231</v>
      </c>
      <c r="E1760" s="10" t="str">
        <f aca="false">INDEX(Canale!$C$2:$C$30,MATCH(C1760,Canale!$A$2:$A$30,0))</f>
        <v>linkedin_ads</v>
      </c>
      <c r="F1760" s="10" t="str">
        <f aca="false">INDEX(Canale!$D$2:$D$30,MATCH(C1760,Canale!$A$2:$A$30,0))</f>
        <v>paid_social</v>
      </c>
      <c r="G1760" s="10" t="str">
        <f aca="false">INDEX('Site-uri'!$C$2:$C$20,MATCH(A1760,'Site-uri'!$A$2:$A$20,0))</f>
        <v>/</v>
      </c>
      <c r="H1760" s="10" t="str">
        <f aca="false">Config!$B$3</f>
        <v>2610_ff_lansare</v>
      </c>
      <c r="I1760" s="10" t="str">
        <f aca="false">D1760&amp;"_"&amp;Config!$B$4</f>
        <v>fierbinte_general</v>
      </c>
      <c r="J1760" s="10" t="str">
        <f aca="false">"https://"&amp;B1760&amp;G1760&amp;"?utm_source="&amp;E1760&amp;"&amp;utm_medium="&amp;F1760&amp;"&amp;utm_campaign="&amp;H1760&amp;"&amp;utm_content="&amp;I1760</f>
        <v>https://b2b-ai-library.org/?utm_source=linkedin_ads&amp;utm_medium=paid_social&amp;utm_campaign=2610_ff_lansare&amp;utm_content=fierbinte_general</v>
      </c>
    </row>
    <row r="1761" customFormat="false" ht="15" hidden="false" customHeight="false" outlineLevel="0" collapsed="false">
      <c r="A1761" s="10" t="s">
        <v>90</v>
      </c>
      <c r="B1761" s="10" t="str">
        <f aca="false">INDEX('Site-uri'!$B$2:$B$20,MATCH(A1761,'Site-uri'!$A$2:$A$20,0))</f>
        <v>b2b-ai-library.org</v>
      </c>
      <c r="C1761" s="10" t="s">
        <v>118</v>
      </c>
      <c r="D1761" s="10" t="s">
        <v>237</v>
      </c>
      <c r="E1761" s="10" t="str">
        <f aca="false">INDEX(Canale!$C$2:$C$30,MATCH(C1761,Canale!$A$2:$A$30,0))</f>
        <v>linkedin_ads</v>
      </c>
      <c r="F1761" s="10" t="str">
        <f aca="false">INDEX(Canale!$D$2:$D$30,MATCH(C1761,Canale!$A$2:$A$30,0))</f>
        <v>paid_social</v>
      </c>
      <c r="G1761" s="10" t="str">
        <f aca="false">INDEX('Site-uri'!$C$2:$C$20,MATCH(A1761,'Site-uri'!$A$2:$A$20,0))</f>
        <v>/</v>
      </c>
      <c r="H1761" s="10" t="str">
        <f aca="false">Config!$B$3</f>
        <v>2610_ff_lansare</v>
      </c>
      <c r="I1761" s="10" t="str">
        <f aca="false">D1761&amp;"_"&amp;Config!$B$4</f>
        <v>client_general</v>
      </c>
      <c r="J1761" s="10" t="str">
        <f aca="false">"https://"&amp;B1761&amp;G1761&amp;"?utm_source="&amp;E1761&amp;"&amp;utm_medium="&amp;F1761&amp;"&amp;utm_campaign="&amp;H1761&amp;"&amp;utm_content="&amp;I1761</f>
        <v>https://b2b-ai-library.org/?utm_source=linkedin_ads&amp;utm_medium=paid_social&amp;utm_campaign=2610_ff_lansare&amp;utm_content=client_general</v>
      </c>
    </row>
    <row r="1762" customFormat="false" ht="15" hidden="false" customHeight="false" outlineLevel="0" collapsed="false">
      <c r="A1762" s="10" t="s">
        <v>90</v>
      </c>
      <c r="B1762" s="10" t="str">
        <f aca="false">INDEX('Site-uri'!$B$2:$B$20,MATCH(A1762,'Site-uri'!$A$2:$A$20,0))</f>
        <v>b2b-ai-library.org</v>
      </c>
      <c r="C1762" s="10" t="s">
        <v>122</v>
      </c>
      <c r="D1762" s="10" t="s">
        <v>219</v>
      </c>
      <c r="E1762" s="10" t="str">
        <f aca="false">INDEX(Canale!$C$2:$C$30,MATCH(C1762,Canale!$A$2:$A$30,0))</f>
        <v>linkedin_dm</v>
      </c>
      <c r="F1762" s="10" t="str">
        <f aca="false">INDEX(Canale!$D$2:$D$30,MATCH(C1762,Canale!$A$2:$A$30,0))</f>
        <v>dm</v>
      </c>
      <c r="G1762" s="10" t="str">
        <f aca="false">INDEX('Site-uri'!$C$2:$C$20,MATCH(A1762,'Site-uri'!$A$2:$A$20,0))</f>
        <v>/</v>
      </c>
      <c r="H1762" s="10" t="str">
        <f aca="false">Config!$B$3</f>
        <v>2610_ff_lansare</v>
      </c>
      <c r="I1762" s="10" t="str">
        <f aca="false">D1762&amp;"_"&amp;Config!$B$4</f>
        <v>rece_general</v>
      </c>
      <c r="J1762" s="10" t="str">
        <f aca="false">"https://"&amp;B1762&amp;G1762&amp;"?utm_source="&amp;E1762&amp;"&amp;utm_medium="&amp;F1762&amp;"&amp;utm_campaign="&amp;H1762&amp;"&amp;utm_content="&amp;I1762</f>
        <v>https://b2b-ai-library.org/?utm_source=linkedin_dm&amp;utm_medium=dm&amp;utm_campaign=2610_ff_lansare&amp;utm_content=rece_general</v>
      </c>
    </row>
    <row r="1763" customFormat="false" ht="15" hidden="false" customHeight="false" outlineLevel="0" collapsed="false">
      <c r="A1763" s="10" t="s">
        <v>90</v>
      </c>
      <c r="B1763" s="10" t="str">
        <f aca="false">INDEX('Site-uri'!$B$2:$B$20,MATCH(A1763,'Site-uri'!$A$2:$A$20,0))</f>
        <v>b2b-ai-library.org</v>
      </c>
      <c r="C1763" s="10" t="s">
        <v>122</v>
      </c>
      <c r="D1763" s="10" t="s">
        <v>225</v>
      </c>
      <c r="E1763" s="10" t="str">
        <f aca="false">INDEX(Canale!$C$2:$C$30,MATCH(C1763,Canale!$A$2:$A$30,0))</f>
        <v>linkedin_dm</v>
      </c>
      <c r="F1763" s="10" t="str">
        <f aca="false">INDEX(Canale!$D$2:$D$30,MATCH(C1763,Canale!$A$2:$A$30,0))</f>
        <v>dm</v>
      </c>
      <c r="G1763" s="10" t="str">
        <f aca="false">INDEX('Site-uri'!$C$2:$C$20,MATCH(A1763,'Site-uri'!$A$2:$A$20,0))</f>
        <v>/</v>
      </c>
      <c r="H1763" s="10" t="str">
        <f aca="false">Config!$B$3</f>
        <v>2610_ff_lansare</v>
      </c>
      <c r="I1763" s="10" t="str">
        <f aca="false">D1763&amp;"_"&amp;Config!$B$4</f>
        <v>cald_general</v>
      </c>
      <c r="J1763" s="10" t="str">
        <f aca="false">"https://"&amp;B1763&amp;G1763&amp;"?utm_source="&amp;E1763&amp;"&amp;utm_medium="&amp;F1763&amp;"&amp;utm_campaign="&amp;H1763&amp;"&amp;utm_content="&amp;I1763</f>
        <v>https://b2b-ai-library.org/?utm_source=linkedin_dm&amp;utm_medium=dm&amp;utm_campaign=2610_ff_lansare&amp;utm_content=cald_general</v>
      </c>
    </row>
    <row r="1764" customFormat="false" ht="15" hidden="false" customHeight="false" outlineLevel="0" collapsed="false">
      <c r="A1764" s="10" t="s">
        <v>90</v>
      </c>
      <c r="B1764" s="10" t="str">
        <f aca="false">INDEX('Site-uri'!$B$2:$B$20,MATCH(A1764,'Site-uri'!$A$2:$A$20,0))</f>
        <v>b2b-ai-library.org</v>
      </c>
      <c r="C1764" s="10" t="s">
        <v>122</v>
      </c>
      <c r="D1764" s="10" t="s">
        <v>231</v>
      </c>
      <c r="E1764" s="10" t="str">
        <f aca="false">INDEX(Canale!$C$2:$C$30,MATCH(C1764,Canale!$A$2:$A$30,0))</f>
        <v>linkedin_dm</v>
      </c>
      <c r="F1764" s="10" t="str">
        <f aca="false">INDEX(Canale!$D$2:$D$30,MATCH(C1764,Canale!$A$2:$A$30,0))</f>
        <v>dm</v>
      </c>
      <c r="G1764" s="10" t="str">
        <f aca="false">INDEX('Site-uri'!$C$2:$C$20,MATCH(A1764,'Site-uri'!$A$2:$A$20,0))</f>
        <v>/</v>
      </c>
      <c r="H1764" s="10" t="str">
        <f aca="false">Config!$B$3</f>
        <v>2610_ff_lansare</v>
      </c>
      <c r="I1764" s="10" t="str">
        <f aca="false">D1764&amp;"_"&amp;Config!$B$4</f>
        <v>fierbinte_general</v>
      </c>
      <c r="J1764" s="10" t="str">
        <f aca="false">"https://"&amp;B1764&amp;G1764&amp;"?utm_source="&amp;E1764&amp;"&amp;utm_medium="&amp;F1764&amp;"&amp;utm_campaign="&amp;H1764&amp;"&amp;utm_content="&amp;I1764</f>
        <v>https://b2b-ai-library.org/?utm_source=linkedin_dm&amp;utm_medium=dm&amp;utm_campaign=2610_ff_lansare&amp;utm_content=fierbinte_general</v>
      </c>
    </row>
    <row r="1765" customFormat="false" ht="15" hidden="false" customHeight="false" outlineLevel="0" collapsed="false">
      <c r="A1765" s="10" t="s">
        <v>90</v>
      </c>
      <c r="B1765" s="10" t="str">
        <f aca="false">INDEX('Site-uri'!$B$2:$B$20,MATCH(A1765,'Site-uri'!$A$2:$A$20,0))</f>
        <v>b2b-ai-library.org</v>
      </c>
      <c r="C1765" s="10" t="s">
        <v>122</v>
      </c>
      <c r="D1765" s="10" t="s">
        <v>237</v>
      </c>
      <c r="E1765" s="10" t="str">
        <f aca="false">INDEX(Canale!$C$2:$C$30,MATCH(C1765,Canale!$A$2:$A$30,0))</f>
        <v>linkedin_dm</v>
      </c>
      <c r="F1765" s="10" t="str">
        <f aca="false">INDEX(Canale!$D$2:$D$30,MATCH(C1765,Canale!$A$2:$A$30,0))</f>
        <v>dm</v>
      </c>
      <c r="G1765" s="10" t="str">
        <f aca="false">INDEX('Site-uri'!$C$2:$C$20,MATCH(A1765,'Site-uri'!$A$2:$A$20,0))</f>
        <v>/</v>
      </c>
      <c r="H1765" s="10" t="str">
        <f aca="false">Config!$B$3</f>
        <v>2610_ff_lansare</v>
      </c>
      <c r="I1765" s="10" t="str">
        <f aca="false">D1765&amp;"_"&amp;Config!$B$4</f>
        <v>client_general</v>
      </c>
      <c r="J1765" s="10" t="str">
        <f aca="false">"https://"&amp;B1765&amp;G1765&amp;"?utm_source="&amp;E1765&amp;"&amp;utm_medium="&amp;F1765&amp;"&amp;utm_campaign="&amp;H1765&amp;"&amp;utm_content="&amp;I1765</f>
        <v>https://b2b-ai-library.org/?utm_source=linkedin_dm&amp;utm_medium=dm&amp;utm_campaign=2610_ff_lansare&amp;utm_content=client_general</v>
      </c>
    </row>
    <row r="1766" customFormat="false" ht="15" hidden="false" customHeight="false" outlineLevel="0" collapsed="false">
      <c r="A1766" s="10" t="s">
        <v>90</v>
      </c>
      <c r="B1766" s="10" t="str">
        <f aca="false">INDEX('Site-uri'!$B$2:$B$20,MATCH(A1766,'Site-uri'!$A$2:$A$20,0))</f>
        <v>b2b-ai-library.org</v>
      </c>
      <c r="C1766" s="10" t="s">
        <v>126</v>
      </c>
      <c r="D1766" s="10" t="s">
        <v>219</v>
      </c>
      <c r="E1766" s="10" t="str">
        <f aca="false">INDEX(Canale!$C$2:$C$30,MATCH(C1766,Canale!$A$2:$A$30,0))</f>
        <v>email_outreach</v>
      </c>
      <c r="F1766" s="10" t="str">
        <f aca="false">INDEX(Canale!$D$2:$D$30,MATCH(C1766,Canale!$A$2:$A$30,0))</f>
        <v>email</v>
      </c>
      <c r="G1766" s="10" t="str">
        <f aca="false">INDEX('Site-uri'!$C$2:$C$20,MATCH(A1766,'Site-uri'!$A$2:$A$20,0))</f>
        <v>/</v>
      </c>
      <c r="H1766" s="10" t="str">
        <f aca="false">Config!$B$3</f>
        <v>2610_ff_lansare</v>
      </c>
      <c r="I1766" s="10" t="str">
        <f aca="false">D1766&amp;"_"&amp;Config!$B$4</f>
        <v>rece_general</v>
      </c>
      <c r="J1766" s="10" t="str">
        <f aca="false">"https://"&amp;B1766&amp;G1766&amp;"?utm_source="&amp;E1766&amp;"&amp;utm_medium="&amp;F1766&amp;"&amp;utm_campaign="&amp;H1766&amp;"&amp;utm_content="&amp;I1766</f>
        <v>https://b2b-ai-library.org/?utm_source=email_outreach&amp;utm_medium=email&amp;utm_campaign=2610_ff_lansare&amp;utm_content=rece_general</v>
      </c>
    </row>
    <row r="1767" customFormat="false" ht="15" hidden="false" customHeight="false" outlineLevel="0" collapsed="false">
      <c r="A1767" s="10" t="s">
        <v>90</v>
      </c>
      <c r="B1767" s="10" t="str">
        <f aca="false">INDEX('Site-uri'!$B$2:$B$20,MATCH(A1767,'Site-uri'!$A$2:$A$20,0))</f>
        <v>b2b-ai-library.org</v>
      </c>
      <c r="C1767" s="10" t="s">
        <v>126</v>
      </c>
      <c r="D1767" s="10" t="s">
        <v>225</v>
      </c>
      <c r="E1767" s="10" t="str">
        <f aca="false">INDEX(Canale!$C$2:$C$30,MATCH(C1767,Canale!$A$2:$A$30,0))</f>
        <v>email_outreach</v>
      </c>
      <c r="F1767" s="10" t="str">
        <f aca="false">INDEX(Canale!$D$2:$D$30,MATCH(C1767,Canale!$A$2:$A$30,0))</f>
        <v>email</v>
      </c>
      <c r="G1767" s="10" t="str">
        <f aca="false">INDEX('Site-uri'!$C$2:$C$20,MATCH(A1767,'Site-uri'!$A$2:$A$20,0))</f>
        <v>/</v>
      </c>
      <c r="H1767" s="10" t="str">
        <f aca="false">Config!$B$3</f>
        <v>2610_ff_lansare</v>
      </c>
      <c r="I1767" s="10" t="str">
        <f aca="false">D1767&amp;"_"&amp;Config!$B$4</f>
        <v>cald_general</v>
      </c>
      <c r="J1767" s="10" t="str">
        <f aca="false">"https://"&amp;B1767&amp;G1767&amp;"?utm_source="&amp;E1767&amp;"&amp;utm_medium="&amp;F1767&amp;"&amp;utm_campaign="&amp;H1767&amp;"&amp;utm_content="&amp;I1767</f>
        <v>https://b2b-ai-library.org/?utm_source=email_outreach&amp;utm_medium=email&amp;utm_campaign=2610_ff_lansare&amp;utm_content=cald_general</v>
      </c>
    </row>
    <row r="1768" customFormat="false" ht="15" hidden="false" customHeight="false" outlineLevel="0" collapsed="false">
      <c r="A1768" s="10" t="s">
        <v>90</v>
      </c>
      <c r="B1768" s="10" t="str">
        <f aca="false">INDEX('Site-uri'!$B$2:$B$20,MATCH(A1768,'Site-uri'!$A$2:$A$20,0))</f>
        <v>b2b-ai-library.org</v>
      </c>
      <c r="C1768" s="10" t="s">
        <v>126</v>
      </c>
      <c r="D1768" s="10" t="s">
        <v>231</v>
      </c>
      <c r="E1768" s="10" t="str">
        <f aca="false">INDEX(Canale!$C$2:$C$30,MATCH(C1768,Canale!$A$2:$A$30,0))</f>
        <v>email_outreach</v>
      </c>
      <c r="F1768" s="10" t="str">
        <f aca="false">INDEX(Canale!$D$2:$D$30,MATCH(C1768,Canale!$A$2:$A$30,0))</f>
        <v>email</v>
      </c>
      <c r="G1768" s="10" t="str">
        <f aca="false">INDEX('Site-uri'!$C$2:$C$20,MATCH(A1768,'Site-uri'!$A$2:$A$20,0))</f>
        <v>/</v>
      </c>
      <c r="H1768" s="10" t="str">
        <f aca="false">Config!$B$3</f>
        <v>2610_ff_lansare</v>
      </c>
      <c r="I1768" s="10" t="str">
        <f aca="false">D1768&amp;"_"&amp;Config!$B$4</f>
        <v>fierbinte_general</v>
      </c>
      <c r="J1768" s="10" t="str">
        <f aca="false">"https://"&amp;B1768&amp;G1768&amp;"?utm_source="&amp;E1768&amp;"&amp;utm_medium="&amp;F1768&amp;"&amp;utm_campaign="&amp;H1768&amp;"&amp;utm_content="&amp;I1768</f>
        <v>https://b2b-ai-library.org/?utm_source=email_outreach&amp;utm_medium=email&amp;utm_campaign=2610_ff_lansare&amp;utm_content=fierbinte_general</v>
      </c>
    </row>
    <row r="1769" customFormat="false" ht="15" hidden="false" customHeight="false" outlineLevel="0" collapsed="false">
      <c r="A1769" s="10" t="s">
        <v>90</v>
      </c>
      <c r="B1769" s="10" t="str">
        <f aca="false">INDEX('Site-uri'!$B$2:$B$20,MATCH(A1769,'Site-uri'!$A$2:$A$20,0))</f>
        <v>b2b-ai-library.org</v>
      </c>
      <c r="C1769" s="10" t="s">
        <v>126</v>
      </c>
      <c r="D1769" s="10" t="s">
        <v>237</v>
      </c>
      <c r="E1769" s="10" t="str">
        <f aca="false">INDEX(Canale!$C$2:$C$30,MATCH(C1769,Canale!$A$2:$A$30,0))</f>
        <v>email_outreach</v>
      </c>
      <c r="F1769" s="10" t="str">
        <f aca="false">INDEX(Canale!$D$2:$D$30,MATCH(C1769,Canale!$A$2:$A$30,0))</f>
        <v>email</v>
      </c>
      <c r="G1769" s="10" t="str">
        <f aca="false">INDEX('Site-uri'!$C$2:$C$20,MATCH(A1769,'Site-uri'!$A$2:$A$20,0))</f>
        <v>/</v>
      </c>
      <c r="H1769" s="10" t="str">
        <f aca="false">Config!$B$3</f>
        <v>2610_ff_lansare</v>
      </c>
      <c r="I1769" s="10" t="str">
        <f aca="false">D1769&amp;"_"&amp;Config!$B$4</f>
        <v>client_general</v>
      </c>
      <c r="J1769" s="10" t="str">
        <f aca="false">"https://"&amp;B1769&amp;G1769&amp;"?utm_source="&amp;E1769&amp;"&amp;utm_medium="&amp;F1769&amp;"&amp;utm_campaign="&amp;H1769&amp;"&amp;utm_content="&amp;I1769</f>
        <v>https://b2b-ai-library.org/?utm_source=email_outreach&amp;utm_medium=email&amp;utm_campaign=2610_ff_lansare&amp;utm_content=client_general</v>
      </c>
    </row>
    <row r="1770" customFormat="false" ht="15" hidden="false" customHeight="false" outlineLevel="0" collapsed="false">
      <c r="A1770" s="10" t="s">
        <v>90</v>
      </c>
      <c r="B1770" s="10" t="str">
        <f aca="false">INDEX('Site-uri'!$B$2:$B$20,MATCH(A1770,'Site-uri'!$A$2:$A$20,0))</f>
        <v>b2b-ai-library.org</v>
      </c>
      <c r="C1770" s="10" t="s">
        <v>131</v>
      </c>
      <c r="D1770" s="10" t="s">
        <v>219</v>
      </c>
      <c r="E1770" s="10" t="str">
        <f aca="false">INDEX(Canale!$C$2:$C$30,MATCH(C1770,Canale!$A$2:$A$30,0))</f>
        <v>newsletter</v>
      </c>
      <c r="F1770" s="10" t="str">
        <f aca="false">INDEX(Canale!$D$2:$D$30,MATCH(C1770,Canale!$A$2:$A$30,0))</f>
        <v>email</v>
      </c>
      <c r="G1770" s="10" t="str">
        <f aca="false">INDEX('Site-uri'!$C$2:$C$20,MATCH(A1770,'Site-uri'!$A$2:$A$20,0))</f>
        <v>/</v>
      </c>
      <c r="H1770" s="10" t="str">
        <f aca="false">Config!$B$3</f>
        <v>2610_ff_lansare</v>
      </c>
      <c r="I1770" s="10" t="str">
        <f aca="false">D1770&amp;"_"&amp;Config!$B$4</f>
        <v>rece_general</v>
      </c>
      <c r="J1770" s="10" t="str">
        <f aca="false">"https://"&amp;B1770&amp;G1770&amp;"?utm_source="&amp;E1770&amp;"&amp;utm_medium="&amp;F1770&amp;"&amp;utm_campaign="&amp;H1770&amp;"&amp;utm_content="&amp;I1770</f>
        <v>https://b2b-ai-library.org/?utm_source=newsletter&amp;utm_medium=email&amp;utm_campaign=2610_ff_lansare&amp;utm_content=rece_general</v>
      </c>
    </row>
    <row r="1771" customFormat="false" ht="15" hidden="false" customHeight="false" outlineLevel="0" collapsed="false">
      <c r="A1771" s="10" t="s">
        <v>90</v>
      </c>
      <c r="B1771" s="10" t="str">
        <f aca="false">INDEX('Site-uri'!$B$2:$B$20,MATCH(A1771,'Site-uri'!$A$2:$A$20,0))</f>
        <v>b2b-ai-library.org</v>
      </c>
      <c r="C1771" s="10" t="s">
        <v>131</v>
      </c>
      <c r="D1771" s="10" t="s">
        <v>225</v>
      </c>
      <c r="E1771" s="10" t="str">
        <f aca="false">INDEX(Canale!$C$2:$C$30,MATCH(C1771,Canale!$A$2:$A$30,0))</f>
        <v>newsletter</v>
      </c>
      <c r="F1771" s="10" t="str">
        <f aca="false">INDEX(Canale!$D$2:$D$30,MATCH(C1771,Canale!$A$2:$A$30,0))</f>
        <v>email</v>
      </c>
      <c r="G1771" s="10" t="str">
        <f aca="false">INDEX('Site-uri'!$C$2:$C$20,MATCH(A1771,'Site-uri'!$A$2:$A$20,0))</f>
        <v>/</v>
      </c>
      <c r="H1771" s="10" t="str">
        <f aca="false">Config!$B$3</f>
        <v>2610_ff_lansare</v>
      </c>
      <c r="I1771" s="10" t="str">
        <f aca="false">D1771&amp;"_"&amp;Config!$B$4</f>
        <v>cald_general</v>
      </c>
      <c r="J1771" s="10" t="str">
        <f aca="false">"https://"&amp;B1771&amp;G1771&amp;"?utm_source="&amp;E1771&amp;"&amp;utm_medium="&amp;F1771&amp;"&amp;utm_campaign="&amp;H1771&amp;"&amp;utm_content="&amp;I1771</f>
        <v>https://b2b-ai-library.org/?utm_source=newsletter&amp;utm_medium=email&amp;utm_campaign=2610_ff_lansare&amp;utm_content=cald_general</v>
      </c>
    </row>
    <row r="1772" customFormat="false" ht="15" hidden="false" customHeight="false" outlineLevel="0" collapsed="false">
      <c r="A1772" s="10" t="s">
        <v>90</v>
      </c>
      <c r="B1772" s="10" t="str">
        <f aca="false">INDEX('Site-uri'!$B$2:$B$20,MATCH(A1772,'Site-uri'!$A$2:$A$20,0))</f>
        <v>b2b-ai-library.org</v>
      </c>
      <c r="C1772" s="10" t="s">
        <v>131</v>
      </c>
      <c r="D1772" s="10" t="s">
        <v>231</v>
      </c>
      <c r="E1772" s="10" t="str">
        <f aca="false">INDEX(Canale!$C$2:$C$30,MATCH(C1772,Canale!$A$2:$A$30,0))</f>
        <v>newsletter</v>
      </c>
      <c r="F1772" s="10" t="str">
        <f aca="false">INDEX(Canale!$D$2:$D$30,MATCH(C1772,Canale!$A$2:$A$30,0))</f>
        <v>email</v>
      </c>
      <c r="G1772" s="10" t="str">
        <f aca="false">INDEX('Site-uri'!$C$2:$C$20,MATCH(A1772,'Site-uri'!$A$2:$A$20,0))</f>
        <v>/</v>
      </c>
      <c r="H1772" s="10" t="str">
        <f aca="false">Config!$B$3</f>
        <v>2610_ff_lansare</v>
      </c>
      <c r="I1772" s="10" t="str">
        <f aca="false">D1772&amp;"_"&amp;Config!$B$4</f>
        <v>fierbinte_general</v>
      </c>
      <c r="J1772" s="10" t="str">
        <f aca="false">"https://"&amp;B1772&amp;G1772&amp;"?utm_source="&amp;E1772&amp;"&amp;utm_medium="&amp;F1772&amp;"&amp;utm_campaign="&amp;H1772&amp;"&amp;utm_content="&amp;I1772</f>
        <v>https://b2b-ai-library.org/?utm_source=newsletter&amp;utm_medium=email&amp;utm_campaign=2610_ff_lansare&amp;utm_content=fierbinte_general</v>
      </c>
    </row>
    <row r="1773" customFormat="false" ht="15" hidden="false" customHeight="false" outlineLevel="0" collapsed="false">
      <c r="A1773" s="10" t="s">
        <v>90</v>
      </c>
      <c r="B1773" s="10" t="str">
        <f aca="false">INDEX('Site-uri'!$B$2:$B$20,MATCH(A1773,'Site-uri'!$A$2:$A$20,0))</f>
        <v>b2b-ai-library.org</v>
      </c>
      <c r="C1773" s="10" t="s">
        <v>131</v>
      </c>
      <c r="D1773" s="10" t="s">
        <v>237</v>
      </c>
      <c r="E1773" s="10" t="str">
        <f aca="false">INDEX(Canale!$C$2:$C$30,MATCH(C1773,Canale!$A$2:$A$30,0))</f>
        <v>newsletter</v>
      </c>
      <c r="F1773" s="10" t="str">
        <f aca="false">INDEX(Canale!$D$2:$D$30,MATCH(C1773,Canale!$A$2:$A$30,0))</f>
        <v>email</v>
      </c>
      <c r="G1773" s="10" t="str">
        <f aca="false">INDEX('Site-uri'!$C$2:$C$20,MATCH(A1773,'Site-uri'!$A$2:$A$20,0))</f>
        <v>/</v>
      </c>
      <c r="H1773" s="10" t="str">
        <f aca="false">Config!$B$3</f>
        <v>2610_ff_lansare</v>
      </c>
      <c r="I1773" s="10" t="str">
        <f aca="false">D1773&amp;"_"&amp;Config!$B$4</f>
        <v>client_general</v>
      </c>
      <c r="J1773" s="10" t="str">
        <f aca="false">"https://"&amp;B1773&amp;G1773&amp;"?utm_source="&amp;E1773&amp;"&amp;utm_medium="&amp;F1773&amp;"&amp;utm_campaign="&amp;H1773&amp;"&amp;utm_content="&amp;I1773</f>
        <v>https://b2b-ai-library.org/?utm_source=newsletter&amp;utm_medium=email&amp;utm_campaign=2610_ff_lansare&amp;utm_content=client_general</v>
      </c>
    </row>
    <row r="1774" customFormat="false" ht="15" hidden="false" customHeight="false" outlineLevel="0" collapsed="false">
      <c r="A1774" s="10" t="s">
        <v>90</v>
      </c>
      <c r="B1774" s="10" t="str">
        <f aca="false">INDEX('Site-uri'!$B$2:$B$20,MATCH(A1774,'Site-uri'!$A$2:$A$20,0))</f>
        <v>b2b-ai-library.org</v>
      </c>
      <c r="C1774" s="10" t="s">
        <v>134</v>
      </c>
      <c r="D1774" s="10" t="s">
        <v>219</v>
      </c>
      <c r="E1774" s="10" t="str">
        <f aca="false">INDEX(Canale!$C$2:$C$30,MATCH(C1774,Canale!$A$2:$A$30,0))</f>
        <v>email_signature</v>
      </c>
      <c r="F1774" s="10" t="str">
        <f aca="false">INDEX(Canale!$D$2:$D$30,MATCH(C1774,Canale!$A$2:$A$30,0))</f>
        <v>email</v>
      </c>
      <c r="G1774" s="10" t="str">
        <f aca="false">INDEX('Site-uri'!$C$2:$C$20,MATCH(A1774,'Site-uri'!$A$2:$A$20,0))</f>
        <v>/</v>
      </c>
      <c r="H1774" s="10" t="str">
        <f aca="false">Config!$B$3</f>
        <v>2610_ff_lansare</v>
      </c>
      <c r="I1774" s="10" t="str">
        <f aca="false">D1774&amp;"_"&amp;Config!$B$4</f>
        <v>rece_general</v>
      </c>
      <c r="J1774" s="10" t="str">
        <f aca="false">"https://"&amp;B1774&amp;G1774&amp;"?utm_source="&amp;E1774&amp;"&amp;utm_medium="&amp;F1774&amp;"&amp;utm_campaign="&amp;H1774&amp;"&amp;utm_content="&amp;I1774</f>
        <v>https://b2b-ai-library.org/?utm_source=email_signature&amp;utm_medium=email&amp;utm_campaign=2610_ff_lansare&amp;utm_content=rece_general</v>
      </c>
    </row>
    <row r="1775" customFormat="false" ht="15" hidden="false" customHeight="false" outlineLevel="0" collapsed="false">
      <c r="A1775" s="10" t="s">
        <v>90</v>
      </c>
      <c r="B1775" s="10" t="str">
        <f aca="false">INDEX('Site-uri'!$B$2:$B$20,MATCH(A1775,'Site-uri'!$A$2:$A$20,0))</f>
        <v>b2b-ai-library.org</v>
      </c>
      <c r="C1775" s="10" t="s">
        <v>134</v>
      </c>
      <c r="D1775" s="10" t="s">
        <v>225</v>
      </c>
      <c r="E1775" s="10" t="str">
        <f aca="false">INDEX(Canale!$C$2:$C$30,MATCH(C1775,Canale!$A$2:$A$30,0))</f>
        <v>email_signature</v>
      </c>
      <c r="F1775" s="10" t="str">
        <f aca="false">INDEX(Canale!$D$2:$D$30,MATCH(C1775,Canale!$A$2:$A$30,0))</f>
        <v>email</v>
      </c>
      <c r="G1775" s="10" t="str">
        <f aca="false">INDEX('Site-uri'!$C$2:$C$20,MATCH(A1775,'Site-uri'!$A$2:$A$20,0))</f>
        <v>/</v>
      </c>
      <c r="H1775" s="10" t="str">
        <f aca="false">Config!$B$3</f>
        <v>2610_ff_lansare</v>
      </c>
      <c r="I1775" s="10" t="str">
        <f aca="false">D1775&amp;"_"&amp;Config!$B$4</f>
        <v>cald_general</v>
      </c>
      <c r="J1775" s="10" t="str">
        <f aca="false">"https://"&amp;B1775&amp;G1775&amp;"?utm_source="&amp;E1775&amp;"&amp;utm_medium="&amp;F1775&amp;"&amp;utm_campaign="&amp;H1775&amp;"&amp;utm_content="&amp;I1775</f>
        <v>https://b2b-ai-library.org/?utm_source=email_signature&amp;utm_medium=email&amp;utm_campaign=2610_ff_lansare&amp;utm_content=cald_general</v>
      </c>
    </row>
    <row r="1776" customFormat="false" ht="15" hidden="false" customHeight="false" outlineLevel="0" collapsed="false">
      <c r="A1776" s="10" t="s">
        <v>90</v>
      </c>
      <c r="B1776" s="10" t="str">
        <f aca="false">INDEX('Site-uri'!$B$2:$B$20,MATCH(A1776,'Site-uri'!$A$2:$A$20,0))</f>
        <v>b2b-ai-library.org</v>
      </c>
      <c r="C1776" s="10" t="s">
        <v>134</v>
      </c>
      <c r="D1776" s="10" t="s">
        <v>231</v>
      </c>
      <c r="E1776" s="10" t="str">
        <f aca="false">INDEX(Canale!$C$2:$C$30,MATCH(C1776,Canale!$A$2:$A$30,0))</f>
        <v>email_signature</v>
      </c>
      <c r="F1776" s="10" t="str">
        <f aca="false">INDEX(Canale!$D$2:$D$30,MATCH(C1776,Canale!$A$2:$A$30,0))</f>
        <v>email</v>
      </c>
      <c r="G1776" s="10" t="str">
        <f aca="false">INDEX('Site-uri'!$C$2:$C$20,MATCH(A1776,'Site-uri'!$A$2:$A$20,0))</f>
        <v>/</v>
      </c>
      <c r="H1776" s="10" t="str">
        <f aca="false">Config!$B$3</f>
        <v>2610_ff_lansare</v>
      </c>
      <c r="I1776" s="10" t="str">
        <f aca="false">D1776&amp;"_"&amp;Config!$B$4</f>
        <v>fierbinte_general</v>
      </c>
      <c r="J1776" s="10" t="str">
        <f aca="false">"https://"&amp;B1776&amp;G1776&amp;"?utm_source="&amp;E1776&amp;"&amp;utm_medium="&amp;F1776&amp;"&amp;utm_campaign="&amp;H1776&amp;"&amp;utm_content="&amp;I1776</f>
        <v>https://b2b-ai-library.org/?utm_source=email_signature&amp;utm_medium=email&amp;utm_campaign=2610_ff_lansare&amp;utm_content=fierbinte_general</v>
      </c>
    </row>
    <row r="1777" customFormat="false" ht="15" hidden="false" customHeight="false" outlineLevel="0" collapsed="false">
      <c r="A1777" s="10" t="s">
        <v>90</v>
      </c>
      <c r="B1777" s="10" t="str">
        <f aca="false">INDEX('Site-uri'!$B$2:$B$20,MATCH(A1777,'Site-uri'!$A$2:$A$20,0))</f>
        <v>b2b-ai-library.org</v>
      </c>
      <c r="C1777" s="10" t="s">
        <v>134</v>
      </c>
      <c r="D1777" s="10" t="s">
        <v>237</v>
      </c>
      <c r="E1777" s="10" t="str">
        <f aca="false">INDEX(Canale!$C$2:$C$30,MATCH(C1777,Canale!$A$2:$A$30,0))</f>
        <v>email_signature</v>
      </c>
      <c r="F1777" s="10" t="str">
        <f aca="false">INDEX(Canale!$D$2:$D$30,MATCH(C1777,Canale!$A$2:$A$30,0))</f>
        <v>email</v>
      </c>
      <c r="G1777" s="10" t="str">
        <f aca="false">INDEX('Site-uri'!$C$2:$C$20,MATCH(A1777,'Site-uri'!$A$2:$A$20,0))</f>
        <v>/</v>
      </c>
      <c r="H1777" s="10" t="str">
        <f aca="false">Config!$B$3</f>
        <v>2610_ff_lansare</v>
      </c>
      <c r="I1777" s="10" t="str">
        <f aca="false">D1777&amp;"_"&amp;Config!$B$4</f>
        <v>client_general</v>
      </c>
      <c r="J1777" s="10" t="str">
        <f aca="false">"https://"&amp;B1777&amp;G1777&amp;"?utm_source="&amp;E1777&amp;"&amp;utm_medium="&amp;F1777&amp;"&amp;utm_campaign="&amp;H1777&amp;"&amp;utm_content="&amp;I1777</f>
        <v>https://b2b-ai-library.org/?utm_source=email_signature&amp;utm_medium=email&amp;utm_campaign=2610_ff_lansare&amp;utm_content=client_general</v>
      </c>
    </row>
    <row r="1778" customFormat="false" ht="15" hidden="false" customHeight="false" outlineLevel="0" collapsed="false">
      <c r="A1778" s="10" t="s">
        <v>90</v>
      </c>
      <c r="B1778" s="10" t="str">
        <f aca="false">INDEX('Site-uri'!$B$2:$B$20,MATCH(A1778,'Site-uri'!$A$2:$A$20,0))</f>
        <v>b2b-ai-library.org</v>
      </c>
      <c r="C1778" s="10" t="s">
        <v>137</v>
      </c>
      <c r="D1778" s="10" t="s">
        <v>219</v>
      </c>
      <c r="E1778" s="10" t="str">
        <f aca="false">INDEX(Canale!$C$2:$C$30,MATCH(C1778,Canale!$A$2:$A$30,0))</f>
        <v>whatsapp</v>
      </c>
      <c r="F1778" s="10" t="str">
        <f aca="false">INDEX(Canale!$D$2:$D$30,MATCH(C1778,Canale!$A$2:$A$30,0))</f>
        <v>dm</v>
      </c>
      <c r="G1778" s="10" t="str">
        <f aca="false">INDEX('Site-uri'!$C$2:$C$20,MATCH(A1778,'Site-uri'!$A$2:$A$20,0))</f>
        <v>/</v>
      </c>
      <c r="H1778" s="10" t="str">
        <f aca="false">Config!$B$3</f>
        <v>2610_ff_lansare</v>
      </c>
      <c r="I1778" s="10" t="str">
        <f aca="false">D1778&amp;"_"&amp;Config!$B$4</f>
        <v>rece_general</v>
      </c>
      <c r="J1778" s="10" t="str">
        <f aca="false">"https://"&amp;B1778&amp;G1778&amp;"?utm_source="&amp;E1778&amp;"&amp;utm_medium="&amp;F1778&amp;"&amp;utm_campaign="&amp;H1778&amp;"&amp;utm_content="&amp;I1778</f>
        <v>https://b2b-ai-library.org/?utm_source=whatsapp&amp;utm_medium=dm&amp;utm_campaign=2610_ff_lansare&amp;utm_content=rece_general</v>
      </c>
    </row>
    <row r="1779" customFormat="false" ht="15" hidden="false" customHeight="false" outlineLevel="0" collapsed="false">
      <c r="A1779" s="10" t="s">
        <v>90</v>
      </c>
      <c r="B1779" s="10" t="str">
        <f aca="false">INDEX('Site-uri'!$B$2:$B$20,MATCH(A1779,'Site-uri'!$A$2:$A$20,0))</f>
        <v>b2b-ai-library.org</v>
      </c>
      <c r="C1779" s="10" t="s">
        <v>137</v>
      </c>
      <c r="D1779" s="10" t="s">
        <v>225</v>
      </c>
      <c r="E1779" s="10" t="str">
        <f aca="false">INDEX(Canale!$C$2:$C$30,MATCH(C1779,Canale!$A$2:$A$30,0))</f>
        <v>whatsapp</v>
      </c>
      <c r="F1779" s="10" t="str">
        <f aca="false">INDEX(Canale!$D$2:$D$30,MATCH(C1779,Canale!$A$2:$A$30,0))</f>
        <v>dm</v>
      </c>
      <c r="G1779" s="10" t="str">
        <f aca="false">INDEX('Site-uri'!$C$2:$C$20,MATCH(A1779,'Site-uri'!$A$2:$A$20,0))</f>
        <v>/</v>
      </c>
      <c r="H1779" s="10" t="str">
        <f aca="false">Config!$B$3</f>
        <v>2610_ff_lansare</v>
      </c>
      <c r="I1779" s="10" t="str">
        <f aca="false">D1779&amp;"_"&amp;Config!$B$4</f>
        <v>cald_general</v>
      </c>
      <c r="J1779" s="10" t="str">
        <f aca="false">"https://"&amp;B1779&amp;G1779&amp;"?utm_source="&amp;E1779&amp;"&amp;utm_medium="&amp;F1779&amp;"&amp;utm_campaign="&amp;H1779&amp;"&amp;utm_content="&amp;I1779</f>
        <v>https://b2b-ai-library.org/?utm_source=whatsapp&amp;utm_medium=dm&amp;utm_campaign=2610_ff_lansare&amp;utm_content=cald_general</v>
      </c>
    </row>
    <row r="1780" customFormat="false" ht="15" hidden="false" customHeight="false" outlineLevel="0" collapsed="false">
      <c r="A1780" s="10" t="s">
        <v>90</v>
      </c>
      <c r="B1780" s="10" t="str">
        <f aca="false">INDEX('Site-uri'!$B$2:$B$20,MATCH(A1780,'Site-uri'!$A$2:$A$20,0))</f>
        <v>b2b-ai-library.org</v>
      </c>
      <c r="C1780" s="10" t="s">
        <v>137</v>
      </c>
      <c r="D1780" s="10" t="s">
        <v>231</v>
      </c>
      <c r="E1780" s="10" t="str">
        <f aca="false">INDEX(Canale!$C$2:$C$30,MATCH(C1780,Canale!$A$2:$A$30,0))</f>
        <v>whatsapp</v>
      </c>
      <c r="F1780" s="10" t="str">
        <f aca="false">INDEX(Canale!$D$2:$D$30,MATCH(C1780,Canale!$A$2:$A$30,0))</f>
        <v>dm</v>
      </c>
      <c r="G1780" s="10" t="str">
        <f aca="false">INDEX('Site-uri'!$C$2:$C$20,MATCH(A1780,'Site-uri'!$A$2:$A$20,0))</f>
        <v>/</v>
      </c>
      <c r="H1780" s="10" t="str">
        <f aca="false">Config!$B$3</f>
        <v>2610_ff_lansare</v>
      </c>
      <c r="I1780" s="10" t="str">
        <f aca="false">D1780&amp;"_"&amp;Config!$B$4</f>
        <v>fierbinte_general</v>
      </c>
      <c r="J1780" s="10" t="str">
        <f aca="false">"https://"&amp;B1780&amp;G1780&amp;"?utm_source="&amp;E1780&amp;"&amp;utm_medium="&amp;F1780&amp;"&amp;utm_campaign="&amp;H1780&amp;"&amp;utm_content="&amp;I1780</f>
        <v>https://b2b-ai-library.org/?utm_source=whatsapp&amp;utm_medium=dm&amp;utm_campaign=2610_ff_lansare&amp;utm_content=fierbinte_general</v>
      </c>
    </row>
    <row r="1781" customFormat="false" ht="15" hidden="false" customHeight="false" outlineLevel="0" collapsed="false">
      <c r="A1781" s="10" t="s">
        <v>90</v>
      </c>
      <c r="B1781" s="10" t="str">
        <f aca="false">INDEX('Site-uri'!$B$2:$B$20,MATCH(A1781,'Site-uri'!$A$2:$A$20,0))</f>
        <v>b2b-ai-library.org</v>
      </c>
      <c r="C1781" s="10" t="s">
        <v>137</v>
      </c>
      <c r="D1781" s="10" t="s">
        <v>237</v>
      </c>
      <c r="E1781" s="10" t="str">
        <f aca="false">INDEX(Canale!$C$2:$C$30,MATCH(C1781,Canale!$A$2:$A$30,0))</f>
        <v>whatsapp</v>
      </c>
      <c r="F1781" s="10" t="str">
        <f aca="false">INDEX(Canale!$D$2:$D$30,MATCH(C1781,Canale!$A$2:$A$30,0))</f>
        <v>dm</v>
      </c>
      <c r="G1781" s="10" t="str">
        <f aca="false">INDEX('Site-uri'!$C$2:$C$20,MATCH(A1781,'Site-uri'!$A$2:$A$20,0))</f>
        <v>/</v>
      </c>
      <c r="H1781" s="10" t="str">
        <f aca="false">Config!$B$3</f>
        <v>2610_ff_lansare</v>
      </c>
      <c r="I1781" s="10" t="str">
        <f aca="false">D1781&amp;"_"&amp;Config!$B$4</f>
        <v>client_general</v>
      </c>
      <c r="J1781" s="10" t="str">
        <f aca="false">"https://"&amp;B1781&amp;G1781&amp;"?utm_source="&amp;E1781&amp;"&amp;utm_medium="&amp;F1781&amp;"&amp;utm_campaign="&amp;H1781&amp;"&amp;utm_content="&amp;I1781</f>
        <v>https://b2b-ai-library.org/?utm_source=whatsapp&amp;utm_medium=dm&amp;utm_campaign=2610_ff_lansare&amp;utm_content=client_general</v>
      </c>
    </row>
    <row r="1782" customFormat="false" ht="15" hidden="false" customHeight="false" outlineLevel="0" collapsed="false">
      <c r="A1782" s="10" t="s">
        <v>90</v>
      </c>
      <c r="B1782" s="10" t="str">
        <f aca="false">INDEX('Site-uri'!$B$2:$B$20,MATCH(A1782,'Site-uri'!$A$2:$A$20,0))</f>
        <v>b2b-ai-library.org</v>
      </c>
      <c r="C1782" s="10" t="s">
        <v>141</v>
      </c>
      <c r="D1782" s="10" t="s">
        <v>219</v>
      </c>
      <c r="E1782" s="10" t="str">
        <f aca="false">INDEX(Canale!$C$2:$C$30,MATCH(C1782,Canale!$A$2:$A$30,0))</f>
        <v>google</v>
      </c>
      <c r="F1782" s="10" t="str">
        <f aca="false">INDEX(Canale!$D$2:$D$30,MATCH(C1782,Canale!$A$2:$A$30,0))</f>
        <v>cpc</v>
      </c>
      <c r="G1782" s="10" t="str">
        <f aca="false">INDEX('Site-uri'!$C$2:$C$20,MATCH(A1782,'Site-uri'!$A$2:$A$20,0))</f>
        <v>/</v>
      </c>
      <c r="H1782" s="10" t="str">
        <f aca="false">Config!$B$3</f>
        <v>2610_ff_lansare</v>
      </c>
      <c r="I1782" s="10" t="str">
        <f aca="false">D1782&amp;"_"&amp;Config!$B$4</f>
        <v>rece_general</v>
      </c>
      <c r="J1782" s="10" t="str">
        <f aca="false">"https://"&amp;B1782&amp;G1782&amp;"?utm_source="&amp;E1782&amp;"&amp;utm_medium="&amp;F1782&amp;"&amp;utm_campaign="&amp;H1782&amp;"&amp;utm_content="&amp;I1782</f>
        <v>https://b2b-ai-library.org/?utm_source=google&amp;utm_medium=cpc&amp;utm_campaign=2610_ff_lansare&amp;utm_content=rece_general</v>
      </c>
    </row>
    <row r="1783" customFormat="false" ht="15" hidden="false" customHeight="false" outlineLevel="0" collapsed="false">
      <c r="A1783" s="10" t="s">
        <v>90</v>
      </c>
      <c r="B1783" s="10" t="str">
        <f aca="false">INDEX('Site-uri'!$B$2:$B$20,MATCH(A1783,'Site-uri'!$A$2:$A$20,0))</f>
        <v>b2b-ai-library.org</v>
      </c>
      <c r="C1783" s="10" t="s">
        <v>141</v>
      </c>
      <c r="D1783" s="10" t="s">
        <v>225</v>
      </c>
      <c r="E1783" s="10" t="str">
        <f aca="false">INDEX(Canale!$C$2:$C$30,MATCH(C1783,Canale!$A$2:$A$30,0))</f>
        <v>google</v>
      </c>
      <c r="F1783" s="10" t="str">
        <f aca="false">INDEX(Canale!$D$2:$D$30,MATCH(C1783,Canale!$A$2:$A$30,0))</f>
        <v>cpc</v>
      </c>
      <c r="G1783" s="10" t="str">
        <f aca="false">INDEX('Site-uri'!$C$2:$C$20,MATCH(A1783,'Site-uri'!$A$2:$A$20,0))</f>
        <v>/</v>
      </c>
      <c r="H1783" s="10" t="str">
        <f aca="false">Config!$B$3</f>
        <v>2610_ff_lansare</v>
      </c>
      <c r="I1783" s="10" t="str">
        <f aca="false">D1783&amp;"_"&amp;Config!$B$4</f>
        <v>cald_general</v>
      </c>
      <c r="J1783" s="10" t="str">
        <f aca="false">"https://"&amp;B1783&amp;G1783&amp;"?utm_source="&amp;E1783&amp;"&amp;utm_medium="&amp;F1783&amp;"&amp;utm_campaign="&amp;H1783&amp;"&amp;utm_content="&amp;I1783</f>
        <v>https://b2b-ai-library.org/?utm_source=google&amp;utm_medium=cpc&amp;utm_campaign=2610_ff_lansare&amp;utm_content=cald_general</v>
      </c>
    </row>
    <row r="1784" customFormat="false" ht="15" hidden="false" customHeight="false" outlineLevel="0" collapsed="false">
      <c r="A1784" s="10" t="s">
        <v>90</v>
      </c>
      <c r="B1784" s="10" t="str">
        <f aca="false">INDEX('Site-uri'!$B$2:$B$20,MATCH(A1784,'Site-uri'!$A$2:$A$20,0))</f>
        <v>b2b-ai-library.org</v>
      </c>
      <c r="C1784" s="10" t="s">
        <v>141</v>
      </c>
      <c r="D1784" s="10" t="s">
        <v>231</v>
      </c>
      <c r="E1784" s="10" t="str">
        <f aca="false">INDEX(Canale!$C$2:$C$30,MATCH(C1784,Canale!$A$2:$A$30,0))</f>
        <v>google</v>
      </c>
      <c r="F1784" s="10" t="str">
        <f aca="false">INDEX(Canale!$D$2:$D$30,MATCH(C1784,Canale!$A$2:$A$30,0))</f>
        <v>cpc</v>
      </c>
      <c r="G1784" s="10" t="str">
        <f aca="false">INDEX('Site-uri'!$C$2:$C$20,MATCH(A1784,'Site-uri'!$A$2:$A$20,0))</f>
        <v>/</v>
      </c>
      <c r="H1784" s="10" t="str">
        <f aca="false">Config!$B$3</f>
        <v>2610_ff_lansare</v>
      </c>
      <c r="I1784" s="10" t="str">
        <f aca="false">D1784&amp;"_"&amp;Config!$B$4</f>
        <v>fierbinte_general</v>
      </c>
      <c r="J1784" s="10" t="str">
        <f aca="false">"https://"&amp;B1784&amp;G1784&amp;"?utm_source="&amp;E1784&amp;"&amp;utm_medium="&amp;F1784&amp;"&amp;utm_campaign="&amp;H1784&amp;"&amp;utm_content="&amp;I1784</f>
        <v>https://b2b-ai-library.org/?utm_source=google&amp;utm_medium=cpc&amp;utm_campaign=2610_ff_lansare&amp;utm_content=fierbinte_general</v>
      </c>
    </row>
    <row r="1785" customFormat="false" ht="15" hidden="false" customHeight="false" outlineLevel="0" collapsed="false">
      <c r="A1785" s="10" t="s">
        <v>90</v>
      </c>
      <c r="B1785" s="10" t="str">
        <f aca="false">INDEX('Site-uri'!$B$2:$B$20,MATCH(A1785,'Site-uri'!$A$2:$A$20,0))</f>
        <v>b2b-ai-library.org</v>
      </c>
      <c r="C1785" s="10" t="s">
        <v>141</v>
      </c>
      <c r="D1785" s="10" t="s">
        <v>237</v>
      </c>
      <c r="E1785" s="10" t="str">
        <f aca="false">INDEX(Canale!$C$2:$C$30,MATCH(C1785,Canale!$A$2:$A$30,0))</f>
        <v>google</v>
      </c>
      <c r="F1785" s="10" t="str">
        <f aca="false">INDEX(Canale!$D$2:$D$30,MATCH(C1785,Canale!$A$2:$A$30,0))</f>
        <v>cpc</v>
      </c>
      <c r="G1785" s="10" t="str">
        <f aca="false">INDEX('Site-uri'!$C$2:$C$20,MATCH(A1785,'Site-uri'!$A$2:$A$20,0))</f>
        <v>/</v>
      </c>
      <c r="H1785" s="10" t="str">
        <f aca="false">Config!$B$3</f>
        <v>2610_ff_lansare</v>
      </c>
      <c r="I1785" s="10" t="str">
        <f aca="false">D1785&amp;"_"&amp;Config!$B$4</f>
        <v>client_general</v>
      </c>
      <c r="J1785" s="10" t="str">
        <f aca="false">"https://"&amp;B1785&amp;G1785&amp;"?utm_source="&amp;E1785&amp;"&amp;utm_medium="&amp;F1785&amp;"&amp;utm_campaign="&amp;H1785&amp;"&amp;utm_content="&amp;I1785</f>
        <v>https://b2b-ai-library.org/?utm_source=google&amp;utm_medium=cpc&amp;utm_campaign=2610_ff_lansare&amp;utm_content=client_general</v>
      </c>
    </row>
    <row r="1786" customFormat="false" ht="15" hidden="false" customHeight="false" outlineLevel="0" collapsed="false">
      <c r="A1786" s="10" t="s">
        <v>90</v>
      </c>
      <c r="B1786" s="10" t="str">
        <f aca="false">INDEX('Site-uri'!$B$2:$B$20,MATCH(A1786,'Site-uri'!$A$2:$A$20,0))</f>
        <v>b2b-ai-library.org</v>
      </c>
      <c r="C1786" s="10" t="s">
        <v>146</v>
      </c>
      <c r="D1786" s="10" t="s">
        <v>219</v>
      </c>
      <c r="E1786" s="10" t="str">
        <f aca="false">INDEX(Canale!$C$2:$C$30,MATCH(C1786,Canale!$A$2:$A$30,0))</f>
        <v>bing</v>
      </c>
      <c r="F1786" s="10" t="str">
        <f aca="false">INDEX(Canale!$D$2:$D$30,MATCH(C1786,Canale!$A$2:$A$30,0))</f>
        <v>cpc</v>
      </c>
      <c r="G1786" s="10" t="str">
        <f aca="false">INDEX('Site-uri'!$C$2:$C$20,MATCH(A1786,'Site-uri'!$A$2:$A$20,0))</f>
        <v>/</v>
      </c>
      <c r="H1786" s="10" t="str">
        <f aca="false">Config!$B$3</f>
        <v>2610_ff_lansare</v>
      </c>
      <c r="I1786" s="10" t="str">
        <f aca="false">D1786&amp;"_"&amp;Config!$B$4</f>
        <v>rece_general</v>
      </c>
      <c r="J1786" s="10" t="str">
        <f aca="false">"https://"&amp;B1786&amp;G1786&amp;"?utm_source="&amp;E1786&amp;"&amp;utm_medium="&amp;F1786&amp;"&amp;utm_campaign="&amp;H1786&amp;"&amp;utm_content="&amp;I1786</f>
        <v>https://b2b-ai-library.org/?utm_source=bing&amp;utm_medium=cpc&amp;utm_campaign=2610_ff_lansare&amp;utm_content=rece_general</v>
      </c>
    </row>
    <row r="1787" customFormat="false" ht="15" hidden="false" customHeight="false" outlineLevel="0" collapsed="false">
      <c r="A1787" s="10" t="s">
        <v>90</v>
      </c>
      <c r="B1787" s="10" t="str">
        <f aca="false">INDEX('Site-uri'!$B$2:$B$20,MATCH(A1787,'Site-uri'!$A$2:$A$20,0))</f>
        <v>b2b-ai-library.org</v>
      </c>
      <c r="C1787" s="10" t="s">
        <v>146</v>
      </c>
      <c r="D1787" s="10" t="s">
        <v>225</v>
      </c>
      <c r="E1787" s="10" t="str">
        <f aca="false">INDEX(Canale!$C$2:$C$30,MATCH(C1787,Canale!$A$2:$A$30,0))</f>
        <v>bing</v>
      </c>
      <c r="F1787" s="10" t="str">
        <f aca="false">INDEX(Canale!$D$2:$D$30,MATCH(C1787,Canale!$A$2:$A$30,0))</f>
        <v>cpc</v>
      </c>
      <c r="G1787" s="10" t="str">
        <f aca="false">INDEX('Site-uri'!$C$2:$C$20,MATCH(A1787,'Site-uri'!$A$2:$A$20,0))</f>
        <v>/</v>
      </c>
      <c r="H1787" s="10" t="str">
        <f aca="false">Config!$B$3</f>
        <v>2610_ff_lansare</v>
      </c>
      <c r="I1787" s="10" t="str">
        <f aca="false">D1787&amp;"_"&amp;Config!$B$4</f>
        <v>cald_general</v>
      </c>
      <c r="J1787" s="10" t="str">
        <f aca="false">"https://"&amp;B1787&amp;G1787&amp;"?utm_source="&amp;E1787&amp;"&amp;utm_medium="&amp;F1787&amp;"&amp;utm_campaign="&amp;H1787&amp;"&amp;utm_content="&amp;I1787</f>
        <v>https://b2b-ai-library.org/?utm_source=bing&amp;utm_medium=cpc&amp;utm_campaign=2610_ff_lansare&amp;utm_content=cald_general</v>
      </c>
    </row>
    <row r="1788" customFormat="false" ht="15" hidden="false" customHeight="false" outlineLevel="0" collapsed="false">
      <c r="A1788" s="10" t="s">
        <v>90</v>
      </c>
      <c r="B1788" s="10" t="str">
        <f aca="false">INDEX('Site-uri'!$B$2:$B$20,MATCH(A1788,'Site-uri'!$A$2:$A$20,0))</f>
        <v>b2b-ai-library.org</v>
      </c>
      <c r="C1788" s="10" t="s">
        <v>146</v>
      </c>
      <c r="D1788" s="10" t="s">
        <v>231</v>
      </c>
      <c r="E1788" s="10" t="str">
        <f aca="false">INDEX(Canale!$C$2:$C$30,MATCH(C1788,Canale!$A$2:$A$30,0))</f>
        <v>bing</v>
      </c>
      <c r="F1788" s="10" t="str">
        <f aca="false">INDEX(Canale!$D$2:$D$30,MATCH(C1788,Canale!$A$2:$A$30,0))</f>
        <v>cpc</v>
      </c>
      <c r="G1788" s="10" t="str">
        <f aca="false">INDEX('Site-uri'!$C$2:$C$20,MATCH(A1788,'Site-uri'!$A$2:$A$20,0))</f>
        <v>/</v>
      </c>
      <c r="H1788" s="10" t="str">
        <f aca="false">Config!$B$3</f>
        <v>2610_ff_lansare</v>
      </c>
      <c r="I1788" s="10" t="str">
        <f aca="false">D1788&amp;"_"&amp;Config!$B$4</f>
        <v>fierbinte_general</v>
      </c>
      <c r="J1788" s="10" t="str">
        <f aca="false">"https://"&amp;B1788&amp;G1788&amp;"?utm_source="&amp;E1788&amp;"&amp;utm_medium="&amp;F1788&amp;"&amp;utm_campaign="&amp;H1788&amp;"&amp;utm_content="&amp;I1788</f>
        <v>https://b2b-ai-library.org/?utm_source=bing&amp;utm_medium=cpc&amp;utm_campaign=2610_ff_lansare&amp;utm_content=fierbinte_general</v>
      </c>
    </row>
    <row r="1789" customFormat="false" ht="15" hidden="false" customHeight="false" outlineLevel="0" collapsed="false">
      <c r="A1789" s="10" t="s">
        <v>90</v>
      </c>
      <c r="B1789" s="10" t="str">
        <f aca="false">INDEX('Site-uri'!$B$2:$B$20,MATCH(A1789,'Site-uri'!$A$2:$A$20,0))</f>
        <v>b2b-ai-library.org</v>
      </c>
      <c r="C1789" s="10" t="s">
        <v>146</v>
      </c>
      <c r="D1789" s="10" t="s">
        <v>237</v>
      </c>
      <c r="E1789" s="10" t="str">
        <f aca="false">INDEX(Canale!$C$2:$C$30,MATCH(C1789,Canale!$A$2:$A$30,0))</f>
        <v>bing</v>
      </c>
      <c r="F1789" s="10" t="str">
        <f aca="false">INDEX(Canale!$D$2:$D$30,MATCH(C1789,Canale!$A$2:$A$30,0))</f>
        <v>cpc</v>
      </c>
      <c r="G1789" s="10" t="str">
        <f aca="false">INDEX('Site-uri'!$C$2:$C$20,MATCH(A1789,'Site-uri'!$A$2:$A$20,0))</f>
        <v>/</v>
      </c>
      <c r="H1789" s="10" t="str">
        <f aca="false">Config!$B$3</f>
        <v>2610_ff_lansare</v>
      </c>
      <c r="I1789" s="10" t="str">
        <f aca="false">D1789&amp;"_"&amp;Config!$B$4</f>
        <v>client_general</v>
      </c>
      <c r="J1789" s="10" t="str">
        <f aca="false">"https://"&amp;B1789&amp;G1789&amp;"?utm_source="&amp;E1789&amp;"&amp;utm_medium="&amp;F1789&amp;"&amp;utm_campaign="&amp;H1789&amp;"&amp;utm_content="&amp;I1789</f>
        <v>https://b2b-ai-library.org/?utm_source=bing&amp;utm_medium=cpc&amp;utm_campaign=2610_ff_lansare&amp;utm_content=client_general</v>
      </c>
    </row>
    <row r="1790" customFormat="false" ht="15" hidden="false" customHeight="false" outlineLevel="0" collapsed="false">
      <c r="A1790" s="10" t="s">
        <v>90</v>
      </c>
      <c r="B1790" s="10" t="str">
        <f aca="false">INDEX('Site-uri'!$B$2:$B$20,MATCH(A1790,'Site-uri'!$A$2:$A$20,0))</f>
        <v>b2b-ai-library.org</v>
      </c>
      <c r="C1790" s="10" t="s">
        <v>149</v>
      </c>
      <c r="D1790" s="10" t="s">
        <v>219</v>
      </c>
      <c r="E1790" s="10" t="str">
        <f aca="false">INDEX(Canale!$C$2:$C$30,MATCH(C1790,Canale!$A$2:$A$30,0))</f>
        <v>facebook</v>
      </c>
      <c r="F1790" s="10" t="str">
        <f aca="false">INDEX(Canale!$D$2:$D$30,MATCH(C1790,Canale!$A$2:$A$30,0))</f>
        <v>social</v>
      </c>
      <c r="G1790" s="10" t="str">
        <f aca="false">INDEX('Site-uri'!$C$2:$C$20,MATCH(A1790,'Site-uri'!$A$2:$A$20,0))</f>
        <v>/</v>
      </c>
      <c r="H1790" s="10" t="str">
        <f aca="false">Config!$B$3</f>
        <v>2610_ff_lansare</v>
      </c>
      <c r="I1790" s="10" t="str">
        <f aca="false">D1790&amp;"_"&amp;Config!$B$4</f>
        <v>rece_general</v>
      </c>
      <c r="J1790" s="10" t="str">
        <f aca="false">"https://"&amp;B1790&amp;G1790&amp;"?utm_source="&amp;E1790&amp;"&amp;utm_medium="&amp;F1790&amp;"&amp;utm_campaign="&amp;H1790&amp;"&amp;utm_content="&amp;I1790</f>
        <v>https://b2b-ai-library.org/?utm_source=facebook&amp;utm_medium=social&amp;utm_campaign=2610_ff_lansare&amp;utm_content=rece_general</v>
      </c>
    </row>
    <row r="1791" customFormat="false" ht="15" hidden="false" customHeight="false" outlineLevel="0" collapsed="false">
      <c r="A1791" s="10" t="s">
        <v>90</v>
      </c>
      <c r="B1791" s="10" t="str">
        <f aca="false">INDEX('Site-uri'!$B$2:$B$20,MATCH(A1791,'Site-uri'!$A$2:$A$20,0))</f>
        <v>b2b-ai-library.org</v>
      </c>
      <c r="C1791" s="10" t="s">
        <v>149</v>
      </c>
      <c r="D1791" s="10" t="s">
        <v>225</v>
      </c>
      <c r="E1791" s="10" t="str">
        <f aca="false">INDEX(Canale!$C$2:$C$30,MATCH(C1791,Canale!$A$2:$A$30,0))</f>
        <v>facebook</v>
      </c>
      <c r="F1791" s="10" t="str">
        <f aca="false">INDEX(Canale!$D$2:$D$30,MATCH(C1791,Canale!$A$2:$A$30,0))</f>
        <v>social</v>
      </c>
      <c r="G1791" s="10" t="str">
        <f aca="false">INDEX('Site-uri'!$C$2:$C$20,MATCH(A1791,'Site-uri'!$A$2:$A$20,0))</f>
        <v>/</v>
      </c>
      <c r="H1791" s="10" t="str">
        <f aca="false">Config!$B$3</f>
        <v>2610_ff_lansare</v>
      </c>
      <c r="I1791" s="10" t="str">
        <f aca="false">D1791&amp;"_"&amp;Config!$B$4</f>
        <v>cald_general</v>
      </c>
      <c r="J1791" s="10" t="str">
        <f aca="false">"https://"&amp;B1791&amp;G1791&amp;"?utm_source="&amp;E1791&amp;"&amp;utm_medium="&amp;F1791&amp;"&amp;utm_campaign="&amp;H1791&amp;"&amp;utm_content="&amp;I1791</f>
        <v>https://b2b-ai-library.org/?utm_source=facebook&amp;utm_medium=social&amp;utm_campaign=2610_ff_lansare&amp;utm_content=cald_general</v>
      </c>
    </row>
    <row r="1792" customFormat="false" ht="15" hidden="false" customHeight="false" outlineLevel="0" collapsed="false">
      <c r="A1792" s="10" t="s">
        <v>90</v>
      </c>
      <c r="B1792" s="10" t="str">
        <f aca="false">INDEX('Site-uri'!$B$2:$B$20,MATCH(A1792,'Site-uri'!$A$2:$A$20,0))</f>
        <v>b2b-ai-library.org</v>
      </c>
      <c r="C1792" s="10" t="s">
        <v>149</v>
      </c>
      <c r="D1792" s="10" t="s">
        <v>231</v>
      </c>
      <c r="E1792" s="10" t="str">
        <f aca="false">INDEX(Canale!$C$2:$C$30,MATCH(C1792,Canale!$A$2:$A$30,0))</f>
        <v>facebook</v>
      </c>
      <c r="F1792" s="10" t="str">
        <f aca="false">INDEX(Canale!$D$2:$D$30,MATCH(C1792,Canale!$A$2:$A$30,0))</f>
        <v>social</v>
      </c>
      <c r="G1792" s="10" t="str">
        <f aca="false">INDEX('Site-uri'!$C$2:$C$20,MATCH(A1792,'Site-uri'!$A$2:$A$20,0))</f>
        <v>/</v>
      </c>
      <c r="H1792" s="10" t="str">
        <f aca="false">Config!$B$3</f>
        <v>2610_ff_lansare</v>
      </c>
      <c r="I1792" s="10" t="str">
        <f aca="false">D1792&amp;"_"&amp;Config!$B$4</f>
        <v>fierbinte_general</v>
      </c>
      <c r="J1792" s="10" t="str">
        <f aca="false">"https://"&amp;B1792&amp;G1792&amp;"?utm_source="&amp;E1792&amp;"&amp;utm_medium="&amp;F1792&amp;"&amp;utm_campaign="&amp;H1792&amp;"&amp;utm_content="&amp;I1792</f>
        <v>https://b2b-ai-library.org/?utm_source=facebook&amp;utm_medium=social&amp;utm_campaign=2610_ff_lansare&amp;utm_content=fierbinte_general</v>
      </c>
    </row>
    <row r="1793" customFormat="false" ht="15" hidden="false" customHeight="false" outlineLevel="0" collapsed="false">
      <c r="A1793" s="10" t="s">
        <v>90</v>
      </c>
      <c r="B1793" s="10" t="str">
        <f aca="false">INDEX('Site-uri'!$B$2:$B$20,MATCH(A1793,'Site-uri'!$A$2:$A$20,0))</f>
        <v>b2b-ai-library.org</v>
      </c>
      <c r="C1793" s="10" t="s">
        <v>149</v>
      </c>
      <c r="D1793" s="10" t="s">
        <v>237</v>
      </c>
      <c r="E1793" s="10" t="str">
        <f aca="false">INDEX(Canale!$C$2:$C$30,MATCH(C1793,Canale!$A$2:$A$30,0))</f>
        <v>facebook</v>
      </c>
      <c r="F1793" s="10" t="str">
        <f aca="false">INDEX(Canale!$D$2:$D$30,MATCH(C1793,Canale!$A$2:$A$30,0))</f>
        <v>social</v>
      </c>
      <c r="G1793" s="10" t="str">
        <f aca="false">INDEX('Site-uri'!$C$2:$C$20,MATCH(A1793,'Site-uri'!$A$2:$A$20,0))</f>
        <v>/</v>
      </c>
      <c r="H1793" s="10" t="str">
        <f aca="false">Config!$B$3</f>
        <v>2610_ff_lansare</v>
      </c>
      <c r="I1793" s="10" t="str">
        <f aca="false">D1793&amp;"_"&amp;Config!$B$4</f>
        <v>client_general</v>
      </c>
      <c r="J1793" s="10" t="str">
        <f aca="false">"https://"&amp;B1793&amp;G1793&amp;"?utm_source="&amp;E1793&amp;"&amp;utm_medium="&amp;F1793&amp;"&amp;utm_campaign="&amp;H1793&amp;"&amp;utm_content="&amp;I1793</f>
        <v>https://b2b-ai-library.org/?utm_source=facebook&amp;utm_medium=social&amp;utm_campaign=2610_ff_lansare&amp;utm_content=client_general</v>
      </c>
    </row>
    <row r="1794" customFormat="false" ht="15" hidden="false" customHeight="false" outlineLevel="0" collapsed="false">
      <c r="A1794" s="10" t="s">
        <v>90</v>
      </c>
      <c r="B1794" s="10" t="str">
        <f aca="false">INDEX('Site-uri'!$B$2:$B$20,MATCH(A1794,'Site-uri'!$A$2:$A$20,0))</f>
        <v>b2b-ai-library.org</v>
      </c>
      <c r="C1794" s="10" t="s">
        <v>153</v>
      </c>
      <c r="D1794" s="10" t="s">
        <v>219</v>
      </c>
      <c r="E1794" s="10" t="str">
        <f aca="false">INDEX(Canale!$C$2:$C$30,MATCH(C1794,Canale!$A$2:$A$30,0))</f>
        <v>x</v>
      </c>
      <c r="F1794" s="10" t="str">
        <f aca="false">INDEX(Canale!$D$2:$D$30,MATCH(C1794,Canale!$A$2:$A$30,0))</f>
        <v>social</v>
      </c>
      <c r="G1794" s="10" t="str">
        <f aca="false">INDEX('Site-uri'!$C$2:$C$20,MATCH(A1794,'Site-uri'!$A$2:$A$20,0))</f>
        <v>/</v>
      </c>
      <c r="H1794" s="10" t="str">
        <f aca="false">Config!$B$3</f>
        <v>2610_ff_lansare</v>
      </c>
      <c r="I1794" s="10" t="str">
        <f aca="false">D1794&amp;"_"&amp;Config!$B$4</f>
        <v>rece_general</v>
      </c>
      <c r="J1794" s="10" t="str">
        <f aca="false">"https://"&amp;B1794&amp;G1794&amp;"?utm_source="&amp;E1794&amp;"&amp;utm_medium="&amp;F1794&amp;"&amp;utm_campaign="&amp;H1794&amp;"&amp;utm_content="&amp;I1794</f>
        <v>https://b2b-ai-library.org/?utm_source=x&amp;utm_medium=social&amp;utm_campaign=2610_ff_lansare&amp;utm_content=rece_general</v>
      </c>
    </row>
    <row r="1795" customFormat="false" ht="15" hidden="false" customHeight="false" outlineLevel="0" collapsed="false">
      <c r="A1795" s="10" t="s">
        <v>90</v>
      </c>
      <c r="B1795" s="10" t="str">
        <f aca="false">INDEX('Site-uri'!$B$2:$B$20,MATCH(A1795,'Site-uri'!$A$2:$A$20,0))</f>
        <v>b2b-ai-library.org</v>
      </c>
      <c r="C1795" s="10" t="s">
        <v>153</v>
      </c>
      <c r="D1795" s="10" t="s">
        <v>225</v>
      </c>
      <c r="E1795" s="10" t="str">
        <f aca="false">INDEX(Canale!$C$2:$C$30,MATCH(C1795,Canale!$A$2:$A$30,0))</f>
        <v>x</v>
      </c>
      <c r="F1795" s="10" t="str">
        <f aca="false">INDEX(Canale!$D$2:$D$30,MATCH(C1795,Canale!$A$2:$A$30,0))</f>
        <v>social</v>
      </c>
      <c r="G1795" s="10" t="str">
        <f aca="false">INDEX('Site-uri'!$C$2:$C$20,MATCH(A1795,'Site-uri'!$A$2:$A$20,0))</f>
        <v>/</v>
      </c>
      <c r="H1795" s="10" t="str">
        <f aca="false">Config!$B$3</f>
        <v>2610_ff_lansare</v>
      </c>
      <c r="I1795" s="10" t="str">
        <f aca="false">D1795&amp;"_"&amp;Config!$B$4</f>
        <v>cald_general</v>
      </c>
      <c r="J1795" s="10" t="str">
        <f aca="false">"https://"&amp;B1795&amp;G1795&amp;"?utm_source="&amp;E1795&amp;"&amp;utm_medium="&amp;F1795&amp;"&amp;utm_campaign="&amp;H1795&amp;"&amp;utm_content="&amp;I1795</f>
        <v>https://b2b-ai-library.org/?utm_source=x&amp;utm_medium=social&amp;utm_campaign=2610_ff_lansare&amp;utm_content=cald_general</v>
      </c>
    </row>
    <row r="1796" customFormat="false" ht="15" hidden="false" customHeight="false" outlineLevel="0" collapsed="false">
      <c r="A1796" s="10" t="s">
        <v>90</v>
      </c>
      <c r="B1796" s="10" t="str">
        <f aca="false">INDEX('Site-uri'!$B$2:$B$20,MATCH(A1796,'Site-uri'!$A$2:$A$20,0))</f>
        <v>b2b-ai-library.org</v>
      </c>
      <c r="C1796" s="10" t="s">
        <v>153</v>
      </c>
      <c r="D1796" s="10" t="s">
        <v>231</v>
      </c>
      <c r="E1796" s="10" t="str">
        <f aca="false">INDEX(Canale!$C$2:$C$30,MATCH(C1796,Canale!$A$2:$A$30,0))</f>
        <v>x</v>
      </c>
      <c r="F1796" s="10" t="str">
        <f aca="false">INDEX(Canale!$D$2:$D$30,MATCH(C1796,Canale!$A$2:$A$30,0))</f>
        <v>social</v>
      </c>
      <c r="G1796" s="10" t="str">
        <f aca="false">INDEX('Site-uri'!$C$2:$C$20,MATCH(A1796,'Site-uri'!$A$2:$A$20,0))</f>
        <v>/</v>
      </c>
      <c r="H1796" s="10" t="str">
        <f aca="false">Config!$B$3</f>
        <v>2610_ff_lansare</v>
      </c>
      <c r="I1796" s="10" t="str">
        <f aca="false">D1796&amp;"_"&amp;Config!$B$4</f>
        <v>fierbinte_general</v>
      </c>
      <c r="J1796" s="10" t="str">
        <f aca="false">"https://"&amp;B1796&amp;G1796&amp;"?utm_source="&amp;E1796&amp;"&amp;utm_medium="&amp;F1796&amp;"&amp;utm_campaign="&amp;H1796&amp;"&amp;utm_content="&amp;I1796</f>
        <v>https://b2b-ai-library.org/?utm_source=x&amp;utm_medium=social&amp;utm_campaign=2610_ff_lansare&amp;utm_content=fierbinte_general</v>
      </c>
    </row>
    <row r="1797" customFormat="false" ht="15" hidden="false" customHeight="false" outlineLevel="0" collapsed="false">
      <c r="A1797" s="10" t="s">
        <v>90</v>
      </c>
      <c r="B1797" s="10" t="str">
        <f aca="false">INDEX('Site-uri'!$B$2:$B$20,MATCH(A1797,'Site-uri'!$A$2:$A$20,0))</f>
        <v>b2b-ai-library.org</v>
      </c>
      <c r="C1797" s="10" t="s">
        <v>153</v>
      </c>
      <c r="D1797" s="10" t="s">
        <v>237</v>
      </c>
      <c r="E1797" s="10" t="str">
        <f aca="false">INDEX(Canale!$C$2:$C$30,MATCH(C1797,Canale!$A$2:$A$30,0))</f>
        <v>x</v>
      </c>
      <c r="F1797" s="10" t="str">
        <f aca="false">INDEX(Canale!$D$2:$D$30,MATCH(C1797,Canale!$A$2:$A$30,0))</f>
        <v>social</v>
      </c>
      <c r="G1797" s="10" t="str">
        <f aca="false">INDEX('Site-uri'!$C$2:$C$20,MATCH(A1797,'Site-uri'!$A$2:$A$20,0))</f>
        <v>/</v>
      </c>
      <c r="H1797" s="10" t="str">
        <f aca="false">Config!$B$3</f>
        <v>2610_ff_lansare</v>
      </c>
      <c r="I1797" s="10" t="str">
        <f aca="false">D1797&amp;"_"&amp;Config!$B$4</f>
        <v>client_general</v>
      </c>
      <c r="J1797" s="10" t="str">
        <f aca="false">"https://"&amp;B1797&amp;G1797&amp;"?utm_source="&amp;E1797&amp;"&amp;utm_medium="&amp;F1797&amp;"&amp;utm_campaign="&amp;H1797&amp;"&amp;utm_content="&amp;I1797</f>
        <v>https://b2b-ai-library.org/?utm_source=x&amp;utm_medium=social&amp;utm_campaign=2610_ff_lansare&amp;utm_content=client_general</v>
      </c>
    </row>
    <row r="1798" customFormat="false" ht="15" hidden="false" customHeight="false" outlineLevel="0" collapsed="false">
      <c r="A1798" s="10" t="s">
        <v>90</v>
      </c>
      <c r="B1798" s="10" t="str">
        <f aca="false">INDEX('Site-uri'!$B$2:$B$20,MATCH(A1798,'Site-uri'!$A$2:$A$20,0))</f>
        <v>b2b-ai-library.org</v>
      </c>
      <c r="C1798" s="10" t="s">
        <v>155</v>
      </c>
      <c r="D1798" s="10" t="s">
        <v>219</v>
      </c>
      <c r="E1798" s="10" t="str">
        <f aca="false">INDEX(Canale!$C$2:$C$30,MATCH(C1798,Canale!$A$2:$A$30,0))</f>
        <v>youtube</v>
      </c>
      <c r="F1798" s="10" t="str">
        <f aca="false">INDEX(Canale!$D$2:$D$30,MATCH(C1798,Canale!$A$2:$A$30,0))</f>
        <v>video</v>
      </c>
      <c r="G1798" s="10" t="str">
        <f aca="false">INDEX('Site-uri'!$C$2:$C$20,MATCH(A1798,'Site-uri'!$A$2:$A$20,0))</f>
        <v>/</v>
      </c>
      <c r="H1798" s="10" t="str">
        <f aca="false">Config!$B$3</f>
        <v>2610_ff_lansare</v>
      </c>
      <c r="I1798" s="10" t="str">
        <f aca="false">D1798&amp;"_"&amp;Config!$B$4</f>
        <v>rece_general</v>
      </c>
      <c r="J1798" s="10" t="str">
        <f aca="false">"https://"&amp;B1798&amp;G1798&amp;"?utm_source="&amp;E1798&amp;"&amp;utm_medium="&amp;F1798&amp;"&amp;utm_campaign="&amp;H1798&amp;"&amp;utm_content="&amp;I1798</f>
        <v>https://b2b-ai-library.org/?utm_source=youtube&amp;utm_medium=video&amp;utm_campaign=2610_ff_lansare&amp;utm_content=rece_general</v>
      </c>
    </row>
    <row r="1799" customFormat="false" ht="15" hidden="false" customHeight="false" outlineLevel="0" collapsed="false">
      <c r="A1799" s="10" t="s">
        <v>90</v>
      </c>
      <c r="B1799" s="10" t="str">
        <f aca="false">INDEX('Site-uri'!$B$2:$B$20,MATCH(A1799,'Site-uri'!$A$2:$A$20,0))</f>
        <v>b2b-ai-library.org</v>
      </c>
      <c r="C1799" s="10" t="s">
        <v>155</v>
      </c>
      <c r="D1799" s="10" t="s">
        <v>225</v>
      </c>
      <c r="E1799" s="10" t="str">
        <f aca="false">INDEX(Canale!$C$2:$C$30,MATCH(C1799,Canale!$A$2:$A$30,0))</f>
        <v>youtube</v>
      </c>
      <c r="F1799" s="10" t="str">
        <f aca="false">INDEX(Canale!$D$2:$D$30,MATCH(C1799,Canale!$A$2:$A$30,0))</f>
        <v>video</v>
      </c>
      <c r="G1799" s="10" t="str">
        <f aca="false">INDEX('Site-uri'!$C$2:$C$20,MATCH(A1799,'Site-uri'!$A$2:$A$20,0))</f>
        <v>/</v>
      </c>
      <c r="H1799" s="10" t="str">
        <f aca="false">Config!$B$3</f>
        <v>2610_ff_lansare</v>
      </c>
      <c r="I1799" s="10" t="str">
        <f aca="false">D1799&amp;"_"&amp;Config!$B$4</f>
        <v>cald_general</v>
      </c>
      <c r="J1799" s="10" t="str">
        <f aca="false">"https://"&amp;B1799&amp;G1799&amp;"?utm_source="&amp;E1799&amp;"&amp;utm_medium="&amp;F1799&amp;"&amp;utm_campaign="&amp;H1799&amp;"&amp;utm_content="&amp;I1799</f>
        <v>https://b2b-ai-library.org/?utm_source=youtube&amp;utm_medium=video&amp;utm_campaign=2610_ff_lansare&amp;utm_content=cald_general</v>
      </c>
    </row>
    <row r="1800" customFormat="false" ht="15" hidden="false" customHeight="false" outlineLevel="0" collapsed="false">
      <c r="A1800" s="10" t="s">
        <v>90</v>
      </c>
      <c r="B1800" s="10" t="str">
        <f aca="false">INDEX('Site-uri'!$B$2:$B$20,MATCH(A1800,'Site-uri'!$A$2:$A$20,0))</f>
        <v>b2b-ai-library.org</v>
      </c>
      <c r="C1800" s="10" t="s">
        <v>155</v>
      </c>
      <c r="D1800" s="10" t="s">
        <v>231</v>
      </c>
      <c r="E1800" s="10" t="str">
        <f aca="false">INDEX(Canale!$C$2:$C$30,MATCH(C1800,Canale!$A$2:$A$30,0))</f>
        <v>youtube</v>
      </c>
      <c r="F1800" s="10" t="str">
        <f aca="false">INDEX(Canale!$D$2:$D$30,MATCH(C1800,Canale!$A$2:$A$30,0))</f>
        <v>video</v>
      </c>
      <c r="G1800" s="10" t="str">
        <f aca="false">INDEX('Site-uri'!$C$2:$C$20,MATCH(A1800,'Site-uri'!$A$2:$A$20,0))</f>
        <v>/</v>
      </c>
      <c r="H1800" s="10" t="str">
        <f aca="false">Config!$B$3</f>
        <v>2610_ff_lansare</v>
      </c>
      <c r="I1800" s="10" t="str">
        <f aca="false">D1800&amp;"_"&amp;Config!$B$4</f>
        <v>fierbinte_general</v>
      </c>
      <c r="J1800" s="10" t="str">
        <f aca="false">"https://"&amp;B1800&amp;G1800&amp;"?utm_source="&amp;E1800&amp;"&amp;utm_medium="&amp;F1800&amp;"&amp;utm_campaign="&amp;H1800&amp;"&amp;utm_content="&amp;I1800</f>
        <v>https://b2b-ai-library.org/?utm_source=youtube&amp;utm_medium=video&amp;utm_campaign=2610_ff_lansare&amp;utm_content=fierbinte_general</v>
      </c>
    </row>
    <row r="1801" customFormat="false" ht="15" hidden="false" customHeight="false" outlineLevel="0" collapsed="false">
      <c r="A1801" s="10" t="s">
        <v>90</v>
      </c>
      <c r="B1801" s="10" t="str">
        <f aca="false">INDEX('Site-uri'!$B$2:$B$20,MATCH(A1801,'Site-uri'!$A$2:$A$20,0))</f>
        <v>b2b-ai-library.org</v>
      </c>
      <c r="C1801" s="10" t="s">
        <v>155</v>
      </c>
      <c r="D1801" s="10" t="s">
        <v>237</v>
      </c>
      <c r="E1801" s="10" t="str">
        <f aca="false">INDEX(Canale!$C$2:$C$30,MATCH(C1801,Canale!$A$2:$A$30,0))</f>
        <v>youtube</v>
      </c>
      <c r="F1801" s="10" t="str">
        <f aca="false">INDEX(Canale!$D$2:$D$30,MATCH(C1801,Canale!$A$2:$A$30,0))</f>
        <v>video</v>
      </c>
      <c r="G1801" s="10" t="str">
        <f aca="false">INDEX('Site-uri'!$C$2:$C$20,MATCH(A1801,'Site-uri'!$A$2:$A$20,0))</f>
        <v>/</v>
      </c>
      <c r="H1801" s="10" t="str">
        <f aca="false">Config!$B$3</f>
        <v>2610_ff_lansare</v>
      </c>
      <c r="I1801" s="10" t="str">
        <f aca="false">D1801&amp;"_"&amp;Config!$B$4</f>
        <v>client_general</v>
      </c>
      <c r="J1801" s="10" t="str">
        <f aca="false">"https://"&amp;B1801&amp;G1801&amp;"?utm_source="&amp;E1801&amp;"&amp;utm_medium="&amp;F1801&amp;"&amp;utm_campaign="&amp;H1801&amp;"&amp;utm_content="&amp;I1801</f>
        <v>https://b2b-ai-library.org/?utm_source=youtube&amp;utm_medium=video&amp;utm_campaign=2610_ff_lansare&amp;utm_content=client_general</v>
      </c>
    </row>
    <row r="1802" customFormat="false" ht="15" hidden="false" customHeight="false" outlineLevel="0" collapsed="false">
      <c r="A1802" s="10" t="s">
        <v>90</v>
      </c>
      <c r="B1802" s="10" t="str">
        <f aca="false">INDEX('Site-uri'!$B$2:$B$20,MATCH(A1802,'Site-uri'!$A$2:$A$20,0))</f>
        <v>b2b-ai-library.org</v>
      </c>
      <c r="C1802" s="10" t="s">
        <v>160</v>
      </c>
      <c r="D1802" s="10" t="s">
        <v>219</v>
      </c>
      <c r="E1802" s="10" t="str">
        <f aca="false">INDEX(Canale!$C$2:$C$30,MATCH(C1802,Canale!$A$2:$A$30,0))</f>
        <v>medium</v>
      </c>
      <c r="F1802" s="10" t="str">
        <f aca="false">INDEX(Canale!$D$2:$D$30,MATCH(C1802,Canale!$A$2:$A$30,0))</f>
        <v>content</v>
      </c>
      <c r="G1802" s="10" t="str">
        <f aca="false">INDEX('Site-uri'!$C$2:$C$20,MATCH(A1802,'Site-uri'!$A$2:$A$20,0))</f>
        <v>/</v>
      </c>
      <c r="H1802" s="10" t="str">
        <f aca="false">Config!$B$3</f>
        <v>2610_ff_lansare</v>
      </c>
      <c r="I1802" s="10" t="str">
        <f aca="false">D1802&amp;"_"&amp;Config!$B$4</f>
        <v>rece_general</v>
      </c>
      <c r="J1802" s="10" t="str">
        <f aca="false">"https://"&amp;B1802&amp;G1802&amp;"?utm_source="&amp;E1802&amp;"&amp;utm_medium="&amp;F1802&amp;"&amp;utm_campaign="&amp;H1802&amp;"&amp;utm_content="&amp;I1802</f>
        <v>https://b2b-ai-library.org/?utm_source=medium&amp;utm_medium=content&amp;utm_campaign=2610_ff_lansare&amp;utm_content=rece_general</v>
      </c>
    </row>
    <row r="1803" customFormat="false" ht="15" hidden="false" customHeight="false" outlineLevel="0" collapsed="false">
      <c r="A1803" s="10" t="s">
        <v>90</v>
      </c>
      <c r="B1803" s="10" t="str">
        <f aca="false">INDEX('Site-uri'!$B$2:$B$20,MATCH(A1803,'Site-uri'!$A$2:$A$20,0))</f>
        <v>b2b-ai-library.org</v>
      </c>
      <c r="C1803" s="10" t="s">
        <v>160</v>
      </c>
      <c r="D1803" s="10" t="s">
        <v>225</v>
      </c>
      <c r="E1803" s="10" t="str">
        <f aca="false">INDEX(Canale!$C$2:$C$30,MATCH(C1803,Canale!$A$2:$A$30,0))</f>
        <v>medium</v>
      </c>
      <c r="F1803" s="10" t="str">
        <f aca="false">INDEX(Canale!$D$2:$D$30,MATCH(C1803,Canale!$A$2:$A$30,0))</f>
        <v>content</v>
      </c>
      <c r="G1803" s="10" t="str">
        <f aca="false">INDEX('Site-uri'!$C$2:$C$20,MATCH(A1803,'Site-uri'!$A$2:$A$20,0))</f>
        <v>/</v>
      </c>
      <c r="H1803" s="10" t="str">
        <f aca="false">Config!$B$3</f>
        <v>2610_ff_lansare</v>
      </c>
      <c r="I1803" s="10" t="str">
        <f aca="false">D1803&amp;"_"&amp;Config!$B$4</f>
        <v>cald_general</v>
      </c>
      <c r="J1803" s="10" t="str">
        <f aca="false">"https://"&amp;B1803&amp;G1803&amp;"?utm_source="&amp;E1803&amp;"&amp;utm_medium="&amp;F1803&amp;"&amp;utm_campaign="&amp;H1803&amp;"&amp;utm_content="&amp;I1803</f>
        <v>https://b2b-ai-library.org/?utm_source=medium&amp;utm_medium=content&amp;utm_campaign=2610_ff_lansare&amp;utm_content=cald_general</v>
      </c>
    </row>
    <row r="1804" customFormat="false" ht="15" hidden="false" customHeight="false" outlineLevel="0" collapsed="false">
      <c r="A1804" s="10" t="s">
        <v>90</v>
      </c>
      <c r="B1804" s="10" t="str">
        <f aca="false">INDEX('Site-uri'!$B$2:$B$20,MATCH(A1804,'Site-uri'!$A$2:$A$20,0))</f>
        <v>b2b-ai-library.org</v>
      </c>
      <c r="C1804" s="10" t="s">
        <v>160</v>
      </c>
      <c r="D1804" s="10" t="s">
        <v>231</v>
      </c>
      <c r="E1804" s="10" t="str">
        <f aca="false">INDEX(Canale!$C$2:$C$30,MATCH(C1804,Canale!$A$2:$A$30,0))</f>
        <v>medium</v>
      </c>
      <c r="F1804" s="10" t="str">
        <f aca="false">INDEX(Canale!$D$2:$D$30,MATCH(C1804,Canale!$A$2:$A$30,0))</f>
        <v>content</v>
      </c>
      <c r="G1804" s="10" t="str">
        <f aca="false">INDEX('Site-uri'!$C$2:$C$20,MATCH(A1804,'Site-uri'!$A$2:$A$20,0))</f>
        <v>/</v>
      </c>
      <c r="H1804" s="10" t="str">
        <f aca="false">Config!$B$3</f>
        <v>2610_ff_lansare</v>
      </c>
      <c r="I1804" s="10" t="str">
        <f aca="false">D1804&amp;"_"&amp;Config!$B$4</f>
        <v>fierbinte_general</v>
      </c>
      <c r="J1804" s="10" t="str">
        <f aca="false">"https://"&amp;B1804&amp;G1804&amp;"?utm_source="&amp;E1804&amp;"&amp;utm_medium="&amp;F1804&amp;"&amp;utm_campaign="&amp;H1804&amp;"&amp;utm_content="&amp;I1804</f>
        <v>https://b2b-ai-library.org/?utm_source=medium&amp;utm_medium=content&amp;utm_campaign=2610_ff_lansare&amp;utm_content=fierbinte_general</v>
      </c>
    </row>
    <row r="1805" customFormat="false" ht="15" hidden="false" customHeight="false" outlineLevel="0" collapsed="false">
      <c r="A1805" s="10" t="s">
        <v>90</v>
      </c>
      <c r="B1805" s="10" t="str">
        <f aca="false">INDEX('Site-uri'!$B$2:$B$20,MATCH(A1805,'Site-uri'!$A$2:$A$20,0))</f>
        <v>b2b-ai-library.org</v>
      </c>
      <c r="C1805" s="10" t="s">
        <v>160</v>
      </c>
      <c r="D1805" s="10" t="s">
        <v>237</v>
      </c>
      <c r="E1805" s="10" t="str">
        <f aca="false">INDEX(Canale!$C$2:$C$30,MATCH(C1805,Canale!$A$2:$A$30,0))</f>
        <v>medium</v>
      </c>
      <c r="F1805" s="10" t="str">
        <f aca="false">INDEX(Canale!$D$2:$D$30,MATCH(C1805,Canale!$A$2:$A$30,0))</f>
        <v>content</v>
      </c>
      <c r="G1805" s="10" t="str">
        <f aca="false">INDEX('Site-uri'!$C$2:$C$20,MATCH(A1805,'Site-uri'!$A$2:$A$20,0))</f>
        <v>/</v>
      </c>
      <c r="H1805" s="10" t="str">
        <f aca="false">Config!$B$3</f>
        <v>2610_ff_lansare</v>
      </c>
      <c r="I1805" s="10" t="str">
        <f aca="false">D1805&amp;"_"&amp;Config!$B$4</f>
        <v>client_general</v>
      </c>
      <c r="J1805" s="10" t="str">
        <f aca="false">"https://"&amp;B1805&amp;G1805&amp;"?utm_source="&amp;E1805&amp;"&amp;utm_medium="&amp;F1805&amp;"&amp;utm_campaign="&amp;H1805&amp;"&amp;utm_content="&amp;I1805</f>
        <v>https://b2b-ai-library.org/?utm_source=medium&amp;utm_medium=content&amp;utm_campaign=2610_ff_lansare&amp;utm_content=client_general</v>
      </c>
    </row>
    <row r="1806" customFormat="false" ht="15" hidden="false" customHeight="false" outlineLevel="0" collapsed="false">
      <c r="A1806" s="10" t="s">
        <v>90</v>
      </c>
      <c r="B1806" s="10" t="str">
        <f aca="false">INDEX('Site-uri'!$B$2:$B$20,MATCH(A1806,'Site-uri'!$A$2:$A$20,0))</f>
        <v>b2b-ai-library.org</v>
      </c>
      <c r="C1806" s="10" t="s">
        <v>165</v>
      </c>
      <c r="D1806" s="10" t="s">
        <v>219</v>
      </c>
      <c r="E1806" s="10" t="str">
        <f aca="false">INDEX(Canale!$C$2:$C$30,MATCH(C1806,Canale!$A$2:$A$30,0))</f>
        <v>crunchbase</v>
      </c>
      <c r="F1806" s="10" t="str">
        <f aca="false">INDEX(Canale!$D$2:$D$30,MATCH(C1806,Canale!$A$2:$A$30,0))</f>
        <v>referral</v>
      </c>
      <c r="G1806" s="10" t="str">
        <f aca="false">INDEX('Site-uri'!$C$2:$C$20,MATCH(A1806,'Site-uri'!$A$2:$A$20,0))</f>
        <v>/</v>
      </c>
      <c r="H1806" s="10" t="str">
        <f aca="false">Config!$B$3</f>
        <v>2610_ff_lansare</v>
      </c>
      <c r="I1806" s="10" t="str">
        <f aca="false">D1806&amp;"_"&amp;Config!$B$4</f>
        <v>rece_general</v>
      </c>
      <c r="J1806" s="10" t="str">
        <f aca="false">"https://"&amp;B1806&amp;G1806&amp;"?utm_source="&amp;E1806&amp;"&amp;utm_medium="&amp;F1806&amp;"&amp;utm_campaign="&amp;H1806&amp;"&amp;utm_content="&amp;I1806</f>
        <v>https://b2b-ai-library.org/?utm_source=crunchbase&amp;utm_medium=referral&amp;utm_campaign=2610_ff_lansare&amp;utm_content=rece_general</v>
      </c>
    </row>
    <row r="1807" customFormat="false" ht="15" hidden="false" customHeight="false" outlineLevel="0" collapsed="false">
      <c r="A1807" s="10" t="s">
        <v>90</v>
      </c>
      <c r="B1807" s="10" t="str">
        <f aca="false">INDEX('Site-uri'!$B$2:$B$20,MATCH(A1807,'Site-uri'!$A$2:$A$20,0))</f>
        <v>b2b-ai-library.org</v>
      </c>
      <c r="C1807" s="10" t="s">
        <v>165</v>
      </c>
      <c r="D1807" s="10" t="s">
        <v>225</v>
      </c>
      <c r="E1807" s="10" t="str">
        <f aca="false">INDEX(Canale!$C$2:$C$30,MATCH(C1807,Canale!$A$2:$A$30,0))</f>
        <v>crunchbase</v>
      </c>
      <c r="F1807" s="10" t="str">
        <f aca="false">INDEX(Canale!$D$2:$D$30,MATCH(C1807,Canale!$A$2:$A$30,0))</f>
        <v>referral</v>
      </c>
      <c r="G1807" s="10" t="str">
        <f aca="false">INDEX('Site-uri'!$C$2:$C$20,MATCH(A1807,'Site-uri'!$A$2:$A$20,0))</f>
        <v>/</v>
      </c>
      <c r="H1807" s="10" t="str">
        <f aca="false">Config!$B$3</f>
        <v>2610_ff_lansare</v>
      </c>
      <c r="I1807" s="10" t="str">
        <f aca="false">D1807&amp;"_"&amp;Config!$B$4</f>
        <v>cald_general</v>
      </c>
      <c r="J1807" s="10" t="str">
        <f aca="false">"https://"&amp;B1807&amp;G1807&amp;"?utm_source="&amp;E1807&amp;"&amp;utm_medium="&amp;F1807&amp;"&amp;utm_campaign="&amp;H1807&amp;"&amp;utm_content="&amp;I1807</f>
        <v>https://b2b-ai-library.org/?utm_source=crunchbase&amp;utm_medium=referral&amp;utm_campaign=2610_ff_lansare&amp;utm_content=cald_general</v>
      </c>
    </row>
    <row r="1808" customFormat="false" ht="15" hidden="false" customHeight="false" outlineLevel="0" collapsed="false">
      <c r="A1808" s="10" t="s">
        <v>90</v>
      </c>
      <c r="B1808" s="10" t="str">
        <f aca="false">INDEX('Site-uri'!$B$2:$B$20,MATCH(A1808,'Site-uri'!$A$2:$A$20,0))</f>
        <v>b2b-ai-library.org</v>
      </c>
      <c r="C1808" s="10" t="s">
        <v>165</v>
      </c>
      <c r="D1808" s="10" t="s">
        <v>231</v>
      </c>
      <c r="E1808" s="10" t="str">
        <f aca="false">INDEX(Canale!$C$2:$C$30,MATCH(C1808,Canale!$A$2:$A$30,0))</f>
        <v>crunchbase</v>
      </c>
      <c r="F1808" s="10" t="str">
        <f aca="false">INDEX(Canale!$D$2:$D$30,MATCH(C1808,Canale!$A$2:$A$30,0))</f>
        <v>referral</v>
      </c>
      <c r="G1808" s="10" t="str">
        <f aca="false">INDEX('Site-uri'!$C$2:$C$20,MATCH(A1808,'Site-uri'!$A$2:$A$20,0))</f>
        <v>/</v>
      </c>
      <c r="H1808" s="10" t="str">
        <f aca="false">Config!$B$3</f>
        <v>2610_ff_lansare</v>
      </c>
      <c r="I1808" s="10" t="str">
        <f aca="false">D1808&amp;"_"&amp;Config!$B$4</f>
        <v>fierbinte_general</v>
      </c>
      <c r="J1808" s="10" t="str">
        <f aca="false">"https://"&amp;B1808&amp;G1808&amp;"?utm_source="&amp;E1808&amp;"&amp;utm_medium="&amp;F1808&amp;"&amp;utm_campaign="&amp;H1808&amp;"&amp;utm_content="&amp;I1808</f>
        <v>https://b2b-ai-library.org/?utm_source=crunchbase&amp;utm_medium=referral&amp;utm_campaign=2610_ff_lansare&amp;utm_content=fierbinte_general</v>
      </c>
    </row>
    <row r="1809" customFormat="false" ht="15" hidden="false" customHeight="false" outlineLevel="0" collapsed="false">
      <c r="A1809" s="10" t="s">
        <v>90</v>
      </c>
      <c r="B1809" s="10" t="str">
        <f aca="false">INDEX('Site-uri'!$B$2:$B$20,MATCH(A1809,'Site-uri'!$A$2:$A$20,0))</f>
        <v>b2b-ai-library.org</v>
      </c>
      <c r="C1809" s="10" t="s">
        <v>165</v>
      </c>
      <c r="D1809" s="10" t="s">
        <v>237</v>
      </c>
      <c r="E1809" s="10" t="str">
        <f aca="false">INDEX(Canale!$C$2:$C$30,MATCH(C1809,Canale!$A$2:$A$30,0))</f>
        <v>crunchbase</v>
      </c>
      <c r="F1809" s="10" t="str">
        <f aca="false">INDEX(Canale!$D$2:$D$30,MATCH(C1809,Canale!$A$2:$A$30,0))</f>
        <v>referral</v>
      </c>
      <c r="G1809" s="10" t="str">
        <f aca="false">INDEX('Site-uri'!$C$2:$C$20,MATCH(A1809,'Site-uri'!$A$2:$A$20,0))</f>
        <v>/</v>
      </c>
      <c r="H1809" s="10" t="str">
        <f aca="false">Config!$B$3</f>
        <v>2610_ff_lansare</v>
      </c>
      <c r="I1809" s="10" t="str">
        <f aca="false">D1809&amp;"_"&amp;Config!$B$4</f>
        <v>client_general</v>
      </c>
      <c r="J1809" s="10" t="str">
        <f aca="false">"https://"&amp;B1809&amp;G1809&amp;"?utm_source="&amp;E1809&amp;"&amp;utm_medium="&amp;F1809&amp;"&amp;utm_campaign="&amp;H1809&amp;"&amp;utm_content="&amp;I1809</f>
        <v>https://b2b-ai-library.org/?utm_source=crunchbase&amp;utm_medium=referral&amp;utm_campaign=2610_ff_lansare&amp;utm_content=client_general</v>
      </c>
    </row>
    <row r="1810" customFormat="false" ht="15" hidden="false" customHeight="false" outlineLevel="0" collapsed="false">
      <c r="A1810" s="10" t="s">
        <v>90</v>
      </c>
      <c r="B1810" s="10" t="str">
        <f aca="false">INDEX('Site-uri'!$B$2:$B$20,MATCH(A1810,'Site-uri'!$A$2:$A$20,0))</f>
        <v>b2b-ai-library.org</v>
      </c>
      <c r="C1810" s="10" t="s">
        <v>170</v>
      </c>
      <c r="D1810" s="10" t="s">
        <v>219</v>
      </c>
      <c r="E1810" s="10" t="str">
        <f aca="false">INDEX(Canale!$C$2:$C$30,MATCH(C1810,Canale!$A$2:$A$30,0))</f>
        <v>zenodo</v>
      </c>
      <c r="F1810" s="10" t="str">
        <f aca="false">INDEX(Canale!$D$2:$D$30,MATCH(C1810,Canale!$A$2:$A$30,0))</f>
        <v>referral</v>
      </c>
      <c r="G1810" s="10" t="str">
        <f aca="false">INDEX('Site-uri'!$C$2:$C$20,MATCH(A1810,'Site-uri'!$A$2:$A$20,0))</f>
        <v>/</v>
      </c>
      <c r="H1810" s="10" t="str">
        <f aca="false">Config!$B$3</f>
        <v>2610_ff_lansare</v>
      </c>
      <c r="I1810" s="10" t="str">
        <f aca="false">D1810&amp;"_"&amp;Config!$B$4</f>
        <v>rece_general</v>
      </c>
      <c r="J1810" s="10" t="str">
        <f aca="false">"https://"&amp;B1810&amp;G1810&amp;"?utm_source="&amp;E1810&amp;"&amp;utm_medium="&amp;F1810&amp;"&amp;utm_campaign="&amp;H1810&amp;"&amp;utm_content="&amp;I1810</f>
        <v>https://b2b-ai-library.org/?utm_source=zenodo&amp;utm_medium=referral&amp;utm_campaign=2610_ff_lansare&amp;utm_content=rece_general</v>
      </c>
    </row>
    <row r="1811" customFormat="false" ht="15" hidden="false" customHeight="false" outlineLevel="0" collapsed="false">
      <c r="A1811" s="10" t="s">
        <v>90</v>
      </c>
      <c r="B1811" s="10" t="str">
        <f aca="false">INDEX('Site-uri'!$B$2:$B$20,MATCH(A1811,'Site-uri'!$A$2:$A$20,0))</f>
        <v>b2b-ai-library.org</v>
      </c>
      <c r="C1811" s="10" t="s">
        <v>170</v>
      </c>
      <c r="D1811" s="10" t="s">
        <v>225</v>
      </c>
      <c r="E1811" s="10" t="str">
        <f aca="false">INDEX(Canale!$C$2:$C$30,MATCH(C1811,Canale!$A$2:$A$30,0))</f>
        <v>zenodo</v>
      </c>
      <c r="F1811" s="10" t="str">
        <f aca="false">INDEX(Canale!$D$2:$D$30,MATCH(C1811,Canale!$A$2:$A$30,0))</f>
        <v>referral</v>
      </c>
      <c r="G1811" s="10" t="str">
        <f aca="false">INDEX('Site-uri'!$C$2:$C$20,MATCH(A1811,'Site-uri'!$A$2:$A$20,0))</f>
        <v>/</v>
      </c>
      <c r="H1811" s="10" t="str">
        <f aca="false">Config!$B$3</f>
        <v>2610_ff_lansare</v>
      </c>
      <c r="I1811" s="10" t="str">
        <f aca="false">D1811&amp;"_"&amp;Config!$B$4</f>
        <v>cald_general</v>
      </c>
      <c r="J1811" s="10" t="str">
        <f aca="false">"https://"&amp;B1811&amp;G1811&amp;"?utm_source="&amp;E1811&amp;"&amp;utm_medium="&amp;F1811&amp;"&amp;utm_campaign="&amp;H1811&amp;"&amp;utm_content="&amp;I1811</f>
        <v>https://b2b-ai-library.org/?utm_source=zenodo&amp;utm_medium=referral&amp;utm_campaign=2610_ff_lansare&amp;utm_content=cald_general</v>
      </c>
    </row>
    <row r="1812" customFormat="false" ht="15" hidden="false" customHeight="false" outlineLevel="0" collapsed="false">
      <c r="A1812" s="10" t="s">
        <v>90</v>
      </c>
      <c r="B1812" s="10" t="str">
        <f aca="false">INDEX('Site-uri'!$B$2:$B$20,MATCH(A1812,'Site-uri'!$A$2:$A$20,0))</f>
        <v>b2b-ai-library.org</v>
      </c>
      <c r="C1812" s="10" t="s">
        <v>170</v>
      </c>
      <c r="D1812" s="10" t="s">
        <v>231</v>
      </c>
      <c r="E1812" s="10" t="str">
        <f aca="false">INDEX(Canale!$C$2:$C$30,MATCH(C1812,Canale!$A$2:$A$30,0))</f>
        <v>zenodo</v>
      </c>
      <c r="F1812" s="10" t="str">
        <f aca="false">INDEX(Canale!$D$2:$D$30,MATCH(C1812,Canale!$A$2:$A$30,0))</f>
        <v>referral</v>
      </c>
      <c r="G1812" s="10" t="str">
        <f aca="false">INDEX('Site-uri'!$C$2:$C$20,MATCH(A1812,'Site-uri'!$A$2:$A$20,0))</f>
        <v>/</v>
      </c>
      <c r="H1812" s="10" t="str">
        <f aca="false">Config!$B$3</f>
        <v>2610_ff_lansare</v>
      </c>
      <c r="I1812" s="10" t="str">
        <f aca="false">D1812&amp;"_"&amp;Config!$B$4</f>
        <v>fierbinte_general</v>
      </c>
      <c r="J1812" s="10" t="str">
        <f aca="false">"https://"&amp;B1812&amp;G1812&amp;"?utm_source="&amp;E1812&amp;"&amp;utm_medium="&amp;F1812&amp;"&amp;utm_campaign="&amp;H1812&amp;"&amp;utm_content="&amp;I1812</f>
        <v>https://b2b-ai-library.org/?utm_source=zenodo&amp;utm_medium=referral&amp;utm_campaign=2610_ff_lansare&amp;utm_content=fierbinte_general</v>
      </c>
    </row>
    <row r="1813" customFormat="false" ht="15" hidden="false" customHeight="false" outlineLevel="0" collapsed="false">
      <c r="A1813" s="10" t="s">
        <v>90</v>
      </c>
      <c r="B1813" s="10" t="str">
        <f aca="false">INDEX('Site-uri'!$B$2:$B$20,MATCH(A1813,'Site-uri'!$A$2:$A$20,0))</f>
        <v>b2b-ai-library.org</v>
      </c>
      <c r="C1813" s="10" t="s">
        <v>170</v>
      </c>
      <c r="D1813" s="10" t="s">
        <v>237</v>
      </c>
      <c r="E1813" s="10" t="str">
        <f aca="false">INDEX(Canale!$C$2:$C$30,MATCH(C1813,Canale!$A$2:$A$30,0))</f>
        <v>zenodo</v>
      </c>
      <c r="F1813" s="10" t="str">
        <f aca="false">INDEX(Canale!$D$2:$D$30,MATCH(C1813,Canale!$A$2:$A$30,0))</f>
        <v>referral</v>
      </c>
      <c r="G1813" s="10" t="str">
        <f aca="false">INDEX('Site-uri'!$C$2:$C$20,MATCH(A1813,'Site-uri'!$A$2:$A$20,0))</f>
        <v>/</v>
      </c>
      <c r="H1813" s="10" t="str">
        <f aca="false">Config!$B$3</f>
        <v>2610_ff_lansare</v>
      </c>
      <c r="I1813" s="10" t="str">
        <f aca="false">D1813&amp;"_"&amp;Config!$B$4</f>
        <v>client_general</v>
      </c>
      <c r="J1813" s="10" t="str">
        <f aca="false">"https://"&amp;B1813&amp;G1813&amp;"?utm_source="&amp;E1813&amp;"&amp;utm_medium="&amp;F1813&amp;"&amp;utm_campaign="&amp;H1813&amp;"&amp;utm_content="&amp;I1813</f>
        <v>https://b2b-ai-library.org/?utm_source=zenodo&amp;utm_medium=referral&amp;utm_campaign=2610_ff_lansare&amp;utm_content=client_general</v>
      </c>
    </row>
    <row r="1814" customFormat="false" ht="15" hidden="false" customHeight="false" outlineLevel="0" collapsed="false">
      <c r="A1814" s="10" t="s">
        <v>90</v>
      </c>
      <c r="B1814" s="10" t="str">
        <f aca="false">INDEX('Site-uri'!$B$2:$B$20,MATCH(A1814,'Site-uri'!$A$2:$A$20,0))</f>
        <v>b2b-ai-library.org</v>
      </c>
      <c r="C1814" s="10" t="s">
        <v>173</v>
      </c>
      <c r="D1814" s="10" t="s">
        <v>219</v>
      </c>
      <c r="E1814" s="10" t="str">
        <f aca="false">INDEX(Canale!$C$2:$C$30,MATCH(C1814,Canale!$A$2:$A$30,0))</f>
        <v>orcid</v>
      </c>
      <c r="F1814" s="10" t="str">
        <f aca="false">INDEX(Canale!$D$2:$D$30,MATCH(C1814,Canale!$A$2:$A$30,0))</f>
        <v>referral</v>
      </c>
      <c r="G1814" s="10" t="str">
        <f aca="false">INDEX('Site-uri'!$C$2:$C$20,MATCH(A1814,'Site-uri'!$A$2:$A$20,0))</f>
        <v>/</v>
      </c>
      <c r="H1814" s="10" t="str">
        <f aca="false">Config!$B$3</f>
        <v>2610_ff_lansare</v>
      </c>
      <c r="I1814" s="10" t="str">
        <f aca="false">D1814&amp;"_"&amp;Config!$B$4</f>
        <v>rece_general</v>
      </c>
      <c r="J1814" s="10" t="str">
        <f aca="false">"https://"&amp;B1814&amp;G1814&amp;"?utm_source="&amp;E1814&amp;"&amp;utm_medium="&amp;F1814&amp;"&amp;utm_campaign="&amp;H1814&amp;"&amp;utm_content="&amp;I1814</f>
        <v>https://b2b-ai-library.org/?utm_source=orcid&amp;utm_medium=referral&amp;utm_campaign=2610_ff_lansare&amp;utm_content=rece_general</v>
      </c>
    </row>
    <row r="1815" customFormat="false" ht="15" hidden="false" customHeight="false" outlineLevel="0" collapsed="false">
      <c r="A1815" s="10" t="s">
        <v>90</v>
      </c>
      <c r="B1815" s="10" t="str">
        <f aca="false">INDEX('Site-uri'!$B$2:$B$20,MATCH(A1815,'Site-uri'!$A$2:$A$20,0))</f>
        <v>b2b-ai-library.org</v>
      </c>
      <c r="C1815" s="10" t="s">
        <v>173</v>
      </c>
      <c r="D1815" s="10" t="s">
        <v>225</v>
      </c>
      <c r="E1815" s="10" t="str">
        <f aca="false">INDEX(Canale!$C$2:$C$30,MATCH(C1815,Canale!$A$2:$A$30,0))</f>
        <v>orcid</v>
      </c>
      <c r="F1815" s="10" t="str">
        <f aca="false">INDEX(Canale!$D$2:$D$30,MATCH(C1815,Canale!$A$2:$A$30,0))</f>
        <v>referral</v>
      </c>
      <c r="G1815" s="10" t="str">
        <f aca="false">INDEX('Site-uri'!$C$2:$C$20,MATCH(A1815,'Site-uri'!$A$2:$A$20,0))</f>
        <v>/</v>
      </c>
      <c r="H1815" s="10" t="str">
        <f aca="false">Config!$B$3</f>
        <v>2610_ff_lansare</v>
      </c>
      <c r="I1815" s="10" t="str">
        <f aca="false">D1815&amp;"_"&amp;Config!$B$4</f>
        <v>cald_general</v>
      </c>
      <c r="J1815" s="10" t="str">
        <f aca="false">"https://"&amp;B1815&amp;G1815&amp;"?utm_source="&amp;E1815&amp;"&amp;utm_medium="&amp;F1815&amp;"&amp;utm_campaign="&amp;H1815&amp;"&amp;utm_content="&amp;I1815</f>
        <v>https://b2b-ai-library.org/?utm_source=orcid&amp;utm_medium=referral&amp;utm_campaign=2610_ff_lansare&amp;utm_content=cald_general</v>
      </c>
    </row>
    <row r="1816" customFormat="false" ht="15" hidden="false" customHeight="false" outlineLevel="0" collapsed="false">
      <c r="A1816" s="10" t="s">
        <v>90</v>
      </c>
      <c r="B1816" s="10" t="str">
        <f aca="false">INDEX('Site-uri'!$B$2:$B$20,MATCH(A1816,'Site-uri'!$A$2:$A$20,0))</f>
        <v>b2b-ai-library.org</v>
      </c>
      <c r="C1816" s="10" t="s">
        <v>173</v>
      </c>
      <c r="D1816" s="10" t="s">
        <v>231</v>
      </c>
      <c r="E1816" s="10" t="str">
        <f aca="false">INDEX(Canale!$C$2:$C$30,MATCH(C1816,Canale!$A$2:$A$30,0))</f>
        <v>orcid</v>
      </c>
      <c r="F1816" s="10" t="str">
        <f aca="false">INDEX(Canale!$D$2:$D$30,MATCH(C1816,Canale!$A$2:$A$30,0))</f>
        <v>referral</v>
      </c>
      <c r="G1816" s="10" t="str">
        <f aca="false">INDEX('Site-uri'!$C$2:$C$20,MATCH(A1816,'Site-uri'!$A$2:$A$20,0))</f>
        <v>/</v>
      </c>
      <c r="H1816" s="10" t="str">
        <f aca="false">Config!$B$3</f>
        <v>2610_ff_lansare</v>
      </c>
      <c r="I1816" s="10" t="str">
        <f aca="false">D1816&amp;"_"&amp;Config!$B$4</f>
        <v>fierbinte_general</v>
      </c>
      <c r="J1816" s="10" t="str">
        <f aca="false">"https://"&amp;B1816&amp;G1816&amp;"?utm_source="&amp;E1816&amp;"&amp;utm_medium="&amp;F1816&amp;"&amp;utm_campaign="&amp;H1816&amp;"&amp;utm_content="&amp;I1816</f>
        <v>https://b2b-ai-library.org/?utm_source=orcid&amp;utm_medium=referral&amp;utm_campaign=2610_ff_lansare&amp;utm_content=fierbinte_general</v>
      </c>
    </row>
    <row r="1817" customFormat="false" ht="15" hidden="false" customHeight="false" outlineLevel="0" collapsed="false">
      <c r="A1817" s="10" t="s">
        <v>90</v>
      </c>
      <c r="B1817" s="10" t="str">
        <f aca="false">INDEX('Site-uri'!$B$2:$B$20,MATCH(A1817,'Site-uri'!$A$2:$A$20,0))</f>
        <v>b2b-ai-library.org</v>
      </c>
      <c r="C1817" s="10" t="s">
        <v>173</v>
      </c>
      <c r="D1817" s="10" t="s">
        <v>237</v>
      </c>
      <c r="E1817" s="10" t="str">
        <f aca="false">INDEX(Canale!$C$2:$C$30,MATCH(C1817,Canale!$A$2:$A$30,0))</f>
        <v>orcid</v>
      </c>
      <c r="F1817" s="10" t="str">
        <f aca="false">INDEX(Canale!$D$2:$D$30,MATCH(C1817,Canale!$A$2:$A$30,0))</f>
        <v>referral</v>
      </c>
      <c r="G1817" s="10" t="str">
        <f aca="false">INDEX('Site-uri'!$C$2:$C$20,MATCH(A1817,'Site-uri'!$A$2:$A$20,0))</f>
        <v>/</v>
      </c>
      <c r="H1817" s="10" t="str">
        <f aca="false">Config!$B$3</f>
        <v>2610_ff_lansare</v>
      </c>
      <c r="I1817" s="10" t="str">
        <f aca="false">D1817&amp;"_"&amp;Config!$B$4</f>
        <v>client_general</v>
      </c>
      <c r="J1817" s="10" t="str">
        <f aca="false">"https://"&amp;B1817&amp;G1817&amp;"?utm_source="&amp;E1817&amp;"&amp;utm_medium="&amp;F1817&amp;"&amp;utm_campaign="&amp;H1817&amp;"&amp;utm_content="&amp;I1817</f>
        <v>https://b2b-ai-library.org/?utm_source=orcid&amp;utm_medium=referral&amp;utm_campaign=2610_ff_lansare&amp;utm_content=client_general</v>
      </c>
    </row>
    <row r="1818" customFormat="false" ht="15" hidden="false" customHeight="false" outlineLevel="0" collapsed="false">
      <c r="A1818" s="10" t="s">
        <v>90</v>
      </c>
      <c r="B1818" s="10" t="str">
        <f aca="false">INDEX('Site-uri'!$B$2:$B$20,MATCH(A1818,'Site-uri'!$A$2:$A$20,0))</f>
        <v>b2b-ai-library.org</v>
      </c>
      <c r="C1818" s="10" t="s">
        <v>176</v>
      </c>
      <c r="D1818" s="10" t="s">
        <v>219</v>
      </c>
      <c r="E1818" s="10" t="str">
        <f aca="false">INDEX(Canale!$C$2:$C$30,MATCH(C1818,Canale!$A$2:$A$30,0))</f>
        <v>github</v>
      </c>
      <c r="F1818" s="10" t="str">
        <f aca="false">INDEX(Canale!$D$2:$D$30,MATCH(C1818,Canale!$A$2:$A$30,0))</f>
        <v>referral</v>
      </c>
      <c r="G1818" s="10" t="str">
        <f aca="false">INDEX('Site-uri'!$C$2:$C$20,MATCH(A1818,'Site-uri'!$A$2:$A$20,0))</f>
        <v>/</v>
      </c>
      <c r="H1818" s="10" t="str">
        <f aca="false">Config!$B$3</f>
        <v>2610_ff_lansare</v>
      </c>
      <c r="I1818" s="10" t="str">
        <f aca="false">D1818&amp;"_"&amp;Config!$B$4</f>
        <v>rece_general</v>
      </c>
      <c r="J1818" s="10" t="str">
        <f aca="false">"https://"&amp;B1818&amp;G1818&amp;"?utm_source="&amp;E1818&amp;"&amp;utm_medium="&amp;F1818&amp;"&amp;utm_campaign="&amp;H1818&amp;"&amp;utm_content="&amp;I1818</f>
        <v>https://b2b-ai-library.org/?utm_source=github&amp;utm_medium=referral&amp;utm_campaign=2610_ff_lansare&amp;utm_content=rece_general</v>
      </c>
    </row>
    <row r="1819" customFormat="false" ht="15" hidden="false" customHeight="false" outlineLevel="0" collapsed="false">
      <c r="A1819" s="10" t="s">
        <v>90</v>
      </c>
      <c r="B1819" s="10" t="str">
        <f aca="false">INDEX('Site-uri'!$B$2:$B$20,MATCH(A1819,'Site-uri'!$A$2:$A$20,0))</f>
        <v>b2b-ai-library.org</v>
      </c>
      <c r="C1819" s="10" t="s">
        <v>176</v>
      </c>
      <c r="D1819" s="10" t="s">
        <v>225</v>
      </c>
      <c r="E1819" s="10" t="str">
        <f aca="false">INDEX(Canale!$C$2:$C$30,MATCH(C1819,Canale!$A$2:$A$30,0))</f>
        <v>github</v>
      </c>
      <c r="F1819" s="10" t="str">
        <f aca="false">INDEX(Canale!$D$2:$D$30,MATCH(C1819,Canale!$A$2:$A$30,0))</f>
        <v>referral</v>
      </c>
      <c r="G1819" s="10" t="str">
        <f aca="false">INDEX('Site-uri'!$C$2:$C$20,MATCH(A1819,'Site-uri'!$A$2:$A$20,0))</f>
        <v>/</v>
      </c>
      <c r="H1819" s="10" t="str">
        <f aca="false">Config!$B$3</f>
        <v>2610_ff_lansare</v>
      </c>
      <c r="I1819" s="10" t="str">
        <f aca="false">D1819&amp;"_"&amp;Config!$B$4</f>
        <v>cald_general</v>
      </c>
      <c r="J1819" s="10" t="str">
        <f aca="false">"https://"&amp;B1819&amp;G1819&amp;"?utm_source="&amp;E1819&amp;"&amp;utm_medium="&amp;F1819&amp;"&amp;utm_campaign="&amp;H1819&amp;"&amp;utm_content="&amp;I1819</f>
        <v>https://b2b-ai-library.org/?utm_source=github&amp;utm_medium=referral&amp;utm_campaign=2610_ff_lansare&amp;utm_content=cald_general</v>
      </c>
    </row>
    <row r="1820" customFormat="false" ht="15" hidden="false" customHeight="false" outlineLevel="0" collapsed="false">
      <c r="A1820" s="10" t="s">
        <v>90</v>
      </c>
      <c r="B1820" s="10" t="str">
        <f aca="false">INDEX('Site-uri'!$B$2:$B$20,MATCH(A1820,'Site-uri'!$A$2:$A$20,0))</f>
        <v>b2b-ai-library.org</v>
      </c>
      <c r="C1820" s="10" t="s">
        <v>176</v>
      </c>
      <c r="D1820" s="10" t="s">
        <v>231</v>
      </c>
      <c r="E1820" s="10" t="str">
        <f aca="false">INDEX(Canale!$C$2:$C$30,MATCH(C1820,Canale!$A$2:$A$30,0))</f>
        <v>github</v>
      </c>
      <c r="F1820" s="10" t="str">
        <f aca="false">INDEX(Canale!$D$2:$D$30,MATCH(C1820,Canale!$A$2:$A$30,0))</f>
        <v>referral</v>
      </c>
      <c r="G1820" s="10" t="str">
        <f aca="false">INDEX('Site-uri'!$C$2:$C$20,MATCH(A1820,'Site-uri'!$A$2:$A$20,0))</f>
        <v>/</v>
      </c>
      <c r="H1820" s="10" t="str">
        <f aca="false">Config!$B$3</f>
        <v>2610_ff_lansare</v>
      </c>
      <c r="I1820" s="10" t="str">
        <f aca="false">D1820&amp;"_"&amp;Config!$B$4</f>
        <v>fierbinte_general</v>
      </c>
      <c r="J1820" s="10" t="str">
        <f aca="false">"https://"&amp;B1820&amp;G1820&amp;"?utm_source="&amp;E1820&amp;"&amp;utm_medium="&amp;F1820&amp;"&amp;utm_campaign="&amp;H1820&amp;"&amp;utm_content="&amp;I1820</f>
        <v>https://b2b-ai-library.org/?utm_source=github&amp;utm_medium=referral&amp;utm_campaign=2610_ff_lansare&amp;utm_content=fierbinte_general</v>
      </c>
    </row>
    <row r="1821" customFormat="false" ht="15" hidden="false" customHeight="false" outlineLevel="0" collapsed="false">
      <c r="A1821" s="10" t="s">
        <v>90</v>
      </c>
      <c r="B1821" s="10" t="str">
        <f aca="false">INDEX('Site-uri'!$B$2:$B$20,MATCH(A1821,'Site-uri'!$A$2:$A$20,0))</f>
        <v>b2b-ai-library.org</v>
      </c>
      <c r="C1821" s="10" t="s">
        <v>176</v>
      </c>
      <c r="D1821" s="10" t="s">
        <v>237</v>
      </c>
      <c r="E1821" s="10" t="str">
        <f aca="false">INDEX(Canale!$C$2:$C$30,MATCH(C1821,Canale!$A$2:$A$30,0))</f>
        <v>github</v>
      </c>
      <c r="F1821" s="10" t="str">
        <f aca="false">INDEX(Canale!$D$2:$D$30,MATCH(C1821,Canale!$A$2:$A$30,0))</f>
        <v>referral</v>
      </c>
      <c r="G1821" s="10" t="str">
        <f aca="false">INDEX('Site-uri'!$C$2:$C$20,MATCH(A1821,'Site-uri'!$A$2:$A$20,0))</f>
        <v>/</v>
      </c>
      <c r="H1821" s="10" t="str">
        <f aca="false">Config!$B$3</f>
        <v>2610_ff_lansare</v>
      </c>
      <c r="I1821" s="10" t="str">
        <f aca="false">D1821&amp;"_"&amp;Config!$B$4</f>
        <v>client_general</v>
      </c>
      <c r="J1821" s="10" t="str">
        <f aca="false">"https://"&amp;B1821&amp;G1821&amp;"?utm_source="&amp;E1821&amp;"&amp;utm_medium="&amp;F1821&amp;"&amp;utm_campaign="&amp;H1821&amp;"&amp;utm_content="&amp;I1821</f>
        <v>https://b2b-ai-library.org/?utm_source=github&amp;utm_medium=referral&amp;utm_campaign=2610_ff_lansare&amp;utm_content=client_general</v>
      </c>
    </row>
    <row r="1822" customFormat="false" ht="15" hidden="false" customHeight="false" outlineLevel="0" collapsed="false">
      <c r="A1822" s="10" t="s">
        <v>90</v>
      </c>
      <c r="B1822" s="10" t="str">
        <f aca="false">INDEX('Site-uri'!$B$2:$B$20,MATCH(A1822,'Site-uri'!$A$2:$A$20,0))</f>
        <v>b2b-ai-library.org</v>
      </c>
      <c r="C1822" s="10" t="s">
        <v>179</v>
      </c>
      <c r="D1822" s="10" t="s">
        <v>219</v>
      </c>
      <c r="E1822" s="10" t="str">
        <f aca="false">INDEX(Canale!$C$2:$C$30,MATCH(C1822,Canale!$A$2:$A$30,0))</f>
        <v>kdp_book</v>
      </c>
      <c r="F1822" s="10" t="str">
        <f aca="false">INDEX(Canale!$D$2:$D$30,MATCH(C1822,Canale!$A$2:$A$30,0))</f>
        <v>book</v>
      </c>
      <c r="G1822" s="10" t="str">
        <f aca="false">INDEX('Site-uri'!$C$2:$C$20,MATCH(A1822,'Site-uri'!$A$2:$A$20,0))</f>
        <v>/</v>
      </c>
      <c r="H1822" s="10" t="str">
        <f aca="false">Config!$B$3</f>
        <v>2610_ff_lansare</v>
      </c>
      <c r="I1822" s="10" t="str">
        <f aca="false">D1822&amp;"_"&amp;Config!$B$4</f>
        <v>rece_general</v>
      </c>
      <c r="J1822" s="10" t="str">
        <f aca="false">"https://"&amp;B1822&amp;G1822&amp;"?utm_source="&amp;E1822&amp;"&amp;utm_medium="&amp;F1822&amp;"&amp;utm_campaign="&amp;H1822&amp;"&amp;utm_content="&amp;I1822</f>
        <v>https://b2b-ai-library.org/?utm_source=kdp_book&amp;utm_medium=book&amp;utm_campaign=2610_ff_lansare&amp;utm_content=rece_general</v>
      </c>
    </row>
    <row r="1823" customFormat="false" ht="15" hidden="false" customHeight="false" outlineLevel="0" collapsed="false">
      <c r="A1823" s="10" t="s">
        <v>90</v>
      </c>
      <c r="B1823" s="10" t="str">
        <f aca="false">INDEX('Site-uri'!$B$2:$B$20,MATCH(A1823,'Site-uri'!$A$2:$A$20,0))</f>
        <v>b2b-ai-library.org</v>
      </c>
      <c r="C1823" s="10" t="s">
        <v>179</v>
      </c>
      <c r="D1823" s="10" t="s">
        <v>225</v>
      </c>
      <c r="E1823" s="10" t="str">
        <f aca="false">INDEX(Canale!$C$2:$C$30,MATCH(C1823,Canale!$A$2:$A$30,0))</f>
        <v>kdp_book</v>
      </c>
      <c r="F1823" s="10" t="str">
        <f aca="false">INDEX(Canale!$D$2:$D$30,MATCH(C1823,Canale!$A$2:$A$30,0))</f>
        <v>book</v>
      </c>
      <c r="G1823" s="10" t="str">
        <f aca="false">INDEX('Site-uri'!$C$2:$C$20,MATCH(A1823,'Site-uri'!$A$2:$A$20,0))</f>
        <v>/</v>
      </c>
      <c r="H1823" s="10" t="str">
        <f aca="false">Config!$B$3</f>
        <v>2610_ff_lansare</v>
      </c>
      <c r="I1823" s="10" t="str">
        <f aca="false">D1823&amp;"_"&amp;Config!$B$4</f>
        <v>cald_general</v>
      </c>
      <c r="J1823" s="10" t="str">
        <f aca="false">"https://"&amp;B1823&amp;G1823&amp;"?utm_source="&amp;E1823&amp;"&amp;utm_medium="&amp;F1823&amp;"&amp;utm_campaign="&amp;H1823&amp;"&amp;utm_content="&amp;I1823</f>
        <v>https://b2b-ai-library.org/?utm_source=kdp_book&amp;utm_medium=book&amp;utm_campaign=2610_ff_lansare&amp;utm_content=cald_general</v>
      </c>
    </row>
    <row r="1824" customFormat="false" ht="15" hidden="false" customHeight="false" outlineLevel="0" collapsed="false">
      <c r="A1824" s="10" t="s">
        <v>90</v>
      </c>
      <c r="B1824" s="10" t="str">
        <f aca="false">INDEX('Site-uri'!$B$2:$B$20,MATCH(A1824,'Site-uri'!$A$2:$A$20,0))</f>
        <v>b2b-ai-library.org</v>
      </c>
      <c r="C1824" s="10" t="s">
        <v>179</v>
      </c>
      <c r="D1824" s="10" t="s">
        <v>231</v>
      </c>
      <c r="E1824" s="10" t="str">
        <f aca="false">INDEX(Canale!$C$2:$C$30,MATCH(C1824,Canale!$A$2:$A$30,0))</f>
        <v>kdp_book</v>
      </c>
      <c r="F1824" s="10" t="str">
        <f aca="false">INDEX(Canale!$D$2:$D$30,MATCH(C1824,Canale!$A$2:$A$30,0))</f>
        <v>book</v>
      </c>
      <c r="G1824" s="10" t="str">
        <f aca="false">INDEX('Site-uri'!$C$2:$C$20,MATCH(A1824,'Site-uri'!$A$2:$A$20,0))</f>
        <v>/</v>
      </c>
      <c r="H1824" s="10" t="str">
        <f aca="false">Config!$B$3</f>
        <v>2610_ff_lansare</v>
      </c>
      <c r="I1824" s="10" t="str">
        <f aca="false">D1824&amp;"_"&amp;Config!$B$4</f>
        <v>fierbinte_general</v>
      </c>
      <c r="J1824" s="10" t="str">
        <f aca="false">"https://"&amp;B1824&amp;G1824&amp;"?utm_source="&amp;E1824&amp;"&amp;utm_medium="&amp;F1824&amp;"&amp;utm_campaign="&amp;H1824&amp;"&amp;utm_content="&amp;I1824</f>
        <v>https://b2b-ai-library.org/?utm_source=kdp_book&amp;utm_medium=book&amp;utm_campaign=2610_ff_lansare&amp;utm_content=fierbinte_general</v>
      </c>
    </row>
    <row r="1825" customFormat="false" ht="15" hidden="false" customHeight="false" outlineLevel="0" collapsed="false">
      <c r="A1825" s="10" t="s">
        <v>90</v>
      </c>
      <c r="B1825" s="10" t="str">
        <f aca="false">INDEX('Site-uri'!$B$2:$B$20,MATCH(A1825,'Site-uri'!$A$2:$A$20,0))</f>
        <v>b2b-ai-library.org</v>
      </c>
      <c r="C1825" s="10" t="s">
        <v>179</v>
      </c>
      <c r="D1825" s="10" t="s">
        <v>237</v>
      </c>
      <c r="E1825" s="10" t="str">
        <f aca="false">INDEX(Canale!$C$2:$C$30,MATCH(C1825,Canale!$A$2:$A$30,0))</f>
        <v>kdp_book</v>
      </c>
      <c r="F1825" s="10" t="str">
        <f aca="false">INDEX(Canale!$D$2:$D$30,MATCH(C1825,Canale!$A$2:$A$30,0))</f>
        <v>book</v>
      </c>
      <c r="G1825" s="10" t="str">
        <f aca="false">INDEX('Site-uri'!$C$2:$C$20,MATCH(A1825,'Site-uri'!$A$2:$A$20,0))</f>
        <v>/</v>
      </c>
      <c r="H1825" s="10" t="str">
        <f aca="false">Config!$B$3</f>
        <v>2610_ff_lansare</v>
      </c>
      <c r="I1825" s="10" t="str">
        <f aca="false">D1825&amp;"_"&amp;Config!$B$4</f>
        <v>client_general</v>
      </c>
      <c r="J1825" s="10" t="str">
        <f aca="false">"https://"&amp;B1825&amp;G1825&amp;"?utm_source="&amp;E1825&amp;"&amp;utm_medium="&amp;F1825&amp;"&amp;utm_campaign="&amp;H1825&amp;"&amp;utm_content="&amp;I1825</f>
        <v>https://b2b-ai-library.org/?utm_source=kdp_book&amp;utm_medium=book&amp;utm_campaign=2610_ff_lansare&amp;utm_content=client_general</v>
      </c>
    </row>
    <row r="1826" customFormat="false" ht="15" hidden="false" customHeight="false" outlineLevel="0" collapsed="false">
      <c r="A1826" s="10" t="s">
        <v>90</v>
      </c>
      <c r="B1826" s="10" t="str">
        <f aca="false">INDEX('Site-uri'!$B$2:$B$20,MATCH(A1826,'Site-uri'!$A$2:$A$20,0))</f>
        <v>b2b-ai-library.org</v>
      </c>
      <c r="C1826" s="10" t="s">
        <v>184</v>
      </c>
      <c r="D1826" s="10" t="s">
        <v>219</v>
      </c>
      <c r="E1826" s="10" t="str">
        <f aca="false">INDEX(Canale!$C$2:$C$30,MATCH(C1826,Canale!$A$2:$A$30,0))</f>
        <v>udemy</v>
      </c>
      <c r="F1826" s="10" t="str">
        <f aca="false">INDEX(Canale!$D$2:$D$30,MATCH(C1826,Canale!$A$2:$A$30,0))</f>
        <v>course</v>
      </c>
      <c r="G1826" s="10" t="str">
        <f aca="false">INDEX('Site-uri'!$C$2:$C$20,MATCH(A1826,'Site-uri'!$A$2:$A$20,0))</f>
        <v>/</v>
      </c>
      <c r="H1826" s="10" t="str">
        <f aca="false">Config!$B$3</f>
        <v>2610_ff_lansare</v>
      </c>
      <c r="I1826" s="10" t="str">
        <f aca="false">D1826&amp;"_"&amp;Config!$B$4</f>
        <v>rece_general</v>
      </c>
      <c r="J1826" s="10" t="str">
        <f aca="false">"https://"&amp;B1826&amp;G1826&amp;"?utm_source="&amp;E1826&amp;"&amp;utm_medium="&amp;F1826&amp;"&amp;utm_campaign="&amp;H1826&amp;"&amp;utm_content="&amp;I1826</f>
        <v>https://b2b-ai-library.org/?utm_source=udemy&amp;utm_medium=course&amp;utm_campaign=2610_ff_lansare&amp;utm_content=rece_general</v>
      </c>
    </row>
    <row r="1827" customFormat="false" ht="15" hidden="false" customHeight="false" outlineLevel="0" collapsed="false">
      <c r="A1827" s="10" t="s">
        <v>90</v>
      </c>
      <c r="B1827" s="10" t="str">
        <f aca="false">INDEX('Site-uri'!$B$2:$B$20,MATCH(A1827,'Site-uri'!$A$2:$A$20,0))</f>
        <v>b2b-ai-library.org</v>
      </c>
      <c r="C1827" s="10" t="s">
        <v>184</v>
      </c>
      <c r="D1827" s="10" t="s">
        <v>225</v>
      </c>
      <c r="E1827" s="10" t="str">
        <f aca="false">INDEX(Canale!$C$2:$C$30,MATCH(C1827,Canale!$A$2:$A$30,0))</f>
        <v>udemy</v>
      </c>
      <c r="F1827" s="10" t="str">
        <f aca="false">INDEX(Canale!$D$2:$D$30,MATCH(C1827,Canale!$A$2:$A$30,0))</f>
        <v>course</v>
      </c>
      <c r="G1827" s="10" t="str">
        <f aca="false">INDEX('Site-uri'!$C$2:$C$20,MATCH(A1827,'Site-uri'!$A$2:$A$20,0))</f>
        <v>/</v>
      </c>
      <c r="H1827" s="10" t="str">
        <f aca="false">Config!$B$3</f>
        <v>2610_ff_lansare</v>
      </c>
      <c r="I1827" s="10" t="str">
        <f aca="false">D1827&amp;"_"&amp;Config!$B$4</f>
        <v>cald_general</v>
      </c>
      <c r="J1827" s="10" t="str">
        <f aca="false">"https://"&amp;B1827&amp;G1827&amp;"?utm_source="&amp;E1827&amp;"&amp;utm_medium="&amp;F1827&amp;"&amp;utm_campaign="&amp;H1827&amp;"&amp;utm_content="&amp;I1827</f>
        <v>https://b2b-ai-library.org/?utm_source=udemy&amp;utm_medium=course&amp;utm_campaign=2610_ff_lansare&amp;utm_content=cald_general</v>
      </c>
    </row>
    <row r="1828" customFormat="false" ht="15" hidden="false" customHeight="false" outlineLevel="0" collapsed="false">
      <c r="A1828" s="10" t="s">
        <v>90</v>
      </c>
      <c r="B1828" s="10" t="str">
        <f aca="false">INDEX('Site-uri'!$B$2:$B$20,MATCH(A1828,'Site-uri'!$A$2:$A$20,0))</f>
        <v>b2b-ai-library.org</v>
      </c>
      <c r="C1828" s="10" t="s">
        <v>184</v>
      </c>
      <c r="D1828" s="10" t="s">
        <v>231</v>
      </c>
      <c r="E1828" s="10" t="str">
        <f aca="false">INDEX(Canale!$C$2:$C$30,MATCH(C1828,Canale!$A$2:$A$30,0))</f>
        <v>udemy</v>
      </c>
      <c r="F1828" s="10" t="str">
        <f aca="false">INDEX(Canale!$D$2:$D$30,MATCH(C1828,Canale!$A$2:$A$30,0))</f>
        <v>course</v>
      </c>
      <c r="G1828" s="10" t="str">
        <f aca="false">INDEX('Site-uri'!$C$2:$C$20,MATCH(A1828,'Site-uri'!$A$2:$A$20,0))</f>
        <v>/</v>
      </c>
      <c r="H1828" s="10" t="str">
        <f aca="false">Config!$B$3</f>
        <v>2610_ff_lansare</v>
      </c>
      <c r="I1828" s="10" t="str">
        <f aca="false">D1828&amp;"_"&amp;Config!$B$4</f>
        <v>fierbinte_general</v>
      </c>
      <c r="J1828" s="10" t="str">
        <f aca="false">"https://"&amp;B1828&amp;G1828&amp;"?utm_source="&amp;E1828&amp;"&amp;utm_medium="&amp;F1828&amp;"&amp;utm_campaign="&amp;H1828&amp;"&amp;utm_content="&amp;I1828</f>
        <v>https://b2b-ai-library.org/?utm_source=udemy&amp;utm_medium=course&amp;utm_campaign=2610_ff_lansare&amp;utm_content=fierbinte_general</v>
      </c>
    </row>
    <row r="1829" customFormat="false" ht="15" hidden="false" customHeight="false" outlineLevel="0" collapsed="false">
      <c r="A1829" s="10" t="s">
        <v>90</v>
      </c>
      <c r="B1829" s="10" t="str">
        <f aca="false">INDEX('Site-uri'!$B$2:$B$20,MATCH(A1829,'Site-uri'!$A$2:$A$20,0))</f>
        <v>b2b-ai-library.org</v>
      </c>
      <c r="C1829" s="10" t="s">
        <v>184</v>
      </c>
      <c r="D1829" s="10" t="s">
        <v>237</v>
      </c>
      <c r="E1829" s="10" t="str">
        <f aca="false">INDEX(Canale!$C$2:$C$30,MATCH(C1829,Canale!$A$2:$A$30,0))</f>
        <v>udemy</v>
      </c>
      <c r="F1829" s="10" t="str">
        <f aca="false">INDEX(Canale!$D$2:$D$30,MATCH(C1829,Canale!$A$2:$A$30,0))</f>
        <v>course</v>
      </c>
      <c r="G1829" s="10" t="str">
        <f aca="false">INDEX('Site-uri'!$C$2:$C$20,MATCH(A1829,'Site-uri'!$A$2:$A$20,0))</f>
        <v>/</v>
      </c>
      <c r="H1829" s="10" t="str">
        <f aca="false">Config!$B$3</f>
        <v>2610_ff_lansare</v>
      </c>
      <c r="I1829" s="10" t="str">
        <f aca="false">D1829&amp;"_"&amp;Config!$B$4</f>
        <v>client_general</v>
      </c>
      <c r="J1829" s="10" t="str">
        <f aca="false">"https://"&amp;B1829&amp;G1829&amp;"?utm_source="&amp;E1829&amp;"&amp;utm_medium="&amp;F1829&amp;"&amp;utm_campaign="&amp;H1829&amp;"&amp;utm_content="&amp;I1829</f>
        <v>https://b2b-ai-library.org/?utm_source=udemy&amp;utm_medium=course&amp;utm_campaign=2610_ff_lansare&amp;utm_content=client_general</v>
      </c>
    </row>
    <row r="1830" customFormat="false" ht="15" hidden="false" customHeight="false" outlineLevel="0" collapsed="false">
      <c r="A1830" s="10" t="s">
        <v>90</v>
      </c>
      <c r="B1830" s="10" t="str">
        <f aca="false">INDEX('Site-uri'!$B$2:$B$20,MATCH(A1830,'Site-uri'!$A$2:$A$20,0))</f>
        <v>b2b-ai-library.org</v>
      </c>
      <c r="C1830" s="10" t="s">
        <v>187</v>
      </c>
      <c r="D1830" s="10" t="s">
        <v>219</v>
      </c>
      <c r="E1830" s="10" t="str">
        <f aca="false">INDEX(Canale!$C$2:$C$30,MATCH(C1830,Canale!$A$2:$A$30,0))</f>
        <v>directory</v>
      </c>
      <c r="F1830" s="10" t="str">
        <f aca="false">INDEX(Canale!$D$2:$D$30,MATCH(C1830,Canale!$A$2:$A$30,0))</f>
        <v>referral</v>
      </c>
      <c r="G1830" s="10" t="str">
        <f aca="false">INDEX('Site-uri'!$C$2:$C$20,MATCH(A1830,'Site-uri'!$A$2:$A$20,0))</f>
        <v>/</v>
      </c>
      <c r="H1830" s="10" t="str">
        <f aca="false">Config!$B$3</f>
        <v>2610_ff_lansare</v>
      </c>
      <c r="I1830" s="10" t="str">
        <f aca="false">D1830&amp;"_"&amp;Config!$B$4</f>
        <v>rece_general</v>
      </c>
      <c r="J1830" s="10" t="str">
        <f aca="false">"https://"&amp;B1830&amp;G1830&amp;"?utm_source="&amp;E1830&amp;"&amp;utm_medium="&amp;F1830&amp;"&amp;utm_campaign="&amp;H1830&amp;"&amp;utm_content="&amp;I1830</f>
        <v>https://b2b-ai-library.org/?utm_source=directory&amp;utm_medium=referral&amp;utm_campaign=2610_ff_lansare&amp;utm_content=rece_general</v>
      </c>
    </row>
    <row r="1831" customFormat="false" ht="15" hidden="false" customHeight="false" outlineLevel="0" collapsed="false">
      <c r="A1831" s="10" t="s">
        <v>90</v>
      </c>
      <c r="B1831" s="10" t="str">
        <f aca="false">INDEX('Site-uri'!$B$2:$B$20,MATCH(A1831,'Site-uri'!$A$2:$A$20,0))</f>
        <v>b2b-ai-library.org</v>
      </c>
      <c r="C1831" s="10" t="s">
        <v>187</v>
      </c>
      <c r="D1831" s="10" t="s">
        <v>225</v>
      </c>
      <c r="E1831" s="10" t="str">
        <f aca="false">INDEX(Canale!$C$2:$C$30,MATCH(C1831,Canale!$A$2:$A$30,0))</f>
        <v>directory</v>
      </c>
      <c r="F1831" s="10" t="str">
        <f aca="false">INDEX(Canale!$D$2:$D$30,MATCH(C1831,Canale!$A$2:$A$30,0))</f>
        <v>referral</v>
      </c>
      <c r="G1831" s="10" t="str">
        <f aca="false">INDEX('Site-uri'!$C$2:$C$20,MATCH(A1831,'Site-uri'!$A$2:$A$20,0))</f>
        <v>/</v>
      </c>
      <c r="H1831" s="10" t="str">
        <f aca="false">Config!$B$3</f>
        <v>2610_ff_lansare</v>
      </c>
      <c r="I1831" s="10" t="str">
        <f aca="false">D1831&amp;"_"&amp;Config!$B$4</f>
        <v>cald_general</v>
      </c>
      <c r="J1831" s="10" t="str">
        <f aca="false">"https://"&amp;B1831&amp;G1831&amp;"?utm_source="&amp;E1831&amp;"&amp;utm_medium="&amp;F1831&amp;"&amp;utm_campaign="&amp;H1831&amp;"&amp;utm_content="&amp;I1831</f>
        <v>https://b2b-ai-library.org/?utm_source=directory&amp;utm_medium=referral&amp;utm_campaign=2610_ff_lansare&amp;utm_content=cald_general</v>
      </c>
    </row>
    <row r="1832" customFormat="false" ht="15" hidden="false" customHeight="false" outlineLevel="0" collapsed="false">
      <c r="A1832" s="10" t="s">
        <v>90</v>
      </c>
      <c r="B1832" s="10" t="str">
        <f aca="false">INDEX('Site-uri'!$B$2:$B$20,MATCH(A1832,'Site-uri'!$A$2:$A$20,0))</f>
        <v>b2b-ai-library.org</v>
      </c>
      <c r="C1832" s="10" t="s">
        <v>187</v>
      </c>
      <c r="D1832" s="10" t="s">
        <v>231</v>
      </c>
      <c r="E1832" s="10" t="str">
        <f aca="false">INDEX(Canale!$C$2:$C$30,MATCH(C1832,Canale!$A$2:$A$30,0))</f>
        <v>directory</v>
      </c>
      <c r="F1832" s="10" t="str">
        <f aca="false">INDEX(Canale!$D$2:$D$30,MATCH(C1832,Canale!$A$2:$A$30,0))</f>
        <v>referral</v>
      </c>
      <c r="G1832" s="10" t="str">
        <f aca="false">INDEX('Site-uri'!$C$2:$C$20,MATCH(A1832,'Site-uri'!$A$2:$A$20,0))</f>
        <v>/</v>
      </c>
      <c r="H1832" s="10" t="str">
        <f aca="false">Config!$B$3</f>
        <v>2610_ff_lansare</v>
      </c>
      <c r="I1832" s="10" t="str">
        <f aca="false">D1832&amp;"_"&amp;Config!$B$4</f>
        <v>fierbinte_general</v>
      </c>
      <c r="J1832" s="10" t="str">
        <f aca="false">"https://"&amp;B1832&amp;G1832&amp;"?utm_source="&amp;E1832&amp;"&amp;utm_medium="&amp;F1832&amp;"&amp;utm_campaign="&amp;H1832&amp;"&amp;utm_content="&amp;I1832</f>
        <v>https://b2b-ai-library.org/?utm_source=directory&amp;utm_medium=referral&amp;utm_campaign=2610_ff_lansare&amp;utm_content=fierbinte_general</v>
      </c>
    </row>
    <row r="1833" customFormat="false" ht="15" hidden="false" customHeight="false" outlineLevel="0" collapsed="false">
      <c r="A1833" s="10" t="s">
        <v>90</v>
      </c>
      <c r="B1833" s="10" t="str">
        <f aca="false">INDEX('Site-uri'!$B$2:$B$20,MATCH(A1833,'Site-uri'!$A$2:$A$20,0))</f>
        <v>b2b-ai-library.org</v>
      </c>
      <c r="C1833" s="10" t="s">
        <v>187</v>
      </c>
      <c r="D1833" s="10" t="s">
        <v>237</v>
      </c>
      <c r="E1833" s="10" t="str">
        <f aca="false">INDEX(Canale!$C$2:$C$30,MATCH(C1833,Canale!$A$2:$A$30,0))</f>
        <v>directory</v>
      </c>
      <c r="F1833" s="10" t="str">
        <f aca="false">INDEX(Canale!$D$2:$D$30,MATCH(C1833,Canale!$A$2:$A$30,0))</f>
        <v>referral</v>
      </c>
      <c r="G1833" s="10" t="str">
        <f aca="false">INDEX('Site-uri'!$C$2:$C$20,MATCH(A1833,'Site-uri'!$A$2:$A$20,0))</f>
        <v>/</v>
      </c>
      <c r="H1833" s="10" t="str">
        <f aca="false">Config!$B$3</f>
        <v>2610_ff_lansare</v>
      </c>
      <c r="I1833" s="10" t="str">
        <f aca="false">D1833&amp;"_"&amp;Config!$B$4</f>
        <v>client_general</v>
      </c>
      <c r="J1833" s="10" t="str">
        <f aca="false">"https://"&amp;B1833&amp;G1833&amp;"?utm_source="&amp;E1833&amp;"&amp;utm_medium="&amp;F1833&amp;"&amp;utm_campaign="&amp;H1833&amp;"&amp;utm_content="&amp;I1833</f>
        <v>https://b2b-ai-library.org/?utm_source=directory&amp;utm_medium=referral&amp;utm_campaign=2610_ff_lansare&amp;utm_content=client_general</v>
      </c>
    </row>
    <row r="1834" customFormat="false" ht="15" hidden="false" customHeight="false" outlineLevel="0" collapsed="false">
      <c r="A1834" s="10" t="s">
        <v>90</v>
      </c>
      <c r="B1834" s="10" t="str">
        <f aca="false">INDEX('Site-uri'!$B$2:$B$20,MATCH(A1834,'Site-uri'!$A$2:$A$20,0))</f>
        <v>b2b-ai-library.org</v>
      </c>
      <c r="C1834" s="10" t="s">
        <v>191</v>
      </c>
      <c r="D1834" s="10" t="s">
        <v>219</v>
      </c>
      <c r="E1834" s="10" t="str">
        <f aca="false">INDEX(Canale!$C$2:$C$30,MATCH(C1834,Canale!$A$2:$A$30,0))</f>
        <v>partner</v>
      </c>
      <c r="F1834" s="10" t="str">
        <f aca="false">INDEX(Canale!$D$2:$D$30,MATCH(C1834,Canale!$A$2:$A$30,0))</f>
        <v>partner</v>
      </c>
      <c r="G1834" s="10" t="str">
        <f aca="false">INDEX('Site-uri'!$C$2:$C$20,MATCH(A1834,'Site-uri'!$A$2:$A$20,0))</f>
        <v>/</v>
      </c>
      <c r="H1834" s="10" t="str">
        <f aca="false">Config!$B$3</f>
        <v>2610_ff_lansare</v>
      </c>
      <c r="I1834" s="10" t="str">
        <f aca="false">D1834&amp;"_"&amp;Config!$B$4</f>
        <v>rece_general</v>
      </c>
      <c r="J1834" s="10" t="str">
        <f aca="false">"https://"&amp;B1834&amp;G1834&amp;"?utm_source="&amp;E1834&amp;"&amp;utm_medium="&amp;F1834&amp;"&amp;utm_campaign="&amp;H1834&amp;"&amp;utm_content="&amp;I1834</f>
        <v>https://b2b-ai-library.org/?utm_source=partner&amp;utm_medium=partner&amp;utm_campaign=2610_ff_lansare&amp;utm_content=rece_general</v>
      </c>
    </row>
    <row r="1835" customFormat="false" ht="15" hidden="false" customHeight="false" outlineLevel="0" collapsed="false">
      <c r="A1835" s="10" t="s">
        <v>90</v>
      </c>
      <c r="B1835" s="10" t="str">
        <f aca="false">INDEX('Site-uri'!$B$2:$B$20,MATCH(A1835,'Site-uri'!$A$2:$A$20,0))</f>
        <v>b2b-ai-library.org</v>
      </c>
      <c r="C1835" s="10" t="s">
        <v>191</v>
      </c>
      <c r="D1835" s="10" t="s">
        <v>225</v>
      </c>
      <c r="E1835" s="10" t="str">
        <f aca="false">INDEX(Canale!$C$2:$C$30,MATCH(C1835,Canale!$A$2:$A$30,0))</f>
        <v>partner</v>
      </c>
      <c r="F1835" s="10" t="str">
        <f aca="false">INDEX(Canale!$D$2:$D$30,MATCH(C1835,Canale!$A$2:$A$30,0))</f>
        <v>partner</v>
      </c>
      <c r="G1835" s="10" t="str">
        <f aca="false">INDEX('Site-uri'!$C$2:$C$20,MATCH(A1835,'Site-uri'!$A$2:$A$20,0))</f>
        <v>/</v>
      </c>
      <c r="H1835" s="10" t="str">
        <f aca="false">Config!$B$3</f>
        <v>2610_ff_lansare</v>
      </c>
      <c r="I1835" s="10" t="str">
        <f aca="false">D1835&amp;"_"&amp;Config!$B$4</f>
        <v>cald_general</v>
      </c>
      <c r="J1835" s="10" t="str">
        <f aca="false">"https://"&amp;B1835&amp;G1835&amp;"?utm_source="&amp;E1835&amp;"&amp;utm_medium="&amp;F1835&amp;"&amp;utm_campaign="&amp;H1835&amp;"&amp;utm_content="&amp;I1835</f>
        <v>https://b2b-ai-library.org/?utm_source=partner&amp;utm_medium=partner&amp;utm_campaign=2610_ff_lansare&amp;utm_content=cald_general</v>
      </c>
    </row>
    <row r="1836" customFormat="false" ht="15" hidden="false" customHeight="false" outlineLevel="0" collapsed="false">
      <c r="A1836" s="10" t="s">
        <v>90</v>
      </c>
      <c r="B1836" s="10" t="str">
        <f aca="false">INDEX('Site-uri'!$B$2:$B$20,MATCH(A1836,'Site-uri'!$A$2:$A$20,0))</f>
        <v>b2b-ai-library.org</v>
      </c>
      <c r="C1836" s="10" t="s">
        <v>191</v>
      </c>
      <c r="D1836" s="10" t="s">
        <v>231</v>
      </c>
      <c r="E1836" s="10" t="str">
        <f aca="false">INDEX(Canale!$C$2:$C$30,MATCH(C1836,Canale!$A$2:$A$30,0))</f>
        <v>partner</v>
      </c>
      <c r="F1836" s="10" t="str">
        <f aca="false">INDEX(Canale!$D$2:$D$30,MATCH(C1836,Canale!$A$2:$A$30,0))</f>
        <v>partner</v>
      </c>
      <c r="G1836" s="10" t="str">
        <f aca="false">INDEX('Site-uri'!$C$2:$C$20,MATCH(A1836,'Site-uri'!$A$2:$A$20,0))</f>
        <v>/</v>
      </c>
      <c r="H1836" s="10" t="str">
        <f aca="false">Config!$B$3</f>
        <v>2610_ff_lansare</v>
      </c>
      <c r="I1836" s="10" t="str">
        <f aca="false">D1836&amp;"_"&amp;Config!$B$4</f>
        <v>fierbinte_general</v>
      </c>
      <c r="J1836" s="10" t="str">
        <f aca="false">"https://"&amp;B1836&amp;G1836&amp;"?utm_source="&amp;E1836&amp;"&amp;utm_medium="&amp;F1836&amp;"&amp;utm_campaign="&amp;H1836&amp;"&amp;utm_content="&amp;I1836</f>
        <v>https://b2b-ai-library.org/?utm_source=partner&amp;utm_medium=partner&amp;utm_campaign=2610_ff_lansare&amp;utm_content=fierbinte_general</v>
      </c>
    </row>
    <row r="1837" customFormat="false" ht="15" hidden="false" customHeight="false" outlineLevel="0" collapsed="false">
      <c r="A1837" s="10" t="s">
        <v>90</v>
      </c>
      <c r="B1837" s="10" t="str">
        <f aca="false">INDEX('Site-uri'!$B$2:$B$20,MATCH(A1837,'Site-uri'!$A$2:$A$20,0))</f>
        <v>b2b-ai-library.org</v>
      </c>
      <c r="C1837" s="10" t="s">
        <v>191</v>
      </c>
      <c r="D1837" s="10" t="s">
        <v>237</v>
      </c>
      <c r="E1837" s="10" t="str">
        <f aca="false">INDEX(Canale!$C$2:$C$30,MATCH(C1837,Canale!$A$2:$A$30,0))</f>
        <v>partner</v>
      </c>
      <c r="F1837" s="10" t="str">
        <f aca="false">INDEX(Canale!$D$2:$D$30,MATCH(C1837,Canale!$A$2:$A$30,0))</f>
        <v>partner</v>
      </c>
      <c r="G1837" s="10" t="str">
        <f aca="false">INDEX('Site-uri'!$C$2:$C$20,MATCH(A1837,'Site-uri'!$A$2:$A$20,0))</f>
        <v>/</v>
      </c>
      <c r="H1837" s="10" t="str">
        <f aca="false">Config!$B$3</f>
        <v>2610_ff_lansare</v>
      </c>
      <c r="I1837" s="10" t="str">
        <f aca="false">D1837&amp;"_"&amp;Config!$B$4</f>
        <v>client_general</v>
      </c>
      <c r="J1837" s="10" t="str">
        <f aca="false">"https://"&amp;B1837&amp;G1837&amp;"?utm_source="&amp;E1837&amp;"&amp;utm_medium="&amp;F1837&amp;"&amp;utm_campaign="&amp;H1837&amp;"&amp;utm_content="&amp;I1837</f>
        <v>https://b2b-ai-library.org/?utm_source=partner&amp;utm_medium=partner&amp;utm_campaign=2610_ff_lansare&amp;utm_content=client_general</v>
      </c>
    </row>
    <row r="1838" customFormat="false" ht="15" hidden="false" customHeight="false" outlineLevel="0" collapsed="false">
      <c r="A1838" s="10" t="s">
        <v>90</v>
      </c>
      <c r="B1838" s="10" t="str">
        <f aca="false">INDEX('Site-uri'!$B$2:$B$20,MATCH(A1838,'Site-uri'!$A$2:$A$20,0))</f>
        <v>b2b-ai-library.org</v>
      </c>
      <c r="C1838" s="10" t="s">
        <v>193</v>
      </c>
      <c r="D1838" s="10" t="s">
        <v>219</v>
      </c>
      <c r="E1838" s="10" t="str">
        <f aca="false">INDEX(Canale!$C$2:$C$30,MATCH(C1838,Canale!$A$2:$A$30,0))</f>
        <v>pdf_proposal</v>
      </c>
      <c r="F1838" s="10" t="str">
        <f aca="false">INDEX(Canale!$D$2:$D$30,MATCH(C1838,Canale!$A$2:$A$30,0))</f>
        <v>document</v>
      </c>
      <c r="G1838" s="10" t="str">
        <f aca="false">INDEX('Site-uri'!$C$2:$C$20,MATCH(A1838,'Site-uri'!$A$2:$A$20,0))</f>
        <v>/</v>
      </c>
      <c r="H1838" s="10" t="str">
        <f aca="false">Config!$B$3</f>
        <v>2610_ff_lansare</v>
      </c>
      <c r="I1838" s="10" t="str">
        <f aca="false">D1838&amp;"_"&amp;Config!$B$4</f>
        <v>rece_general</v>
      </c>
      <c r="J1838" s="10" t="str">
        <f aca="false">"https://"&amp;B1838&amp;G1838&amp;"?utm_source="&amp;E1838&amp;"&amp;utm_medium="&amp;F1838&amp;"&amp;utm_campaign="&amp;H1838&amp;"&amp;utm_content="&amp;I1838</f>
        <v>https://b2b-ai-library.org/?utm_source=pdf_proposal&amp;utm_medium=document&amp;utm_campaign=2610_ff_lansare&amp;utm_content=rece_general</v>
      </c>
    </row>
    <row r="1839" customFormat="false" ht="15" hidden="false" customHeight="false" outlineLevel="0" collapsed="false">
      <c r="A1839" s="10" t="s">
        <v>90</v>
      </c>
      <c r="B1839" s="10" t="str">
        <f aca="false">INDEX('Site-uri'!$B$2:$B$20,MATCH(A1839,'Site-uri'!$A$2:$A$20,0))</f>
        <v>b2b-ai-library.org</v>
      </c>
      <c r="C1839" s="10" t="s">
        <v>193</v>
      </c>
      <c r="D1839" s="10" t="s">
        <v>225</v>
      </c>
      <c r="E1839" s="10" t="str">
        <f aca="false">INDEX(Canale!$C$2:$C$30,MATCH(C1839,Canale!$A$2:$A$30,0))</f>
        <v>pdf_proposal</v>
      </c>
      <c r="F1839" s="10" t="str">
        <f aca="false">INDEX(Canale!$D$2:$D$30,MATCH(C1839,Canale!$A$2:$A$30,0))</f>
        <v>document</v>
      </c>
      <c r="G1839" s="10" t="str">
        <f aca="false">INDEX('Site-uri'!$C$2:$C$20,MATCH(A1839,'Site-uri'!$A$2:$A$20,0))</f>
        <v>/</v>
      </c>
      <c r="H1839" s="10" t="str">
        <f aca="false">Config!$B$3</f>
        <v>2610_ff_lansare</v>
      </c>
      <c r="I1839" s="10" t="str">
        <f aca="false">D1839&amp;"_"&amp;Config!$B$4</f>
        <v>cald_general</v>
      </c>
      <c r="J1839" s="10" t="str">
        <f aca="false">"https://"&amp;B1839&amp;G1839&amp;"?utm_source="&amp;E1839&amp;"&amp;utm_medium="&amp;F1839&amp;"&amp;utm_campaign="&amp;H1839&amp;"&amp;utm_content="&amp;I1839</f>
        <v>https://b2b-ai-library.org/?utm_source=pdf_proposal&amp;utm_medium=document&amp;utm_campaign=2610_ff_lansare&amp;utm_content=cald_general</v>
      </c>
    </row>
    <row r="1840" customFormat="false" ht="15" hidden="false" customHeight="false" outlineLevel="0" collapsed="false">
      <c r="A1840" s="10" t="s">
        <v>90</v>
      </c>
      <c r="B1840" s="10" t="str">
        <f aca="false">INDEX('Site-uri'!$B$2:$B$20,MATCH(A1840,'Site-uri'!$A$2:$A$20,0))</f>
        <v>b2b-ai-library.org</v>
      </c>
      <c r="C1840" s="10" t="s">
        <v>193</v>
      </c>
      <c r="D1840" s="10" t="s">
        <v>231</v>
      </c>
      <c r="E1840" s="10" t="str">
        <f aca="false">INDEX(Canale!$C$2:$C$30,MATCH(C1840,Canale!$A$2:$A$30,0))</f>
        <v>pdf_proposal</v>
      </c>
      <c r="F1840" s="10" t="str">
        <f aca="false">INDEX(Canale!$D$2:$D$30,MATCH(C1840,Canale!$A$2:$A$30,0))</f>
        <v>document</v>
      </c>
      <c r="G1840" s="10" t="str">
        <f aca="false">INDEX('Site-uri'!$C$2:$C$20,MATCH(A1840,'Site-uri'!$A$2:$A$20,0))</f>
        <v>/</v>
      </c>
      <c r="H1840" s="10" t="str">
        <f aca="false">Config!$B$3</f>
        <v>2610_ff_lansare</v>
      </c>
      <c r="I1840" s="10" t="str">
        <f aca="false">D1840&amp;"_"&amp;Config!$B$4</f>
        <v>fierbinte_general</v>
      </c>
      <c r="J1840" s="10" t="str">
        <f aca="false">"https://"&amp;B1840&amp;G1840&amp;"?utm_source="&amp;E1840&amp;"&amp;utm_medium="&amp;F1840&amp;"&amp;utm_campaign="&amp;H1840&amp;"&amp;utm_content="&amp;I1840</f>
        <v>https://b2b-ai-library.org/?utm_source=pdf_proposal&amp;utm_medium=document&amp;utm_campaign=2610_ff_lansare&amp;utm_content=fierbinte_general</v>
      </c>
    </row>
    <row r="1841" customFormat="false" ht="15" hidden="false" customHeight="false" outlineLevel="0" collapsed="false">
      <c r="A1841" s="10" t="s">
        <v>90</v>
      </c>
      <c r="B1841" s="10" t="str">
        <f aca="false">INDEX('Site-uri'!$B$2:$B$20,MATCH(A1841,'Site-uri'!$A$2:$A$20,0))</f>
        <v>b2b-ai-library.org</v>
      </c>
      <c r="C1841" s="10" t="s">
        <v>193</v>
      </c>
      <c r="D1841" s="10" t="s">
        <v>237</v>
      </c>
      <c r="E1841" s="10" t="str">
        <f aca="false">INDEX(Canale!$C$2:$C$30,MATCH(C1841,Canale!$A$2:$A$30,0))</f>
        <v>pdf_proposal</v>
      </c>
      <c r="F1841" s="10" t="str">
        <f aca="false">INDEX(Canale!$D$2:$D$30,MATCH(C1841,Canale!$A$2:$A$30,0))</f>
        <v>document</v>
      </c>
      <c r="G1841" s="10" t="str">
        <f aca="false">INDEX('Site-uri'!$C$2:$C$20,MATCH(A1841,'Site-uri'!$A$2:$A$20,0))</f>
        <v>/</v>
      </c>
      <c r="H1841" s="10" t="str">
        <f aca="false">Config!$B$3</f>
        <v>2610_ff_lansare</v>
      </c>
      <c r="I1841" s="10" t="str">
        <f aca="false">D1841&amp;"_"&amp;Config!$B$4</f>
        <v>client_general</v>
      </c>
      <c r="J1841" s="10" t="str">
        <f aca="false">"https://"&amp;B1841&amp;G1841&amp;"?utm_source="&amp;E1841&amp;"&amp;utm_medium="&amp;F1841&amp;"&amp;utm_campaign="&amp;H1841&amp;"&amp;utm_content="&amp;I1841</f>
        <v>https://b2b-ai-library.org/?utm_source=pdf_proposal&amp;utm_medium=document&amp;utm_campaign=2610_ff_lansare&amp;utm_content=client_general</v>
      </c>
    </row>
    <row r="1842" customFormat="false" ht="15" hidden="false" customHeight="false" outlineLevel="0" collapsed="false">
      <c r="A1842" s="10" t="s">
        <v>90</v>
      </c>
      <c r="B1842" s="10" t="str">
        <f aca="false">INDEX('Site-uri'!$B$2:$B$20,MATCH(A1842,'Site-uri'!$A$2:$A$20,0))</f>
        <v>b2b-ai-library.org</v>
      </c>
      <c r="C1842" s="10" t="s">
        <v>198</v>
      </c>
      <c r="D1842" s="10" t="s">
        <v>219</v>
      </c>
      <c r="E1842" s="10" t="str">
        <f aca="false">INDEX(Canale!$C$2:$C$30,MATCH(C1842,Canale!$A$2:$A$30,0))</f>
        <v>qr_print</v>
      </c>
      <c r="F1842" s="10" t="str">
        <f aca="false">INDEX(Canale!$D$2:$D$30,MATCH(C1842,Canale!$A$2:$A$30,0))</f>
        <v>qr</v>
      </c>
      <c r="G1842" s="10" t="str">
        <f aca="false">INDEX('Site-uri'!$C$2:$C$20,MATCH(A1842,'Site-uri'!$A$2:$A$20,0))</f>
        <v>/</v>
      </c>
      <c r="H1842" s="10" t="str">
        <f aca="false">Config!$B$3</f>
        <v>2610_ff_lansare</v>
      </c>
      <c r="I1842" s="10" t="str">
        <f aca="false">D1842&amp;"_"&amp;Config!$B$4</f>
        <v>rece_general</v>
      </c>
      <c r="J1842" s="10" t="str">
        <f aca="false">"https://"&amp;B1842&amp;G1842&amp;"?utm_source="&amp;E1842&amp;"&amp;utm_medium="&amp;F1842&amp;"&amp;utm_campaign="&amp;H1842&amp;"&amp;utm_content="&amp;I1842</f>
        <v>https://b2b-ai-library.org/?utm_source=qr_print&amp;utm_medium=qr&amp;utm_campaign=2610_ff_lansare&amp;utm_content=rece_general</v>
      </c>
    </row>
    <row r="1843" customFormat="false" ht="15" hidden="false" customHeight="false" outlineLevel="0" collapsed="false">
      <c r="A1843" s="10" t="s">
        <v>90</v>
      </c>
      <c r="B1843" s="10" t="str">
        <f aca="false">INDEX('Site-uri'!$B$2:$B$20,MATCH(A1843,'Site-uri'!$A$2:$A$20,0))</f>
        <v>b2b-ai-library.org</v>
      </c>
      <c r="C1843" s="10" t="s">
        <v>198</v>
      </c>
      <c r="D1843" s="10" t="s">
        <v>225</v>
      </c>
      <c r="E1843" s="10" t="str">
        <f aca="false">INDEX(Canale!$C$2:$C$30,MATCH(C1843,Canale!$A$2:$A$30,0))</f>
        <v>qr_print</v>
      </c>
      <c r="F1843" s="10" t="str">
        <f aca="false">INDEX(Canale!$D$2:$D$30,MATCH(C1843,Canale!$A$2:$A$30,0))</f>
        <v>qr</v>
      </c>
      <c r="G1843" s="10" t="str">
        <f aca="false">INDEX('Site-uri'!$C$2:$C$20,MATCH(A1843,'Site-uri'!$A$2:$A$20,0))</f>
        <v>/</v>
      </c>
      <c r="H1843" s="10" t="str">
        <f aca="false">Config!$B$3</f>
        <v>2610_ff_lansare</v>
      </c>
      <c r="I1843" s="10" t="str">
        <f aca="false">D1843&amp;"_"&amp;Config!$B$4</f>
        <v>cald_general</v>
      </c>
      <c r="J1843" s="10" t="str">
        <f aca="false">"https://"&amp;B1843&amp;G1843&amp;"?utm_source="&amp;E1843&amp;"&amp;utm_medium="&amp;F1843&amp;"&amp;utm_campaign="&amp;H1843&amp;"&amp;utm_content="&amp;I1843</f>
        <v>https://b2b-ai-library.org/?utm_source=qr_print&amp;utm_medium=qr&amp;utm_campaign=2610_ff_lansare&amp;utm_content=cald_general</v>
      </c>
    </row>
    <row r="1844" customFormat="false" ht="15" hidden="false" customHeight="false" outlineLevel="0" collapsed="false">
      <c r="A1844" s="10" t="s">
        <v>90</v>
      </c>
      <c r="B1844" s="10" t="str">
        <f aca="false">INDEX('Site-uri'!$B$2:$B$20,MATCH(A1844,'Site-uri'!$A$2:$A$20,0))</f>
        <v>b2b-ai-library.org</v>
      </c>
      <c r="C1844" s="10" t="s">
        <v>198</v>
      </c>
      <c r="D1844" s="10" t="s">
        <v>231</v>
      </c>
      <c r="E1844" s="10" t="str">
        <f aca="false">INDEX(Canale!$C$2:$C$30,MATCH(C1844,Canale!$A$2:$A$30,0))</f>
        <v>qr_print</v>
      </c>
      <c r="F1844" s="10" t="str">
        <f aca="false">INDEX(Canale!$D$2:$D$30,MATCH(C1844,Canale!$A$2:$A$30,0))</f>
        <v>qr</v>
      </c>
      <c r="G1844" s="10" t="str">
        <f aca="false">INDEX('Site-uri'!$C$2:$C$20,MATCH(A1844,'Site-uri'!$A$2:$A$20,0))</f>
        <v>/</v>
      </c>
      <c r="H1844" s="10" t="str">
        <f aca="false">Config!$B$3</f>
        <v>2610_ff_lansare</v>
      </c>
      <c r="I1844" s="10" t="str">
        <f aca="false">D1844&amp;"_"&amp;Config!$B$4</f>
        <v>fierbinte_general</v>
      </c>
      <c r="J1844" s="10" t="str">
        <f aca="false">"https://"&amp;B1844&amp;G1844&amp;"?utm_source="&amp;E1844&amp;"&amp;utm_medium="&amp;F1844&amp;"&amp;utm_campaign="&amp;H1844&amp;"&amp;utm_content="&amp;I1844</f>
        <v>https://b2b-ai-library.org/?utm_source=qr_print&amp;utm_medium=qr&amp;utm_campaign=2610_ff_lansare&amp;utm_content=fierbinte_general</v>
      </c>
    </row>
    <row r="1845" customFormat="false" ht="15" hidden="false" customHeight="false" outlineLevel="0" collapsed="false">
      <c r="A1845" s="10" t="s">
        <v>90</v>
      </c>
      <c r="B1845" s="10" t="str">
        <f aca="false">INDEX('Site-uri'!$B$2:$B$20,MATCH(A1845,'Site-uri'!$A$2:$A$20,0))</f>
        <v>b2b-ai-library.org</v>
      </c>
      <c r="C1845" s="10" t="s">
        <v>198</v>
      </c>
      <c r="D1845" s="10" t="s">
        <v>237</v>
      </c>
      <c r="E1845" s="10" t="str">
        <f aca="false">INDEX(Canale!$C$2:$C$30,MATCH(C1845,Canale!$A$2:$A$30,0))</f>
        <v>qr_print</v>
      </c>
      <c r="F1845" s="10" t="str">
        <f aca="false">INDEX(Canale!$D$2:$D$30,MATCH(C1845,Canale!$A$2:$A$30,0))</f>
        <v>qr</v>
      </c>
      <c r="G1845" s="10" t="str">
        <f aca="false">INDEX('Site-uri'!$C$2:$C$20,MATCH(A1845,'Site-uri'!$A$2:$A$20,0))</f>
        <v>/</v>
      </c>
      <c r="H1845" s="10" t="str">
        <f aca="false">Config!$B$3</f>
        <v>2610_ff_lansare</v>
      </c>
      <c r="I1845" s="10" t="str">
        <f aca="false">D1845&amp;"_"&amp;Config!$B$4</f>
        <v>client_general</v>
      </c>
      <c r="J1845" s="10" t="str">
        <f aca="false">"https://"&amp;B1845&amp;G1845&amp;"?utm_source="&amp;E1845&amp;"&amp;utm_medium="&amp;F1845&amp;"&amp;utm_campaign="&amp;H1845&amp;"&amp;utm_content="&amp;I1845</f>
        <v>https://b2b-ai-library.org/?utm_source=qr_print&amp;utm_medium=qr&amp;utm_campaign=2610_ff_lansare&amp;utm_content=client_general</v>
      </c>
    </row>
    <row r="1846" customFormat="false" ht="15" hidden="false" customHeight="false" outlineLevel="0" collapsed="false">
      <c r="A1846" s="10" t="s">
        <v>90</v>
      </c>
      <c r="B1846" s="10" t="str">
        <f aca="false">INDEX('Site-uri'!$B$2:$B$20,MATCH(A1846,'Site-uri'!$A$2:$A$20,0))</f>
        <v>b2b-ai-library.org</v>
      </c>
      <c r="C1846" s="10" t="s">
        <v>202</v>
      </c>
      <c r="D1846" s="10" t="s">
        <v>219</v>
      </c>
      <c r="E1846" s="10" t="str">
        <f aca="false">INDEX(Canale!$C$2:$C$30,MATCH(C1846,Canale!$A$2:$A$30,0))</f>
        <v>event</v>
      </c>
      <c r="F1846" s="10" t="str">
        <f aca="false">INDEX(Canale!$D$2:$D$30,MATCH(C1846,Canale!$A$2:$A$30,0))</f>
        <v>event</v>
      </c>
      <c r="G1846" s="10" t="str">
        <f aca="false">INDEX('Site-uri'!$C$2:$C$20,MATCH(A1846,'Site-uri'!$A$2:$A$20,0))</f>
        <v>/</v>
      </c>
      <c r="H1846" s="10" t="str">
        <f aca="false">Config!$B$3</f>
        <v>2610_ff_lansare</v>
      </c>
      <c r="I1846" s="10" t="str">
        <f aca="false">D1846&amp;"_"&amp;Config!$B$4</f>
        <v>rece_general</v>
      </c>
      <c r="J1846" s="10" t="str">
        <f aca="false">"https://"&amp;B1846&amp;G1846&amp;"?utm_source="&amp;E1846&amp;"&amp;utm_medium="&amp;F1846&amp;"&amp;utm_campaign="&amp;H1846&amp;"&amp;utm_content="&amp;I1846</f>
        <v>https://b2b-ai-library.org/?utm_source=event&amp;utm_medium=event&amp;utm_campaign=2610_ff_lansare&amp;utm_content=rece_general</v>
      </c>
    </row>
    <row r="1847" customFormat="false" ht="15" hidden="false" customHeight="false" outlineLevel="0" collapsed="false">
      <c r="A1847" s="10" t="s">
        <v>90</v>
      </c>
      <c r="B1847" s="10" t="str">
        <f aca="false">INDEX('Site-uri'!$B$2:$B$20,MATCH(A1847,'Site-uri'!$A$2:$A$20,0))</f>
        <v>b2b-ai-library.org</v>
      </c>
      <c r="C1847" s="10" t="s">
        <v>202</v>
      </c>
      <c r="D1847" s="10" t="s">
        <v>225</v>
      </c>
      <c r="E1847" s="10" t="str">
        <f aca="false">INDEX(Canale!$C$2:$C$30,MATCH(C1847,Canale!$A$2:$A$30,0))</f>
        <v>event</v>
      </c>
      <c r="F1847" s="10" t="str">
        <f aca="false">INDEX(Canale!$D$2:$D$30,MATCH(C1847,Canale!$A$2:$A$30,0))</f>
        <v>event</v>
      </c>
      <c r="G1847" s="10" t="str">
        <f aca="false">INDEX('Site-uri'!$C$2:$C$20,MATCH(A1847,'Site-uri'!$A$2:$A$20,0))</f>
        <v>/</v>
      </c>
      <c r="H1847" s="10" t="str">
        <f aca="false">Config!$B$3</f>
        <v>2610_ff_lansare</v>
      </c>
      <c r="I1847" s="10" t="str">
        <f aca="false">D1847&amp;"_"&amp;Config!$B$4</f>
        <v>cald_general</v>
      </c>
      <c r="J1847" s="10" t="str">
        <f aca="false">"https://"&amp;B1847&amp;G1847&amp;"?utm_source="&amp;E1847&amp;"&amp;utm_medium="&amp;F1847&amp;"&amp;utm_campaign="&amp;H1847&amp;"&amp;utm_content="&amp;I1847</f>
        <v>https://b2b-ai-library.org/?utm_source=event&amp;utm_medium=event&amp;utm_campaign=2610_ff_lansare&amp;utm_content=cald_general</v>
      </c>
    </row>
    <row r="1848" customFormat="false" ht="15" hidden="false" customHeight="false" outlineLevel="0" collapsed="false">
      <c r="A1848" s="10" t="s">
        <v>90</v>
      </c>
      <c r="B1848" s="10" t="str">
        <f aca="false">INDEX('Site-uri'!$B$2:$B$20,MATCH(A1848,'Site-uri'!$A$2:$A$20,0))</f>
        <v>b2b-ai-library.org</v>
      </c>
      <c r="C1848" s="10" t="s">
        <v>202</v>
      </c>
      <c r="D1848" s="10" t="s">
        <v>231</v>
      </c>
      <c r="E1848" s="10" t="str">
        <f aca="false">INDEX(Canale!$C$2:$C$30,MATCH(C1848,Canale!$A$2:$A$30,0))</f>
        <v>event</v>
      </c>
      <c r="F1848" s="10" t="str">
        <f aca="false">INDEX(Canale!$D$2:$D$30,MATCH(C1848,Canale!$A$2:$A$30,0))</f>
        <v>event</v>
      </c>
      <c r="G1848" s="10" t="str">
        <f aca="false">INDEX('Site-uri'!$C$2:$C$20,MATCH(A1848,'Site-uri'!$A$2:$A$20,0))</f>
        <v>/</v>
      </c>
      <c r="H1848" s="10" t="str">
        <f aca="false">Config!$B$3</f>
        <v>2610_ff_lansare</v>
      </c>
      <c r="I1848" s="10" t="str">
        <f aca="false">D1848&amp;"_"&amp;Config!$B$4</f>
        <v>fierbinte_general</v>
      </c>
      <c r="J1848" s="10" t="str">
        <f aca="false">"https://"&amp;B1848&amp;G1848&amp;"?utm_source="&amp;E1848&amp;"&amp;utm_medium="&amp;F1848&amp;"&amp;utm_campaign="&amp;H1848&amp;"&amp;utm_content="&amp;I1848</f>
        <v>https://b2b-ai-library.org/?utm_source=event&amp;utm_medium=event&amp;utm_campaign=2610_ff_lansare&amp;utm_content=fierbinte_general</v>
      </c>
    </row>
    <row r="1849" customFormat="false" ht="15" hidden="false" customHeight="false" outlineLevel="0" collapsed="false">
      <c r="A1849" s="10" t="s">
        <v>90</v>
      </c>
      <c r="B1849" s="10" t="str">
        <f aca="false">INDEX('Site-uri'!$B$2:$B$20,MATCH(A1849,'Site-uri'!$A$2:$A$20,0))</f>
        <v>b2b-ai-library.org</v>
      </c>
      <c r="C1849" s="10" t="s">
        <v>202</v>
      </c>
      <c r="D1849" s="10" t="s">
        <v>237</v>
      </c>
      <c r="E1849" s="10" t="str">
        <f aca="false">INDEX(Canale!$C$2:$C$30,MATCH(C1849,Canale!$A$2:$A$30,0))</f>
        <v>event</v>
      </c>
      <c r="F1849" s="10" t="str">
        <f aca="false">INDEX(Canale!$D$2:$D$30,MATCH(C1849,Canale!$A$2:$A$30,0))</f>
        <v>event</v>
      </c>
      <c r="G1849" s="10" t="str">
        <f aca="false">INDEX('Site-uri'!$C$2:$C$20,MATCH(A1849,'Site-uri'!$A$2:$A$20,0))</f>
        <v>/</v>
      </c>
      <c r="H1849" s="10" t="str">
        <f aca="false">Config!$B$3</f>
        <v>2610_ff_lansare</v>
      </c>
      <c r="I1849" s="10" t="str">
        <f aca="false">D1849&amp;"_"&amp;Config!$B$4</f>
        <v>client_general</v>
      </c>
      <c r="J1849" s="10" t="str">
        <f aca="false">"https://"&amp;B1849&amp;G1849&amp;"?utm_source="&amp;E1849&amp;"&amp;utm_medium="&amp;F1849&amp;"&amp;utm_campaign="&amp;H1849&amp;"&amp;utm_content="&amp;I1849</f>
        <v>https://b2b-ai-library.org/?utm_source=event&amp;utm_medium=event&amp;utm_campaign=2610_ff_lansare&amp;utm_content=client_general</v>
      </c>
    </row>
    <row r="1850" customFormat="false" ht="15" hidden="false" customHeight="false" outlineLevel="0" collapsed="false">
      <c r="A1850" s="10" t="s">
        <v>90</v>
      </c>
      <c r="B1850" s="10" t="str">
        <f aca="false">INDEX('Site-uri'!$B$2:$B$20,MATCH(A1850,'Site-uri'!$A$2:$A$20,0))</f>
        <v>b2b-ai-library.org</v>
      </c>
      <c r="C1850" s="10" t="s">
        <v>204</v>
      </c>
      <c r="D1850" s="10" t="s">
        <v>219</v>
      </c>
      <c r="E1850" s="10" t="str">
        <f aca="false">INDEX(Canale!$C$2:$C$30,MATCH(C1850,Canale!$A$2:$A$30,0))</f>
        <v>a2a_agent_card</v>
      </c>
      <c r="F1850" s="10" t="str">
        <f aca="false">INDEX(Canale!$D$2:$D$30,MATCH(C1850,Canale!$A$2:$A$30,0))</f>
        <v>agent</v>
      </c>
      <c r="G1850" s="10" t="str">
        <f aca="false">INDEX('Site-uri'!$C$2:$C$20,MATCH(A1850,'Site-uri'!$A$2:$A$20,0))</f>
        <v>/</v>
      </c>
      <c r="H1850" s="10" t="str">
        <f aca="false">Config!$B$3</f>
        <v>2610_ff_lansare</v>
      </c>
      <c r="I1850" s="10" t="str">
        <f aca="false">D1850&amp;"_"&amp;Config!$B$4</f>
        <v>rece_general</v>
      </c>
      <c r="J1850" s="10" t="str">
        <f aca="false">"https://"&amp;B1850&amp;G1850&amp;"?utm_source="&amp;E1850&amp;"&amp;utm_medium="&amp;F1850&amp;"&amp;utm_campaign="&amp;H1850&amp;"&amp;utm_content="&amp;I1850</f>
        <v>https://b2b-ai-library.org/?utm_source=a2a_agent_card&amp;utm_medium=agent&amp;utm_campaign=2610_ff_lansare&amp;utm_content=rece_general</v>
      </c>
    </row>
    <row r="1851" customFormat="false" ht="15" hidden="false" customHeight="false" outlineLevel="0" collapsed="false">
      <c r="A1851" s="10" t="s">
        <v>90</v>
      </c>
      <c r="B1851" s="10" t="str">
        <f aca="false">INDEX('Site-uri'!$B$2:$B$20,MATCH(A1851,'Site-uri'!$A$2:$A$20,0))</f>
        <v>b2b-ai-library.org</v>
      </c>
      <c r="C1851" s="10" t="s">
        <v>204</v>
      </c>
      <c r="D1851" s="10" t="s">
        <v>225</v>
      </c>
      <c r="E1851" s="10" t="str">
        <f aca="false">INDEX(Canale!$C$2:$C$30,MATCH(C1851,Canale!$A$2:$A$30,0))</f>
        <v>a2a_agent_card</v>
      </c>
      <c r="F1851" s="10" t="str">
        <f aca="false">INDEX(Canale!$D$2:$D$30,MATCH(C1851,Canale!$A$2:$A$30,0))</f>
        <v>agent</v>
      </c>
      <c r="G1851" s="10" t="str">
        <f aca="false">INDEX('Site-uri'!$C$2:$C$20,MATCH(A1851,'Site-uri'!$A$2:$A$20,0))</f>
        <v>/</v>
      </c>
      <c r="H1851" s="10" t="str">
        <f aca="false">Config!$B$3</f>
        <v>2610_ff_lansare</v>
      </c>
      <c r="I1851" s="10" t="str">
        <f aca="false">D1851&amp;"_"&amp;Config!$B$4</f>
        <v>cald_general</v>
      </c>
      <c r="J1851" s="10" t="str">
        <f aca="false">"https://"&amp;B1851&amp;G1851&amp;"?utm_source="&amp;E1851&amp;"&amp;utm_medium="&amp;F1851&amp;"&amp;utm_campaign="&amp;H1851&amp;"&amp;utm_content="&amp;I1851</f>
        <v>https://b2b-ai-library.org/?utm_source=a2a_agent_card&amp;utm_medium=agent&amp;utm_campaign=2610_ff_lansare&amp;utm_content=cald_general</v>
      </c>
    </row>
    <row r="1852" customFormat="false" ht="15" hidden="false" customHeight="false" outlineLevel="0" collapsed="false">
      <c r="A1852" s="10" t="s">
        <v>90</v>
      </c>
      <c r="B1852" s="10" t="str">
        <f aca="false">INDEX('Site-uri'!$B$2:$B$20,MATCH(A1852,'Site-uri'!$A$2:$A$20,0))</f>
        <v>b2b-ai-library.org</v>
      </c>
      <c r="C1852" s="10" t="s">
        <v>204</v>
      </c>
      <c r="D1852" s="10" t="s">
        <v>231</v>
      </c>
      <c r="E1852" s="10" t="str">
        <f aca="false">INDEX(Canale!$C$2:$C$30,MATCH(C1852,Canale!$A$2:$A$30,0))</f>
        <v>a2a_agent_card</v>
      </c>
      <c r="F1852" s="10" t="str">
        <f aca="false">INDEX(Canale!$D$2:$D$30,MATCH(C1852,Canale!$A$2:$A$30,0))</f>
        <v>agent</v>
      </c>
      <c r="G1852" s="10" t="str">
        <f aca="false">INDEX('Site-uri'!$C$2:$C$20,MATCH(A1852,'Site-uri'!$A$2:$A$20,0))</f>
        <v>/</v>
      </c>
      <c r="H1852" s="10" t="str">
        <f aca="false">Config!$B$3</f>
        <v>2610_ff_lansare</v>
      </c>
      <c r="I1852" s="10" t="str">
        <f aca="false">D1852&amp;"_"&amp;Config!$B$4</f>
        <v>fierbinte_general</v>
      </c>
      <c r="J1852" s="10" t="str">
        <f aca="false">"https://"&amp;B1852&amp;G1852&amp;"?utm_source="&amp;E1852&amp;"&amp;utm_medium="&amp;F1852&amp;"&amp;utm_campaign="&amp;H1852&amp;"&amp;utm_content="&amp;I1852</f>
        <v>https://b2b-ai-library.org/?utm_source=a2a_agent_card&amp;utm_medium=agent&amp;utm_campaign=2610_ff_lansare&amp;utm_content=fierbinte_general</v>
      </c>
    </row>
    <row r="1853" customFormat="false" ht="15" hidden="false" customHeight="false" outlineLevel="0" collapsed="false">
      <c r="A1853" s="10" t="s">
        <v>90</v>
      </c>
      <c r="B1853" s="10" t="str">
        <f aca="false">INDEX('Site-uri'!$B$2:$B$20,MATCH(A1853,'Site-uri'!$A$2:$A$20,0))</f>
        <v>b2b-ai-library.org</v>
      </c>
      <c r="C1853" s="10" t="s">
        <v>204</v>
      </c>
      <c r="D1853" s="10" t="s">
        <v>237</v>
      </c>
      <c r="E1853" s="10" t="str">
        <f aca="false">INDEX(Canale!$C$2:$C$30,MATCH(C1853,Canale!$A$2:$A$30,0))</f>
        <v>a2a_agent_card</v>
      </c>
      <c r="F1853" s="10" t="str">
        <f aca="false">INDEX(Canale!$D$2:$D$30,MATCH(C1853,Canale!$A$2:$A$30,0))</f>
        <v>agent</v>
      </c>
      <c r="G1853" s="10" t="str">
        <f aca="false">INDEX('Site-uri'!$C$2:$C$20,MATCH(A1853,'Site-uri'!$A$2:$A$20,0))</f>
        <v>/</v>
      </c>
      <c r="H1853" s="10" t="str">
        <f aca="false">Config!$B$3</f>
        <v>2610_ff_lansare</v>
      </c>
      <c r="I1853" s="10" t="str">
        <f aca="false">D1853&amp;"_"&amp;Config!$B$4</f>
        <v>client_general</v>
      </c>
      <c r="J1853" s="10" t="str">
        <f aca="false">"https://"&amp;B1853&amp;G1853&amp;"?utm_source="&amp;E1853&amp;"&amp;utm_medium="&amp;F1853&amp;"&amp;utm_campaign="&amp;H1853&amp;"&amp;utm_content="&amp;I1853</f>
        <v>https://b2b-ai-library.org/?utm_source=a2a_agent_card&amp;utm_medium=agent&amp;utm_campaign=2610_ff_lansare&amp;utm_content=client_general</v>
      </c>
    </row>
    <row r="1854" customFormat="false" ht="15" hidden="false" customHeight="false" outlineLevel="0" collapsed="false">
      <c r="A1854" s="10" t="s">
        <v>90</v>
      </c>
      <c r="B1854" s="10" t="str">
        <f aca="false">INDEX('Site-uri'!$B$2:$B$20,MATCH(A1854,'Site-uri'!$A$2:$A$20,0))</f>
        <v>b2b-ai-library.org</v>
      </c>
      <c r="C1854" s="10" t="s">
        <v>209</v>
      </c>
      <c r="D1854" s="10" t="s">
        <v>219</v>
      </c>
      <c r="E1854" s="10" t="str">
        <f aca="false">INDEX(Canale!$C$2:$C$30,MATCH(C1854,Canale!$A$2:$A$30,0))</f>
        <v>llms_txt</v>
      </c>
      <c r="F1854" s="10" t="str">
        <f aca="false">INDEX(Canale!$D$2:$D$30,MATCH(C1854,Canale!$A$2:$A$30,0))</f>
        <v>ai_web</v>
      </c>
      <c r="G1854" s="10" t="str">
        <f aca="false">INDEX('Site-uri'!$C$2:$C$20,MATCH(A1854,'Site-uri'!$A$2:$A$20,0))</f>
        <v>/</v>
      </c>
      <c r="H1854" s="10" t="str">
        <f aca="false">Config!$B$3</f>
        <v>2610_ff_lansare</v>
      </c>
      <c r="I1854" s="10" t="str">
        <f aca="false">D1854&amp;"_"&amp;Config!$B$4</f>
        <v>rece_general</v>
      </c>
      <c r="J1854" s="10" t="str">
        <f aca="false">"https://"&amp;B1854&amp;G1854&amp;"?utm_source="&amp;E1854&amp;"&amp;utm_medium="&amp;F1854&amp;"&amp;utm_campaign="&amp;H1854&amp;"&amp;utm_content="&amp;I1854</f>
        <v>https://b2b-ai-library.org/?utm_source=llms_txt&amp;utm_medium=ai_web&amp;utm_campaign=2610_ff_lansare&amp;utm_content=rece_general</v>
      </c>
    </row>
    <row r="1855" customFormat="false" ht="15" hidden="false" customHeight="false" outlineLevel="0" collapsed="false">
      <c r="A1855" s="10" t="s">
        <v>90</v>
      </c>
      <c r="B1855" s="10" t="str">
        <f aca="false">INDEX('Site-uri'!$B$2:$B$20,MATCH(A1855,'Site-uri'!$A$2:$A$20,0))</f>
        <v>b2b-ai-library.org</v>
      </c>
      <c r="C1855" s="10" t="s">
        <v>209</v>
      </c>
      <c r="D1855" s="10" t="s">
        <v>225</v>
      </c>
      <c r="E1855" s="10" t="str">
        <f aca="false">INDEX(Canale!$C$2:$C$30,MATCH(C1855,Canale!$A$2:$A$30,0))</f>
        <v>llms_txt</v>
      </c>
      <c r="F1855" s="10" t="str">
        <f aca="false">INDEX(Canale!$D$2:$D$30,MATCH(C1855,Canale!$A$2:$A$30,0))</f>
        <v>ai_web</v>
      </c>
      <c r="G1855" s="10" t="str">
        <f aca="false">INDEX('Site-uri'!$C$2:$C$20,MATCH(A1855,'Site-uri'!$A$2:$A$20,0))</f>
        <v>/</v>
      </c>
      <c r="H1855" s="10" t="str">
        <f aca="false">Config!$B$3</f>
        <v>2610_ff_lansare</v>
      </c>
      <c r="I1855" s="10" t="str">
        <f aca="false">D1855&amp;"_"&amp;Config!$B$4</f>
        <v>cald_general</v>
      </c>
      <c r="J1855" s="10" t="str">
        <f aca="false">"https://"&amp;B1855&amp;G1855&amp;"?utm_source="&amp;E1855&amp;"&amp;utm_medium="&amp;F1855&amp;"&amp;utm_campaign="&amp;H1855&amp;"&amp;utm_content="&amp;I1855</f>
        <v>https://b2b-ai-library.org/?utm_source=llms_txt&amp;utm_medium=ai_web&amp;utm_campaign=2610_ff_lansare&amp;utm_content=cald_general</v>
      </c>
    </row>
    <row r="1856" customFormat="false" ht="15" hidden="false" customHeight="false" outlineLevel="0" collapsed="false">
      <c r="A1856" s="10" t="s">
        <v>90</v>
      </c>
      <c r="B1856" s="10" t="str">
        <f aca="false">INDEX('Site-uri'!$B$2:$B$20,MATCH(A1856,'Site-uri'!$A$2:$A$20,0))</f>
        <v>b2b-ai-library.org</v>
      </c>
      <c r="C1856" s="10" t="s">
        <v>209</v>
      </c>
      <c r="D1856" s="10" t="s">
        <v>231</v>
      </c>
      <c r="E1856" s="10" t="str">
        <f aca="false">INDEX(Canale!$C$2:$C$30,MATCH(C1856,Canale!$A$2:$A$30,0))</f>
        <v>llms_txt</v>
      </c>
      <c r="F1856" s="10" t="str">
        <f aca="false">INDEX(Canale!$D$2:$D$30,MATCH(C1856,Canale!$A$2:$A$30,0))</f>
        <v>ai_web</v>
      </c>
      <c r="G1856" s="10" t="str">
        <f aca="false">INDEX('Site-uri'!$C$2:$C$20,MATCH(A1856,'Site-uri'!$A$2:$A$20,0))</f>
        <v>/</v>
      </c>
      <c r="H1856" s="10" t="str">
        <f aca="false">Config!$B$3</f>
        <v>2610_ff_lansare</v>
      </c>
      <c r="I1856" s="10" t="str">
        <f aca="false">D1856&amp;"_"&amp;Config!$B$4</f>
        <v>fierbinte_general</v>
      </c>
      <c r="J1856" s="10" t="str">
        <f aca="false">"https://"&amp;B1856&amp;G1856&amp;"?utm_source="&amp;E1856&amp;"&amp;utm_medium="&amp;F1856&amp;"&amp;utm_campaign="&amp;H1856&amp;"&amp;utm_content="&amp;I1856</f>
        <v>https://b2b-ai-library.org/?utm_source=llms_txt&amp;utm_medium=ai_web&amp;utm_campaign=2610_ff_lansare&amp;utm_content=fierbinte_general</v>
      </c>
    </row>
    <row r="1857" customFormat="false" ht="15" hidden="false" customHeight="false" outlineLevel="0" collapsed="false">
      <c r="A1857" s="10" t="s">
        <v>90</v>
      </c>
      <c r="B1857" s="10" t="str">
        <f aca="false">INDEX('Site-uri'!$B$2:$B$20,MATCH(A1857,'Site-uri'!$A$2:$A$20,0))</f>
        <v>b2b-ai-library.org</v>
      </c>
      <c r="C1857" s="10" t="s">
        <v>209</v>
      </c>
      <c r="D1857" s="10" t="s">
        <v>237</v>
      </c>
      <c r="E1857" s="10" t="str">
        <f aca="false">INDEX(Canale!$C$2:$C$30,MATCH(C1857,Canale!$A$2:$A$30,0))</f>
        <v>llms_txt</v>
      </c>
      <c r="F1857" s="10" t="str">
        <f aca="false">INDEX(Canale!$D$2:$D$30,MATCH(C1857,Canale!$A$2:$A$30,0))</f>
        <v>ai_web</v>
      </c>
      <c r="G1857" s="10" t="str">
        <f aca="false">INDEX('Site-uri'!$C$2:$C$20,MATCH(A1857,'Site-uri'!$A$2:$A$20,0))</f>
        <v>/</v>
      </c>
      <c r="H1857" s="10" t="str">
        <f aca="false">Config!$B$3</f>
        <v>2610_ff_lansare</v>
      </c>
      <c r="I1857" s="10" t="str">
        <f aca="false">D1857&amp;"_"&amp;Config!$B$4</f>
        <v>client_general</v>
      </c>
      <c r="J1857" s="10" t="str">
        <f aca="false">"https://"&amp;B1857&amp;G1857&amp;"?utm_source="&amp;E1857&amp;"&amp;utm_medium="&amp;F1857&amp;"&amp;utm_campaign="&amp;H1857&amp;"&amp;utm_content="&amp;I1857</f>
        <v>https://b2b-ai-library.org/?utm_source=llms_txt&amp;utm_medium=ai_web&amp;utm_campaign=2610_ff_lansare&amp;utm_content=client_general</v>
      </c>
    </row>
    <row r="1858" customFormat="false" ht="15" hidden="false" customHeight="false" outlineLevel="0" collapsed="false">
      <c r="A1858" s="10" t="s">
        <v>92</v>
      </c>
      <c r="B1858" s="10" t="str">
        <f aca="false">INDEX('Site-uri'!$B$2:$B$20,MATCH(A1858,'Site-uri'!$A$2:$A$20,0))</f>
        <v>the3webs.com</v>
      </c>
      <c r="C1858" s="10" t="s">
        <v>104</v>
      </c>
      <c r="D1858" s="10" t="s">
        <v>219</v>
      </c>
      <c r="E1858" s="10" t="str">
        <f aca="false">INDEX(Canale!$C$2:$C$30,MATCH(C1858,Canale!$A$2:$A$30,0))</f>
        <v>linkedin_personal</v>
      </c>
      <c r="F1858" s="10" t="str">
        <f aca="false">INDEX(Canale!$D$2:$D$30,MATCH(C1858,Canale!$A$2:$A$30,0))</f>
        <v>social</v>
      </c>
      <c r="G1858" s="10" t="str">
        <f aca="false">INDEX('Site-uri'!$C$2:$C$20,MATCH(A1858,'Site-uri'!$A$2:$A$20,0))</f>
        <v>/</v>
      </c>
      <c r="H1858" s="10" t="str">
        <f aca="false">Config!$B$3</f>
        <v>2610_ff_lansare</v>
      </c>
      <c r="I1858" s="10" t="str">
        <f aca="false">D1858&amp;"_"&amp;Config!$B$4</f>
        <v>rece_general</v>
      </c>
      <c r="J1858" s="10" t="str">
        <f aca="false">"https://"&amp;B1858&amp;G1858&amp;"?utm_source="&amp;E1858&amp;"&amp;utm_medium="&amp;F1858&amp;"&amp;utm_campaign="&amp;H1858&amp;"&amp;utm_content="&amp;I1858</f>
        <v>https://the3webs.com/?utm_source=linkedin_personal&amp;utm_medium=social&amp;utm_campaign=2610_ff_lansare&amp;utm_content=rece_general</v>
      </c>
    </row>
    <row r="1859" customFormat="false" ht="15" hidden="false" customHeight="false" outlineLevel="0" collapsed="false">
      <c r="A1859" s="10" t="s">
        <v>92</v>
      </c>
      <c r="B1859" s="10" t="str">
        <f aca="false">INDEX('Site-uri'!$B$2:$B$20,MATCH(A1859,'Site-uri'!$A$2:$A$20,0))</f>
        <v>the3webs.com</v>
      </c>
      <c r="C1859" s="10" t="s">
        <v>104</v>
      </c>
      <c r="D1859" s="10" t="s">
        <v>225</v>
      </c>
      <c r="E1859" s="10" t="str">
        <f aca="false">INDEX(Canale!$C$2:$C$30,MATCH(C1859,Canale!$A$2:$A$30,0))</f>
        <v>linkedin_personal</v>
      </c>
      <c r="F1859" s="10" t="str">
        <f aca="false">INDEX(Canale!$D$2:$D$30,MATCH(C1859,Canale!$A$2:$A$30,0))</f>
        <v>social</v>
      </c>
      <c r="G1859" s="10" t="str">
        <f aca="false">INDEX('Site-uri'!$C$2:$C$20,MATCH(A1859,'Site-uri'!$A$2:$A$20,0))</f>
        <v>/</v>
      </c>
      <c r="H1859" s="10" t="str">
        <f aca="false">Config!$B$3</f>
        <v>2610_ff_lansare</v>
      </c>
      <c r="I1859" s="10" t="str">
        <f aca="false">D1859&amp;"_"&amp;Config!$B$4</f>
        <v>cald_general</v>
      </c>
      <c r="J1859" s="10" t="str">
        <f aca="false">"https://"&amp;B1859&amp;G1859&amp;"?utm_source="&amp;E1859&amp;"&amp;utm_medium="&amp;F1859&amp;"&amp;utm_campaign="&amp;H1859&amp;"&amp;utm_content="&amp;I1859</f>
        <v>https://the3webs.com/?utm_source=linkedin_personal&amp;utm_medium=social&amp;utm_campaign=2610_ff_lansare&amp;utm_content=cald_general</v>
      </c>
    </row>
    <row r="1860" customFormat="false" ht="15" hidden="false" customHeight="false" outlineLevel="0" collapsed="false">
      <c r="A1860" s="10" t="s">
        <v>92</v>
      </c>
      <c r="B1860" s="10" t="str">
        <f aca="false">INDEX('Site-uri'!$B$2:$B$20,MATCH(A1860,'Site-uri'!$A$2:$A$20,0))</f>
        <v>the3webs.com</v>
      </c>
      <c r="C1860" s="10" t="s">
        <v>104</v>
      </c>
      <c r="D1860" s="10" t="s">
        <v>231</v>
      </c>
      <c r="E1860" s="10" t="str">
        <f aca="false">INDEX(Canale!$C$2:$C$30,MATCH(C1860,Canale!$A$2:$A$30,0))</f>
        <v>linkedin_personal</v>
      </c>
      <c r="F1860" s="10" t="str">
        <f aca="false">INDEX(Canale!$D$2:$D$30,MATCH(C1860,Canale!$A$2:$A$30,0))</f>
        <v>social</v>
      </c>
      <c r="G1860" s="10" t="str">
        <f aca="false">INDEX('Site-uri'!$C$2:$C$20,MATCH(A1860,'Site-uri'!$A$2:$A$20,0))</f>
        <v>/</v>
      </c>
      <c r="H1860" s="10" t="str">
        <f aca="false">Config!$B$3</f>
        <v>2610_ff_lansare</v>
      </c>
      <c r="I1860" s="10" t="str">
        <f aca="false">D1860&amp;"_"&amp;Config!$B$4</f>
        <v>fierbinte_general</v>
      </c>
      <c r="J1860" s="10" t="str">
        <f aca="false">"https://"&amp;B1860&amp;G1860&amp;"?utm_source="&amp;E1860&amp;"&amp;utm_medium="&amp;F1860&amp;"&amp;utm_campaign="&amp;H1860&amp;"&amp;utm_content="&amp;I1860</f>
        <v>https://the3webs.com/?utm_source=linkedin_personal&amp;utm_medium=social&amp;utm_campaign=2610_ff_lansare&amp;utm_content=fierbinte_general</v>
      </c>
    </row>
    <row r="1861" customFormat="false" ht="15" hidden="false" customHeight="false" outlineLevel="0" collapsed="false">
      <c r="A1861" s="10" t="s">
        <v>92</v>
      </c>
      <c r="B1861" s="10" t="str">
        <f aca="false">INDEX('Site-uri'!$B$2:$B$20,MATCH(A1861,'Site-uri'!$A$2:$A$20,0))</f>
        <v>the3webs.com</v>
      </c>
      <c r="C1861" s="10" t="s">
        <v>104</v>
      </c>
      <c r="D1861" s="10" t="s">
        <v>237</v>
      </c>
      <c r="E1861" s="10" t="str">
        <f aca="false">INDEX(Canale!$C$2:$C$30,MATCH(C1861,Canale!$A$2:$A$30,0))</f>
        <v>linkedin_personal</v>
      </c>
      <c r="F1861" s="10" t="str">
        <f aca="false">INDEX(Canale!$D$2:$D$30,MATCH(C1861,Canale!$A$2:$A$30,0))</f>
        <v>social</v>
      </c>
      <c r="G1861" s="10" t="str">
        <f aca="false">INDEX('Site-uri'!$C$2:$C$20,MATCH(A1861,'Site-uri'!$A$2:$A$20,0))</f>
        <v>/</v>
      </c>
      <c r="H1861" s="10" t="str">
        <f aca="false">Config!$B$3</f>
        <v>2610_ff_lansare</v>
      </c>
      <c r="I1861" s="10" t="str">
        <f aca="false">D1861&amp;"_"&amp;Config!$B$4</f>
        <v>client_general</v>
      </c>
      <c r="J1861" s="10" t="str">
        <f aca="false">"https://"&amp;B1861&amp;G1861&amp;"?utm_source="&amp;E1861&amp;"&amp;utm_medium="&amp;F1861&amp;"&amp;utm_campaign="&amp;H1861&amp;"&amp;utm_content="&amp;I1861</f>
        <v>https://the3webs.com/?utm_source=linkedin_personal&amp;utm_medium=social&amp;utm_campaign=2610_ff_lansare&amp;utm_content=client_general</v>
      </c>
    </row>
    <row r="1862" customFormat="false" ht="15" hidden="false" customHeight="false" outlineLevel="0" collapsed="false">
      <c r="A1862" s="10" t="s">
        <v>92</v>
      </c>
      <c r="B1862" s="10" t="str">
        <f aca="false">INDEX('Site-uri'!$B$2:$B$20,MATCH(A1862,'Site-uri'!$A$2:$A$20,0))</f>
        <v>the3webs.com</v>
      </c>
      <c r="C1862" s="10" t="s">
        <v>109</v>
      </c>
      <c r="D1862" s="10" t="s">
        <v>219</v>
      </c>
      <c r="E1862" s="10" t="str">
        <f aca="false">INDEX(Canale!$C$2:$C$30,MATCH(C1862,Canale!$A$2:$A$30,0))</f>
        <v>linkedin_company</v>
      </c>
      <c r="F1862" s="10" t="str">
        <f aca="false">INDEX(Canale!$D$2:$D$30,MATCH(C1862,Canale!$A$2:$A$30,0))</f>
        <v>social</v>
      </c>
      <c r="G1862" s="10" t="str">
        <f aca="false">INDEX('Site-uri'!$C$2:$C$20,MATCH(A1862,'Site-uri'!$A$2:$A$20,0))</f>
        <v>/</v>
      </c>
      <c r="H1862" s="10" t="str">
        <f aca="false">Config!$B$3</f>
        <v>2610_ff_lansare</v>
      </c>
      <c r="I1862" s="10" t="str">
        <f aca="false">D1862&amp;"_"&amp;Config!$B$4</f>
        <v>rece_general</v>
      </c>
      <c r="J1862" s="10" t="str">
        <f aca="false">"https://"&amp;B1862&amp;G1862&amp;"?utm_source="&amp;E1862&amp;"&amp;utm_medium="&amp;F1862&amp;"&amp;utm_campaign="&amp;H1862&amp;"&amp;utm_content="&amp;I1862</f>
        <v>https://the3webs.com/?utm_source=linkedin_company&amp;utm_medium=social&amp;utm_campaign=2610_ff_lansare&amp;utm_content=rece_general</v>
      </c>
    </row>
    <row r="1863" customFormat="false" ht="15" hidden="false" customHeight="false" outlineLevel="0" collapsed="false">
      <c r="A1863" s="10" t="s">
        <v>92</v>
      </c>
      <c r="B1863" s="10" t="str">
        <f aca="false">INDEX('Site-uri'!$B$2:$B$20,MATCH(A1863,'Site-uri'!$A$2:$A$20,0))</f>
        <v>the3webs.com</v>
      </c>
      <c r="C1863" s="10" t="s">
        <v>109</v>
      </c>
      <c r="D1863" s="10" t="s">
        <v>225</v>
      </c>
      <c r="E1863" s="10" t="str">
        <f aca="false">INDEX(Canale!$C$2:$C$30,MATCH(C1863,Canale!$A$2:$A$30,0))</f>
        <v>linkedin_company</v>
      </c>
      <c r="F1863" s="10" t="str">
        <f aca="false">INDEX(Canale!$D$2:$D$30,MATCH(C1863,Canale!$A$2:$A$30,0))</f>
        <v>social</v>
      </c>
      <c r="G1863" s="10" t="str">
        <f aca="false">INDEX('Site-uri'!$C$2:$C$20,MATCH(A1863,'Site-uri'!$A$2:$A$20,0))</f>
        <v>/</v>
      </c>
      <c r="H1863" s="10" t="str">
        <f aca="false">Config!$B$3</f>
        <v>2610_ff_lansare</v>
      </c>
      <c r="I1863" s="10" t="str">
        <f aca="false">D1863&amp;"_"&amp;Config!$B$4</f>
        <v>cald_general</v>
      </c>
      <c r="J1863" s="10" t="str">
        <f aca="false">"https://"&amp;B1863&amp;G1863&amp;"?utm_source="&amp;E1863&amp;"&amp;utm_medium="&amp;F1863&amp;"&amp;utm_campaign="&amp;H1863&amp;"&amp;utm_content="&amp;I1863</f>
        <v>https://the3webs.com/?utm_source=linkedin_company&amp;utm_medium=social&amp;utm_campaign=2610_ff_lansare&amp;utm_content=cald_general</v>
      </c>
    </row>
    <row r="1864" customFormat="false" ht="15" hidden="false" customHeight="false" outlineLevel="0" collapsed="false">
      <c r="A1864" s="10" t="s">
        <v>92</v>
      </c>
      <c r="B1864" s="10" t="str">
        <f aca="false">INDEX('Site-uri'!$B$2:$B$20,MATCH(A1864,'Site-uri'!$A$2:$A$20,0))</f>
        <v>the3webs.com</v>
      </c>
      <c r="C1864" s="10" t="s">
        <v>109</v>
      </c>
      <c r="D1864" s="10" t="s">
        <v>231</v>
      </c>
      <c r="E1864" s="10" t="str">
        <f aca="false">INDEX(Canale!$C$2:$C$30,MATCH(C1864,Canale!$A$2:$A$30,0))</f>
        <v>linkedin_company</v>
      </c>
      <c r="F1864" s="10" t="str">
        <f aca="false">INDEX(Canale!$D$2:$D$30,MATCH(C1864,Canale!$A$2:$A$30,0))</f>
        <v>social</v>
      </c>
      <c r="G1864" s="10" t="str">
        <f aca="false">INDEX('Site-uri'!$C$2:$C$20,MATCH(A1864,'Site-uri'!$A$2:$A$20,0))</f>
        <v>/</v>
      </c>
      <c r="H1864" s="10" t="str">
        <f aca="false">Config!$B$3</f>
        <v>2610_ff_lansare</v>
      </c>
      <c r="I1864" s="10" t="str">
        <f aca="false">D1864&amp;"_"&amp;Config!$B$4</f>
        <v>fierbinte_general</v>
      </c>
      <c r="J1864" s="10" t="str">
        <f aca="false">"https://"&amp;B1864&amp;G1864&amp;"?utm_source="&amp;E1864&amp;"&amp;utm_medium="&amp;F1864&amp;"&amp;utm_campaign="&amp;H1864&amp;"&amp;utm_content="&amp;I1864</f>
        <v>https://the3webs.com/?utm_source=linkedin_company&amp;utm_medium=social&amp;utm_campaign=2610_ff_lansare&amp;utm_content=fierbinte_general</v>
      </c>
    </row>
    <row r="1865" customFormat="false" ht="15" hidden="false" customHeight="false" outlineLevel="0" collapsed="false">
      <c r="A1865" s="10" t="s">
        <v>92</v>
      </c>
      <c r="B1865" s="10" t="str">
        <f aca="false">INDEX('Site-uri'!$B$2:$B$20,MATCH(A1865,'Site-uri'!$A$2:$A$20,0))</f>
        <v>the3webs.com</v>
      </c>
      <c r="C1865" s="10" t="s">
        <v>109</v>
      </c>
      <c r="D1865" s="10" t="s">
        <v>237</v>
      </c>
      <c r="E1865" s="10" t="str">
        <f aca="false">INDEX(Canale!$C$2:$C$30,MATCH(C1865,Canale!$A$2:$A$30,0))</f>
        <v>linkedin_company</v>
      </c>
      <c r="F1865" s="10" t="str">
        <f aca="false">INDEX(Canale!$D$2:$D$30,MATCH(C1865,Canale!$A$2:$A$30,0))</f>
        <v>social</v>
      </c>
      <c r="G1865" s="10" t="str">
        <f aca="false">INDEX('Site-uri'!$C$2:$C$20,MATCH(A1865,'Site-uri'!$A$2:$A$20,0))</f>
        <v>/</v>
      </c>
      <c r="H1865" s="10" t="str">
        <f aca="false">Config!$B$3</f>
        <v>2610_ff_lansare</v>
      </c>
      <c r="I1865" s="10" t="str">
        <f aca="false">D1865&amp;"_"&amp;Config!$B$4</f>
        <v>client_general</v>
      </c>
      <c r="J1865" s="10" t="str">
        <f aca="false">"https://"&amp;B1865&amp;G1865&amp;"?utm_source="&amp;E1865&amp;"&amp;utm_medium="&amp;F1865&amp;"&amp;utm_campaign="&amp;H1865&amp;"&amp;utm_content="&amp;I1865</f>
        <v>https://the3webs.com/?utm_source=linkedin_company&amp;utm_medium=social&amp;utm_campaign=2610_ff_lansare&amp;utm_content=client_general</v>
      </c>
    </row>
    <row r="1866" customFormat="false" ht="15" hidden="false" customHeight="false" outlineLevel="0" collapsed="false">
      <c r="A1866" s="10" t="s">
        <v>92</v>
      </c>
      <c r="B1866" s="10" t="str">
        <f aca="false">INDEX('Site-uri'!$B$2:$B$20,MATCH(A1866,'Site-uri'!$A$2:$A$20,0))</f>
        <v>the3webs.com</v>
      </c>
      <c r="C1866" s="10" t="s">
        <v>112</v>
      </c>
      <c r="D1866" s="10" t="s">
        <v>219</v>
      </c>
      <c r="E1866" s="10" t="str">
        <f aca="false">INDEX(Canale!$C$2:$C$30,MATCH(C1866,Canale!$A$2:$A$30,0))</f>
        <v>linkedin_showcase</v>
      </c>
      <c r="F1866" s="10" t="str">
        <f aca="false">INDEX(Canale!$D$2:$D$30,MATCH(C1866,Canale!$A$2:$A$30,0))</f>
        <v>social</v>
      </c>
      <c r="G1866" s="10" t="str">
        <f aca="false">INDEX('Site-uri'!$C$2:$C$20,MATCH(A1866,'Site-uri'!$A$2:$A$20,0))</f>
        <v>/</v>
      </c>
      <c r="H1866" s="10" t="str">
        <f aca="false">Config!$B$3</f>
        <v>2610_ff_lansare</v>
      </c>
      <c r="I1866" s="10" t="str">
        <f aca="false">D1866&amp;"_"&amp;Config!$B$4</f>
        <v>rece_general</v>
      </c>
      <c r="J1866" s="10" t="str">
        <f aca="false">"https://"&amp;B1866&amp;G1866&amp;"?utm_source="&amp;E1866&amp;"&amp;utm_medium="&amp;F1866&amp;"&amp;utm_campaign="&amp;H1866&amp;"&amp;utm_content="&amp;I1866</f>
        <v>https://the3webs.com/?utm_source=linkedin_showcase&amp;utm_medium=social&amp;utm_campaign=2610_ff_lansare&amp;utm_content=rece_general</v>
      </c>
    </row>
    <row r="1867" customFormat="false" ht="15" hidden="false" customHeight="false" outlineLevel="0" collapsed="false">
      <c r="A1867" s="10" t="s">
        <v>92</v>
      </c>
      <c r="B1867" s="10" t="str">
        <f aca="false">INDEX('Site-uri'!$B$2:$B$20,MATCH(A1867,'Site-uri'!$A$2:$A$20,0))</f>
        <v>the3webs.com</v>
      </c>
      <c r="C1867" s="10" t="s">
        <v>112</v>
      </c>
      <c r="D1867" s="10" t="s">
        <v>225</v>
      </c>
      <c r="E1867" s="10" t="str">
        <f aca="false">INDEX(Canale!$C$2:$C$30,MATCH(C1867,Canale!$A$2:$A$30,0))</f>
        <v>linkedin_showcase</v>
      </c>
      <c r="F1867" s="10" t="str">
        <f aca="false">INDEX(Canale!$D$2:$D$30,MATCH(C1867,Canale!$A$2:$A$30,0))</f>
        <v>social</v>
      </c>
      <c r="G1867" s="10" t="str">
        <f aca="false">INDEX('Site-uri'!$C$2:$C$20,MATCH(A1867,'Site-uri'!$A$2:$A$20,0))</f>
        <v>/</v>
      </c>
      <c r="H1867" s="10" t="str">
        <f aca="false">Config!$B$3</f>
        <v>2610_ff_lansare</v>
      </c>
      <c r="I1867" s="10" t="str">
        <f aca="false">D1867&amp;"_"&amp;Config!$B$4</f>
        <v>cald_general</v>
      </c>
      <c r="J1867" s="10" t="str">
        <f aca="false">"https://"&amp;B1867&amp;G1867&amp;"?utm_source="&amp;E1867&amp;"&amp;utm_medium="&amp;F1867&amp;"&amp;utm_campaign="&amp;H1867&amp;"&amp;utm_content="&amp;I1867</f>
        <v>https://the3webs.com/?utm_source=linkedin_showcase&amp;utm_medium=social&amp;utm_campaign=2610_ff_lansare&amp;utm_content=cald_general</v>
      </c>
    </row>
    <row r="1868" customFormat="false" ht="15" hidden="false" customHeight="false" outlineLevel="0" collapsed="false">
      <c r="A1868" s="10" t="s">
        <v>92</v>
      </c>
      <c r="B1868" s="10" t="str">
        <f aca="false">INDEX('Site-uri'!$B$2:$B$20,MATCH(A1868,'Site-uri'!$A$2:$A$20,0))</f>
        <v>the3webs.com</v>
      </c>
      <c r="C1868" s="10" t="s">
        <v>112</v>
      </c>
      <c r="D1868" s="10" t="s">
        <v>231</v>
      </c>
      <c r="E1868" s="10" t="str">
        <f aca="false">INDEX(Canale!$C$2:$C$30,MATCH(C1868,Canale!$A$2:$A$30,0))</f>
        <v>linkedin_showcase</v>
      </c>
      <c r="F1868" s="10" t="str">
        <f aca="false">INDEX(Canale!$D$2:$D$30,MATCH(C1868,Canale!$A$2:$A$30,0))</f>
        <v>social</v>
      </c>
      <c r="G1868" s="10" t="str">
        <f aca="false">INDEX('Site-uri'!$C$2:$C$20,MATCH(A1868,'Site-uri'!$A$2:$A$20,0))</f>
        <v>/</v>
      </c>
      <c r="H1868" s="10" t="str">
        <f aca="false">Config!$B$3</f>
        <v>2610_ff_lansare</v>
      </c>
      <c r="I1868" s="10" t="str">
        <f aca="false">D1868&amp;"_"&amp;Config!$B$4</f>
        <v>fierbinte_general</v>
      </c>
      <c r="J1868" s="10" t="str">
        <f aca="false">"https://"&amp;B1868&amp;G1868&amp;"?utm_source="&amp;E1868&amp;"&amp;utm_medium="&amp;F1868&amp;"&amp;utm_campaign="&amp;H1868&amp;"&amp;utm_content="&amp;I1868</f>
        <v>https://the3webs.com/?utm_source=linkedin_showcase&amp;utm_medium=social&amp;utm_campaign=2610_ff_lansare&amp;utm_content=fierbinte_general</v>
      </c>
    </row>
    <row r="1869" customFormat="false" ht="15" hidden="false" customHeight="false" outlineLevel="0" collapsed="false">
      <c r="A1869" s="10" t="s">
        <v>92</v>
      </c>
      <c r="B1869" s="10" t="str">
        <f aca="false">INDEX('Site-uri'!$B$2:$B$20,MATCH(A1869,'Site-uri'!$A$2:$A$20,0))</f>
        <v>the3webs.com</v>
      </c>
      <c r="C1869" s="10" t="s">
        <v>112</v>
      </c>
      <c r="D1869" s="10" t="s">
        <v>237</v>
      </c>
      <c r="E1869" s="10" t="str">
        <f aca="false">INDEX(Canale!$C$2:$C$30,MATCH(C1869,Canale!$A$2:$A$30,0))</f>
        <v>linkedin_showcase</v>
      </c>
      <c r="F1869" s="10" t="str">
        <f aca="false">INDEX(Canale!$D$2:$D$30,MATCH(C1869,Canale!$A$2:$A$30,0))</f>
        <v>social</v>
      </c>
      <c r="G1869" s="10" t="str">
        <f aca="false">INDEX('Site-uri'!$C$2:$C$20,MATCH(A1869,'Site-uri'!$A$2:$A$20,0))</f>
        <v>/</v>
      </c>
      <c r="H1869" s="10" t="str">
        <f aca="false">Config!$B$3</f>
        <v>2610_ff_lansare</v>
      </c>
      <c r="I1869" s="10" t="str">
        <f aca="false">D1869&amp;"_"&amp;Config!$B$4</f>
        <v>client_general</v>
      </c>
      <c r="J1869" s="10" t="str">
        <f aca="false">"https://"&amp;B1869&amp;G1869&amp;"?utm_source="&amp;E1869&amp;"&amp;utm_medium="&amp;F1869&amp;"&amp;utm_campaign="&amp;H1869&amp;"&amp;utm_content="&amp;I1869</f>
        <v>https://the3webs.com/?utm_source=linkedin_showcase&amp;utm_medium=social&amp;utm_campaign=2610_ff_lansare&amp;utm_content=client_general</v>
      </c>
    </row>
    <row r="1870" customFormat="false" ht="15" hidden="false" customHeight="false" outlineLevel="0" collapsed="false">
      <c r="A1870" s="10" t="s">
        <v>92</v>
      </c>
      <c r="B1870" s="10" t="str">
        <f aca="false">INDEX('Site-uri'!$B$2:$B$20,MATCH(A1870,'Site-uri'!$A$2:$A$20,0))</f>
        <v>the3webs.com</v>
      </c>
      <c r="C1870" s="10" t="s">
        <v>115</v>
      </c>
      <c r="D1870" s="10" t="s">
        <v>219</v>
      </c>
      <c r="E1870" s="10" t="str">
        <f aca="false">INDEX(Canale!$C$2:$C$30,MATCH(C1870,Canale!$A$2:$A$30,0))</f>
        <v>linkedin_newsletter</v>
      </c>
      <c r="F1870" s="10" t="str">
        <f aca="false">INDEX(Canale!$D$2:$D$30,MATCH(C1870,Canale!$A$2:$A$30,0))</f>
        <v>social</v>
      </c>
      <c r="G1870" s="10" t="str">
        <f aca="false">INDEX('Site-uri'!$C$2:$C$20,MATCH(A1870,'Site-uri'!$A$2:$A$20,0))</f>
        <v>/</v>
      </c>
      <c r="H1870" s="10" t="str">
        <f aca="false">Config!$B$3</f>
        <v>2610_ff_lansare</v>
      </c>
      <c r="I1870" s="10" t="str">
        <f aca="false">D1870&amp;"_"&amp;Config!$B$4</f>
        <v>rece_general</v>
      </c>
      <c r="J1870" s="10" t="str">
        <f aca="false">"https://"&amp;B1870&amp;G1870&amp;"?utm_source="&amp;E1870&amp;"&amp;utm_medium="&amp;F1870&amp;"&amp;utm_campaign="&amp;H1870&amp;"&amp;utm_content="&amp;I1870</f>
        <v>https://the3webs.com/?utm_source=linkedin_newsletter&amp;utm_medium=social&amp;utm_campaign=2610_ff_lansare&amp;utm_content=rece_general</v>
      </c>
    </row>
    <row r="1871" customFormat="false" ht="15" hidden="false" customHeight="false" outlineLevel="0" collapsed="false">
      <c r="A1871" s="10" t="s">
        <v>92</v>
      </c>
      <c r="B1871" s="10" t="str">
        <f aca="false">INDEX('Site-uri'!$B$2:$B$20,MATCH(A1871,'Site-uri'!$A$2:$A$20,0))</f>
        <v>the3webs.com</v>
      </c>
      <c r="C1871" s="10" t="s">
        <v>115</v>
      </c>
      <c r="D1871" s="10" t="s">
        <v>225</v>
      </c>
      <c r="E1871" s="10" t="str">
        <f aca="false">INDEX(Canale!$C$2:$C$30,MATCH(C1871,Canale!$A$2:$A$30,0))</f>
        <v>linkedin_newsletter</v>
      </c>
      <c r="F1871" s="10" t="str">
        <f aca="false">INDEX(Canale!$D$2:$D$30,MATCH(C1871,Canale!$A$2:$A$30,0))</f>
        <v>social</v>
      </c>
      <c r="G1871" s="10" t="str">
        <f aca="false">INDEX('Site-uri'!$C$2:$C$20,MATCH(A1871,'Site-uri'!$A$2:$A$20,0))</f>
        <v>/</v>
      </c>
      <c r="H1871" s="10" t="str">
        <f aca="false">Config!$B$3</f>
        <v>2610_ff_lansare</v>
      </c>
      <c r="I1871" s="10" t="str">
        <f aca="false">D1871&amp;"_"&amp;Config!$B$4</f>
        <v>cald_general</v>
      </c>
      <c r="J1871" s="10" t="str">
        <f aca="false">"https://"&amp;B1871&amp;G1871&amp;"?utm_source="&amp;E1871&amp;"&amp;utm_medium="&amp;F1871&amp;"&amp;utm_campaign="&amp;H1871&amp;"&amp;utm_content="&amp;I1871</f>
        <v>https://the3webs.com/?utm_source=linkedin_newsletter&amp;utm_medium=social&amp;utm_campaign=2610_ff_lansare&amp;utm_content=cald_general</v>
      </c>
    </row>
    <row r="1872" customFormat="false" ht="15" hidden="false" customHeight="false" outlineLevel="0" collapsed="false">
      <c r="A1872" s="10" t="s">
        <v>92</v>
      </c>
      <c r="B1872" s="10" t="str">
        <f aca="false">INDEX('Site-uri'!$B$2:$B$20,MATCH(A1872,'Site-uri'!$A$2:$A$20,0))</f>
        <v>the3webs.com</v>
      </c>
      <c r="C1872" s="10" t="s">
        <v>115</v>
      </c>
      <c r="D1872" s="10" t="s">
        <v>231</v>
      </c>
      <c r="E1872" s="10" t="str">
        <f aca="false">INDEX(Canale!$C$2:$C$30,MATCH(C1872,Canale!$A$2:$A$30,0))</f>
        <v>linkedin_newsletter</v>
      </c>
      <c r="F1872" s="10" t="str">
        <f aca="false">INDEX(Canale!$D$2:$D$30,MATCH(C1872,Canale!$A$2:$A$30,0))</f>
        <v>social</v>
      </c>
      <c r="G1872" s="10" t="str">
        <f aca="false">INDEX('Site-uri'!$C$2:$C$20,MATCH(A1872,'Site-uri'!$A$2:$A$20,0))</f>
        <v>/</v>
      </c>
      <c r="H1872" s="10" t="str">
        <f aca="false">Config!$B$3</f>
        <v>2610_ff_lansare</v>
      </c>
      <c r="I1872" s="10" t="str">
        <f aca="false">D1872&amp;"_"&amp;Config!$B$4</f>
        <v>fierbinte_general</v>
      </c>
      <c r="J1872" s="10" t="str">
        <f aca="false">"https://"&amp;B1872&amp;G1872&amp;"?utm_source="&amp;E1872&amp;"&amp;utm_medium="&amp;F1872&amp;"&amp;utm_campaign="&amp;H1872&amp;"&amp;utm_content="&amp;I1872</f>
        <v>https://the3webs.com/?utm_source=linkedin_newsletter&amp;utm_medium=social&amp;utm_campaign=2610_ff_lansare&amp;utm_content=fierbinte_general</v>
      </c>
    </row>
    <row r="1873" customFormat="false" ht="15" hidden="false" customHeight="false" outlineLevel="0" collapsed="false">
      <c r="A1873" s="10" t="s">
        <v>92</v>
      </c>
      <c r="B1873" s="10" t="str">
        <f aca="false">INDEX('Site-uri'!$B$2:$B$20,MATCH(A1873,'Site-uri'!$A$2:$A$20,0))</f>
        <v>the3webs.com</v>
      </c>
      <c r="C1873" s="10" t="s">
        <v>115</v>
      </c>
      <c r="D1873" s="10" t="s">
        <v>237</v>
      </c>
      <c r="E1873" s="10" t="str">
        <f aca="false">INDEX(Canale!$C$2:$C$30,MATCH(C1873,Canale!$A$2:$A$30,0))</f>
        <v>linkedin_newsletter</v>
      </c>
      <c r="F1873" s="10" t="str">
        <f aca="false">INDEX(Canale!$D$2:$D$30,MATCH(C1873,Canale!$A$2:$A$30,0))</f>
        <v>social</v>
      </c>
      <c r="G1873" s="10" t="str">
        <f aca="false">INDEX('Site-uri'!$C$2:$C$20,MATCH(A1873,'Site-uri'!$A$2:$A$20,0))</f>
        <v>/</v>
      </c>
      <c r="H1873" s="10" t="str">
        <f aca="false">Config!$B$3</f>
        <v>2610_ff_lansare</v>
      </c>
      <c r="I1873" s="10" t="str">
        <f aca="false">D1873&amp;"_"&amp;Config!$B$4</f>
        <v>client_general</v>
      </c>
      <c r="J1873" s="10" t="str">
        <f aca="false">"https://"&amp;B1873&amp;G1873&amp;"?utm_source="&amp;E1873&amp;"&amp;utm_medium="&amp;F1873&amp;"&amp;utm_campaign="&amp;H1873&amp;"&amp;utm_content="&amp;I1873</f>
        <v>https://the3webs.com/?utm_source=linkedin_newsletter&amp;utm_medium=social&amp;utm_campaign=2610_ff_lansare&amp;utm_content=client_general</v>
      </c>
    </row>
    <row r="1874" customFormat="false" ht="15" hidden="false" customHeight="false" outlineLevel="0" collapsed="false">
      <c r="A1874" s="10" t="s">
        <v>92</v>
      </c>
      <c r="B1874" s="10" t="str">
        <f aca="false">INDEX('Site-uri'!$B$2:$B$20,MATCH(A1874,'Site-uri'!$A$2:$A$20,0))</f>
        <v>the3webs.com</v>
      </c>
      <c r="C1874" s="10" t="s">
        <v>118</v>
      </c>
      <c r="D1874" s="10" t="s">
        <v>219</v>
      </c>
      <c r="E1874" s="10" t="str">
        <f aca="false">INDEX(Canale!$C$2:$C$30,MATCH(C1874,Canale!$A$2:$A$30,0))</f>
        <v>linkedin_ads</v>
      </c>
      <c r="F1874" s="10" t="str">
        <f aca="false">INDEX(Canale!$D$2:$D$30,MATCH(C1874,Canale!$A$2:$A$30,0))</f>
        <v>paid_social</v>
      </c>
      <c r="G1874" s="10" t="str">
        <f aca="false">INDEX('Site-uri'!$C$2:$C$20,MATCH(A1874,'Site-uri'!$A$2:$A$20,0))</f>
        <v>/</v>
      </c>
      <c r="H1874" s="10" t="str">
        <f aca="false">Config!$B$3</f>
        <v>2610_ff_lansare</v>
      </c>
      <c r="I1874" s="10" t="str">
        <f aca="false">D1874&amp;"_"&amp;Config!$B$4</f>
        <v>rece_general</v>
      </c>
      <c r="J1874" s="10" t="str">
        <f aca="false">"https://"&amp;B1874&amp;G1874&amp;"?utm_source="&amp;E1874&amp;"&amp;utm_medium="&amp;F1874&amp;"&amp;utm_campaign="&amp;H1874&amp;"&amp;utm_content="&amp;I1874</f>
        <v>https://the3webs.com/?utm_source=linkedin_ads&amp;utm_medium=paid_social&amp;utm_campaign=2610_ff_lansare&amp;utm_content=rece_general</v>
      </c>
    </row>
    <row r="1875" customFormat="false" ht="15" hidden="false" customHeight="false" outlineLevel="0" collapsed="false">
      <c r="A1875" s="10" t="s">
        <v>92</v>
      </c>
      <c r="B1875" s="10" t="str">
        <f aca="false">INDEX('Site-uri'!$B$2:$B$20,MATCH(A1875,'Site-uri'!$A$2:$A$20,0))</f>
        <v>the3webs.com</v>
      </c>
      <c r="C1875" s="10" t="s">
        <v>118</v>
      </c>
      <c r="D1875" s="10" t="s">
        <v>225</v>
      </c>
      <c r="E1875" s="10" t="str">
        <f aca="false">INDEX(Canale!$C$2:$C$30,MATCH(C1875,Canale!$A$2:$A$30,0))</f>
        <v>linkedin_ads</v>
      </c>
      <c r="F1875" s="10" t="str">
        <f aca="false">INDEX(Canale!$D$2:$D$30,MATCH(C1875,Canale!$A$2:$A$30,0))</f>
        <v>paid_social</v>
      </c>
      <c r="G1875" s="10" t="str">
        <f aca="false">INDEX('Site-uri'!$C$2:$C$20,MATCH(A1875,'Site-uri'!$A$2:$A$20,0))</f>
        <v>/</v>
      </c>
      <c r="H1875" s="10" t="str">
        <f aca="false">Config!$B$3</f>
        <v>2610_ff_lansare</v>
      </c>
      <c r="I1875" s="10" t="str">
        <f aca="false">D1875&amp;"_"&amp;Config!$B$4</f>
        <v>cald_general</v>
      </c>
      <c r="J1875" s="10" t="str">
        <f aca="false">"https://"&amp;B1875&amp;G1875&amp;"?utm_source="&amp;E1875&amp;"&amp;utm_medium="&amp;F1875&amp;"&amp;utm_campaign="&amp;H1875&amp;"&amp;utm_content="&amp;I1875</f>
        <v>https://the3webs.com/?utm_source=linkedin_ads&amp;utm_medium=paid_social&amp;utm_campaign=2610_ff_lansare&amp;utm_content=cald_general</v>
      </c>
    </row>
    <row r="1876" customFormat="false" ht="15" hidden="false" customHeight="false" outlineLevel="0" collapsed="false">
      <c r="A1876" s="10" t="s">
        <v>92</v>
      </c>
      <c r="B1876" s="10" t="str">
        <f aca="false">INDEX('Site-uri'!$B$2:$B$20,MATCH(A1876,'Site-uri'!$A$2:$A$20,0))</f>
        <v>the3webs.com</v>
      </c>
      <c r="C1876" s="10" t="s">
        <v>118</v>
      </c>
      <c r="D1876" s="10" t="s">
        <v>231</v>
      </c>
      <c r="E1876" s="10" t="str">
        <f aca="false">INDEX(Canale!$C$2:$C$30,MATCH(C1876,Canale!$A$2:$A$30,0))</f>
        <v>linkedin_ads</v>
      </c>
      <c r="F1876" s="10" t="str">
        <f aca="false">INDEX(Canale!$D$2:$D$30,MATCH(C1876,Canale!$A$2:$A$30,0))</f>
        <v>paid_social</v>
      </c>
      <c r="G1876" s="10" t="str">
        <f aca="false">INDEX('Site-uri'!$C$2:$C$20,MATCH(A1876,'Site-uri'!$A$2:$A$20,0))</f>
        <v>/</v>
      </c>
      <c r="H1876" s="10" t="str">
        <f aca="false">Config!$B$3</f>
        <v>2610_ff_lansare</v>
      </c>
      <c r="I1876" s="10" t="str">
        <f aca="false">D1876&amp;"_"&amp;Config!$B$4</f>
        <v>fierbinte_general</v>
      </c>
      <c r="J1876" s="10" t="str">
        <f aca="false">"https://"&amp;B1876&amp;G1876&amp;"?utm_source="&amp;E1876&amp;"&amp;utm_medium="&amp;F1876&amp;"&amp;utm_campaign="&amp;H1876&amp;"&amp;utm_content="&amp;I1876</f>
        <v>https://the3webs.com/?utm_source=linkedin_ads&amp;utm_medium=paid_social&amp;utm_campaign=2610_ff_lansare&amp;utm_content=fierbinte_general</v>
      </c>
    </row>
    <row r="1877" customFormat="false" ht="15" hidden="false" customHeight="false" outlineLevel="0" collapsed="false">
      <c r="A1877" s="10" t="s">
        <v>92</v>
      </c>
      <c r="B1877" s="10" t="str">
        <f aca="false">INDEX('Site-uri'!$B$2:$B$20,MATCH(A1877,'Site-uri'!$A$2:$A$20,0))</f>
        <v>the3webs.com</v>
      </c>
      <c r="C1877" s="10" t="s">
        <v>118</v>
      </c>
      <c r="D1877" s="10" t="s">
        <v>237</v>
      </c>
      <c r="E1877" s="10" t="str">
        <f aca="false">INDEX(Canale!$C$2:$C$30,MATCH(C1877,Canale!$A$2:$A$30,0))</f>
        <v>linkedin_ads</v>
      </c>
      <c r="F1877" s="10" t="str">
        <f aca="false">INDEX(Canale!$D$2:$D$30,MATCH(C1877,Canale!$A$2:$A$30,0))</f>
        <v>paid_social</v>
      </c>
      <c r="G1877" s="10" t="str">
        <f aca="false">INDEX('Site-uri'!$C$2:$C$20,MATCH(A1877,'Site-uri'!$A$2:$A$20,0))</f>
        <v>/</v>
      </c>
      <c r="H1877" s="10" t="str">
        <f aca="false">Config!$B$3</f>
        <v>2610_ff_lansare</v>
      </c>
      <c r="I1877" s="10" t="str">
        <f aca="false">D1877&amp;"_"&amp;Config!$B$4</f>
        <v>client_general</v>
      </c>
      <c r="J1877" s="10" t="str">
        <f aca="false">"https://"&amp;B1877&amp;G1877&amp;"?utm_source="&amp;E1877&amp;"&amp;utm_medium="&amp;F1877&amp;"&amp;utm_campaign="&amp;H1877&amp;"&amp;utm_content="&amp;I1877</f>
        <v>https://the3webs.com/?utm_source=linkedin_ads&amp;utm_medium=paid_social&amp;utm_campaign=2610_ff_lansare&amp;utm_content=client_general</v>
      </c>
    </row>
    <row r="1878" customFormat="false" ht="15" hidden="false" customHeight="false" outlineLevel="0" collapsed="false">
      <c r="A1878" s="10" t="s">
        <v>92</v>
      </c>
      <c r="B1878" s="10" t="str">
        <f aca="false">INDEX('Site-uri'!$B$2:$B$20,MATCH(A1878,'Site-uri'!$A$2:$A$20,0))</f>
        <v>the3webs.com</v>
      </c>
      <c r="C1878" s="10" t="s">
        <v>122</v>
      </c>
      <c r="D1878" s="10" t="s">
        <v>219</v>
      </c>
      <c r="E1878" s="10" t="str">
        <f aca="false">INDEX(Canale!$C$2:$C$30,MATCH(C1878,Canale!$A$2:$A$30,0))</f>
        <v>linkedin_dm</v>
      </c>
      <c r="F1878" s="10" t="str">
        <f aca="false">INDEX(Canale!$D$2:$D$30,MATCH(C1878,Canale!$A$2:$A$30,0))</f>
        <v>dm</v>
      </c>
      <c r="G1878" s="10" t="str">
        <f aca="false">INDEX('Site-uri'!$C$2:$C$20,MATCH(A1878,'Site-uri'!$A$2:$A$20,0))</f>
        <v>/</v>
      </c>
      <c r="H1878" s="10" t="str">
        <f aca="false">Config!$B$3</f>
        <v>2610_ff_lansare</v>
      </c>
      <c r="I1878" s="10" t="str">
        <f aca="false">D1878&amp;"_"&amp;Config!$B$4</f>
        <v>rece_general</v>
      </c>
      <c r="J1878" s="10" t="str">
        <f aca="false">"https://"&amp;B1878&amp;G1878&amp;"?utm_source="&amp;E1878&amp;"&amp;utm_medium="&amp;F1878&amp;"&amp;utm_campaign="&amp;H1878&amp;"&amp;utm_content="&amp;I1878</f>
        <v>https://the3webs.com/?utm_source=linkedin_dm&amp;utm_medium=dm&amp;utm_campaign=2610_ff_lansare&amp;utm_content=rece_general</v>
      </c>
    </row>
    <row r="1879" customFormat="false" ht="15" hidden="false" customHeight="false" outlineLevel="0" collapsed="false">
      <c r="A1879" s="10" t="s">
        <v>92</v>
      </c>
      <c r="B1879" s="10" t="str">
        <f aca="false">INDEX('Site-uri'!$B$2:$B$20,MATCH(A1879,'Site-uri'!$A$2:$A$20,0))</f>
        <v>the3webs.com</v>
      </c>
      <c r="C1879" s="10" t="s">
        <v>122</v>
      </c>
      <c r="D1879" s="10" t="s">
        <v>225</v>
      </c>
      <c r="E1879" s="10" t="str">
        <f aca="false">INDEX(Canale!$C$2:$C$30,MATCH(C1879,Canale!$A$2:$A$30,0))</f>
        <v>linkedin_dm</v>
      </c>
      <c r="F1879" s="10" t="str">
        <f aca="false">INDEX(Canale!$D$2:$D$30,MATCH(C1879,Canale!$A$2:$A$30,0))</f>
        <v>dm</v>
      </c>
      <c r="G1879" s="10" t="str">
        <f aca="false">INDEX('Site-uri'!$C$2:$C$20,MATCH(A1879,'Site-uri'!$A$2:$A$20,0))</f>
        <v>/</v>
      </c>
      <c r="H1879" s="10" t="str">
        <f aca="false">Config!$B$3</f>
        <v>2610_ff_lansare</v>
      </c>
      <c r="I1879" s="10" t="str">
        <f aca="false">D1879&amp;"_"&amp;Config!$B$4</f>
        <v>cald_general</v>
      </c>
      <c r="J1879" s="10" t="str">
        <f aca="false">"https://"&amp;B1879&amp;G1879&amp;"?utm_source="&amp;E1879&amp;"&amp;utm_medium="&amp;F1879&amp;"&amp;utm_campaign="&amp;H1879&amp;"&amp;utm_content="&amp;I1879</f>
        <v>https://the3webs.com/?utm_source=linkedin_dm&amp;utm_medium=dm&amp;utm_campaign=2610_ff_lansare&amp;utm_content=cald_general</v>
      </c>
    </row>
    <row r="1880" customFormat="false" ht="15" hidden="false" customHeight="false" outlineLevel="0" collapsed="false">
      <c r="A1880" s="10" t="s">
        <v>92</v>
      </c>
      <c r="B1880" s="10" t="str">
        <f aca="false">INDEX('Site-uri'!$B$2:$B$20,MATCH(A1880,'Site-uri'!$A$2:$A$20,0))</f>
        <v>the3webs.com</v>
      </c>
      <c r="C1880" s="10" t="s">
        <v>122</v>
      </c>
      <c r="D1880" s="10" t="s">
        <v>231</v>
      </c>
      <c r="E1880" s="10" t="str">
        <f aca="false">INDEX(Canale!$C$2:$C$30,MATCH(C1880,Canale!$A$2:$A$30,0))</f>
        <v>linkedin_dm</v>
      </c>
      <c r="F1880" s="10" t="str">
        <f aca="false">INDEX(Canale!$D$2:$D$30,MATCH(C1880,Canale!$A$2:$A$30,0))</f>
        <v>dm</v>
      </c>
      <c r="G1880" s="10" t="str">
        <f aca="false">INDEX('Site-uri'!$C$2:$C$20,MATCH(A1880,'Site-uri'!$A$2:$A$20,0))</f>
        <v>/</v>
      </c>
      <c r="H1880" s="10" t="str">
        <f aca="false">Config!$B$3</f>
        <v>2610_ff_lansare</v>
      </c>
      <c r="I1880" s="10" t="str">
        <f aca="false">D1880&amp;"_"&amp;Config!$B$4</f>
        <v>fierbinte_general</v>
      </c>
      <c r="J1880" s="10" t="str">
        <f aca="false">"https://"&amp;B1880&amp;G1880&amp;"?utm_source="&amp;E1880&amp;"&amp;utm_medium="&amp;F1880&amp;"&amp;utm_campaign="&amp;H1880&amp;"&amp;utm_content="&amp;I1880</f>
        <v>https://the3webs.com/?utm_source=linkedin_dm&amp;utm_medium=dm&amp;utm_campaign=2610_ff_lansare&amp;utm_content=fierbinte_general</v>
      </c>
    </row>
    <row r="1881" customFormat="false" ht="15" hidden="false" customHeight="false" outlineLevel="0" collapsed="false">
      <c r="A1881" s="10" t="s">
        <v>92</v>
      </c>
      <c r="B1881" s="10" t="str">
        <f aca="false">INDEX('Site-uri'!$B$2:$B$20,MATCH(A1881,'Site-uri'!$A$2:$A$20,0))</f>
        <v>the3webs.com</v>
      </c>
      <c r="C1881" s="10" t="s">
        <v>122</v>
      </c>
      <c r="D1881" s="10" t="s">
        <v>237</v>
      </c>
      <c r="E1881" s="10" t="str">
        <f aca="false">INDEX(Canale!$C$2:$C$30,MATCH(C1881,Canale!$A$2:$A$30,0))</f>
        <v>linkedin_dm</v>
      </c>
      <c r="F1881" s="10" t="str">
        <f aca="false">INDEX(Canale!$D$2:$D$30,MATCH(C1881,Canale!$A$2:$A$30,0))</f>
        <v>dm</v>
      </c>
      <c r="G1881" s="10" t="str">
        <f aca="false">INDEX('Site-uri'!$C$2:$C$20,MATCH(A1881,'Site-uri'!$A$2:$A$20,0))</f>
        <v>/</v>
      </c>
      <c r="H1881" s="10" t="str">
        <f aca="false">Config!$B$3</f>
        <v>2610_ff_lansare</v>
      </c>
      <c r="I1881" s="10" t="str">
        <f aca="false">D1881&amp;"_"&amp;Config!$B$4</f>
        <v>client_general</v>
      </c>
      <c r="J1881" s="10" t="str">
        <f aca="false">"https://"&amp;B1881&amp;G1881&amp;"?utm_source="&amp;E1881&amp;"&amp;utm_medium="&amp;F1881&amp;"&amp;utm_campaign="&amp;H1881&amp;"&amp;utm_content="&amp;I1881</f>
        <v>https://the3webs.com/?utm_source=linkedin_dm&amp;utm_medium=dm&amp;utm_campaign=2610_ff_lansare&amp;utm_content=client_general</v>
      </c>
    </row>
    <row r="1882" customFormat="false" ht="15" hidden="false" customHeight="false" outlineLevel="0" collapsed="false">
      <c r="A1882" s="10" t="s">
        <v>92</v>
      </c>
      <c r="B1882" s="10" t="str">
        <f aca="false">INDEX('Site-uri'!$B$2:$B$20,MATCH(A1882,'Site-uri'!$A$2:$A$20,0))</f>
        <v>the3webs.com</v>
      </c>
      <c r="C1882" s="10" t="s">
        <v>126</v>
      </c>
      <c r="D1882" s="10" t="s">
        <v>219</v>
      </c>
      <c r="E1882" s="10" t="str">
        <f aca="false">INDEX(Canale!$C$2:$C$30,MATCH(C1882,Canale!$A$2:$A$30,0))</f>
        <v>email_outreach</v>
      </c>
      <c r="F1882" s="10" t="str">
        <f aca="false">INDEX(Canale!$D$2:$D$30,MATCH(C1882,Canale!$A$2:$A$30,0))</f>
        <v>email</v>
      </c>
      <c r="G1882" s="10" t="str">
        <f aca="false">INDEX('Site-uri'!$C$2:$C$20,MATCH(A1882,'Site-uri'!$A$2:$A$20,0))</f>
        <v>/</v>
      </c>
      <c r="H1882" s="10" t="str">
        <f aca="false">Config!$B$3</f>
        <v>2610_ff_lansare</v>
      </c>
      <c r="I1882" s="10" t="str">
        <f aca="false">D1882&amp;"_"&amp;Config!$B$4</f>
        <v>rece_general</v>
      </c>
      <c r="J1882" s="10" t="str">
        <f aca="false">"https://"&amp;B1882&amp;G1882&amp;"?utm_source="&amp;E1882&amp;"&amp;utm_medium="&amp;F1882&amp;"&amp;utm_campaign="&amp;H1882&amp;"&amp;utm_content="&amp;I1882</f>
        <v>https://the3webs.com/?utm_source=email_outreach&amp;utm_medium=email&amp;utm_campaign=2610_ff_lansare&amp;utm_content=rece_general</v>
      </c>
    </row>
    <row r="1883" customFormat="false" ht="15" hidden="false" customHeight="false" outlineLevel="0" collapsed="false">
      <c r="A1883" s="10" t="s">
        <v>92</v>
      </c>
      <c r="B1883" s="10" t="str">
        <f aca="false">INDEX('Site-uri'!$B$2:$B$20,MATCH(A1883,'Site-uri'!$A$2:$A$20,0))</f>
        <v>the3webs.com</v>
      </c>
      <c r="C1883" s="10" t="s">
        <v>126</v>
      </c>
      <c r="D1883" s="10" t="s">
        <v>225</v>
      </c>
      <c r="E1883" s="10" t="str">
        <f aca="false">INDEX(Canale!$C$2:$C$30,MATCH(C1883,Canale!$A$2:$A$30,0))</f>
        <v>email_outreach</v>
      </c>
      <c r="F1883" s="10" t="str">
        <f aca="false">INDEX(Canale!$D$2:$D$30,MATCH(C1883,Canale!$A$2:$A$30,0))</f>
        <v>email</v>
      </c>
      <c r="G1883" s="10" t="str">
        <f aca="false">INDEX('Site-uri'!$C$2:$C$20,MATCH(A1883,'Site-uri'!$A$2:$A$20,0))</f>
        <v>/</v>
      </c>
      <c r="H1883" s="10" t="str">
        <f aca="false">Config!$B$3</f>
        <v>2610_ff_lansare</v>
      </c>
      <c r="I1883" s="10" t="str">
        <f aca="false">D1883&amp;"_"&amp;Config!$B$4</f>
        <v>cald_general</v>
      </c>
      <c r="J1883" s="10" t="str">
        <f aca="false">"https://"&amp;B1883&amp;G1883&amp;"?utm_source="&amp;E1883&amp;"&amp;utm_medium="&amp;F1883&amp;"&amp;utm_campaign="&amp;H1883&amp;"&amp;utm_content="&amp;I1883</f>
        <v>https://the3webs.com/?utm_source=email_outreach&amp;utm_medium=email&amp;utm_campaign=2610_ff_lansare&amp;utm_content=cald_general</v>
      </c>
    </row>
    <row r="1884" customFormat="false" ht="15" hidden="false" customHeight="false" outlineLevel="0" collapsed="false">
      <c r="A1884" s="10" t="s">
        <v>92</v>
      </c>
      <c r="B1884" s="10" t="str">
        <f aca="false">INDEX('Site-uri'!$B$2:$B$20,MATCH(A1884,'Site-uri'!$A$2:$A$20,0))</f>
        <v>the3webs.com</v>
      </c>
      <c r="C1884" s="10" t="s">
        <v>126</v>
      </c>
      <c r="D1884" s="10" t="s">
        <v>231</v>
      </c>
      <c r="E1884" s="10" t="str">
        <f aca="false">INDEX(Canale!$C$2:$C$30,MATCH(C1884,Canale!$A$2:$A$30,0))</f>
        <v>email_outreach</v>
      </c>
      <c r="F1884" s="10" t="str">
        <f aca="false">INDEX(Canale!$D$2:$D$30,MATCH(C1884,Canale!$A$2:$A$30,0))</f>
        <v>email</v>
      </c>
      <c r="G1884" s="10" t="str">
        <f aca="false">INDEX('Site-uri'!$C$2:$C$20,MATCH(A1884,'Site-uri'!$A$2:$A$20,0))</f>
        <v>/</v>
      </c>
      <c r="H1884" s="10" t="str">
        <f aca="false">Config!$B$3</f>
        <v>2610_ff_lansare</v>
      </c>
      <c r="I1884" s="10" t="str">
        <f aca="false">D1884&amp;"_"&amp;Config!$B$4</f>
        <v>fierbinte_general</v>
      </c>
      <c r="J1884" s="10" t="str">
        <f aca="false">"https://"&amp;B1884&amp;G1884&amp;"?utm_source="&amp;E1884&amp;"&amp;utm_medium="&amp;F1884&amp;"&amp;utm_campaign="&amp;H1884&amp;"&amp;utm_content="&amp;I1884</f>
        <v>https://the3webs.com/?utm_source=email_outreach&amp;utm_medium=email&amp;utm_campaign=2610_ff_lansare&amp;utm_content=fierbinte_general</v>
      </c>
    </row>
    <row r="1885" customFormat="false" ht="15" hidden="false" customHeight="false" outlineLevel="0" collapsed="false">
      <c r="A1885" s="10" t="s">
        <v>92</v>
      </c>
      <c r="B1885" s="10" t="str">
        <f aca="false">INDEX('Site-uri'!$B$2:$B$20,MATCH(A1885,'Site-uri'!$A$2:$A$20,0))</f>
        <v>the3webs.com</v>
      </c>
      <c r="C1885" s="10" t="s">
        <v>126</v>
      </c>
      <c r="D1885" s="10" t="s">
        <v>237</v>
      </c>
      <c r="E1885" s="10" t="str">
        <f aca="false">INDEX(Canale!$C$2:$C$30,MATCH(C1885,Canale!$A$2:$A$30,0))</f>
        <v>email_outreach</v>
      </c>
      <c r="F1885" s="10" t="str">
        <f aca="false">INDEX(Canale!$D$2:$D$30,MATCH(C1885,Canale!$A$2:$A$30,0))</f>
        <v>email</v>
      </c>
      <c r="G1885" s="10" t="str">
        <f aca="false">INDEX('Site-uri'!$C$2:$C$20,MATCH(A1885,'Site-uri'!$A$2:$A$20,0))</f>
        <v>/</v>
      </c>
      <c r="H1885" s="10" t="str">
        <f aca="false">Config!$B$3</f>
        <v>2610_ff_lansare</v>
      </c>
      <c r="I1885" s="10" t="str">
        <f aca="false">D1885&amp;"_"&amp;Config!$B$4</f>
        <v>client_general</v>
      </c>
      <c r="J1885" s="10" t="str">
        <f aca="false">"https://"&amp;B1885&amp;G1885&amp;"?utm_source="&amp;E1885&amp;"&amp;utm_medium="&amp;F1885&amp;"&amp;utm_campaign="&amp;H1885&amp;"&amp;utm_content="&amp;I1885</f>
        <v>https://the3webs.com/?utm_source=email_outreach&amp;utm_medium=email&amp;utm_campaign=2610_ff_lansare&amp;utm_content=client_general</v>
      </c>
    </row>
    <row r="1886" customFormat="false" ht="15" hidden="false" customHeight="false" outlineLevel="0" collapsed="false">
      <c r="A1886" s="10" t="s">
        <v>92</v>
      </c>
      <c r="B1886" s="10" t="str">
        <f aca="false">INDEX('Site-uri'!$B$2:$B$20,MATCH(A1886,'Site-uri'!$A$2:$A$20,0))</f>
        <v>the3webs.com</v>
      </c>
      <c r="C1886" s="10" t="s">
        <v>131</v>
      </c>
      <c r="D1886" s="10" t="s">
        <v>219</v>
      </c>
      <c r="E1886" s="10" t="str">
        <f aca="false">INDEX(Canale!$C$2:$C$30,MATCH(C1886,Canale!$A$2:$A$30,0))</f>
        <v>newsletter</v>
      </c>
      <c r="F1886" s="10" t="str">
        <f aca="false">INDEX(Canale!$D$2:$D$30,MATCH(C1886,Canale!$A$2:$A$30,0))</f>
        <v>email</v>
      </c>
      <c r="G1886" s="10" t="str">
        <f aca="false">INDEX('Site-uri'!$C$2:$C$20,MATCH(A1886,'Site-uri'!$A$2:$A$20,0))</f>
        <v>/</v>
      </c>
      <c r="H1886" s="10" t="str">
        <f aca="false">Config!$B$3</f>
        <v>2610_ff_lansare</v>
      </c>
      <c r="I1886" s="10" t="str">
        <f aca="false">D1886&amp;"_"&amp;Config!$B$4</f>
        <v>rece_general</v>
      </c>
      <c r="J1886" s="10" t="str">
        <f aca="false">"https://"&amp;B1886&amp;G1886&amp;"?utm_source="&amp;E1886&amp;"&amp;utm_medium="&amp;F1886&amp;"&amp;utm_campaign="&amp;H1886&amp;"&amp;utm_content="&amp;I1886</f>
        <v>https://the3webs.com/?utm_source=newsletter&amp;utm_medium=email&amp;utm_campaign=2610_ff_lansare&amp;utm_content=rece_general</v>
      </c>
    </row>
    <row r="1887" customFormat="false" ht="15" hidden="false" customHeight="false" outlineLevel="0" collapsed="false">
      <c r="A1887" s="10" t="s">
        <v>92</v>
      </c>
      <c r="B1887" s="10" t="str">
        <f aca="false">INDEX('Site-uri'!$B$2:$B$20,MATCH(A1887,'Site-uri'!$A$2:$A$20,0))</f>
        <v>the3webs.com</v>
      </c>
      <c r="C1887" s="10" t="s">
        <v>131</v>
      </c>
      <c r="D1887" s="10" t="s">
        <v>225</v>
      </c>
      <c r="E1887" s="10" t="str">
        <f aca="false">INDEX(Canale!$C$2:$C$30,MATCH(C1887,Canale!$A$2:$A$30,0))</f>
        <v>newsletter</v>
      </c>
      <c r="F1887" s="10" t="str">
        <f aca="false">INDEX(Canale!$D$2:$D$30,MATCH(C1887,Canale!$A$2:$A$30,0))</f>
        <v>email</v>
      </c>
      <c r="G1887" s="10" t="str">
        <f aca="false">INDEX('Site-uri'!$C$2:$C$20,MATCH(A1887,'Site-uri'!$A$2:$A$20,0))</f>
        <v>/</v>
      </c>
      <c r="H1887" s="10" t="str">
        <f aca="false">Config!$B$3</f>
        <v>2610_ff_lansare</v>
      </c>
      <c r="I1887" s="10" t="str">
        <f aca="false">D1887&amp;"_"&amp;Config!$B$4</f>
        <v>cald_general</v>
      </c>
      <c r="J1887" s="10" t="str">
        <f aca="false">"https://"&amp;B1887&amp;G1887&amp;"?utm_source="&amp;E1887&amp;"&amp;utm_medium="&amp;F1887&amp;"&amp;utm_campaign="&amp;H1887&amp;"&amp;utm_content="&amp;I1887</f>
        <v>https://the3webs.com/?utm_source=newsletter&amp;utm_medium=email&amp;utm_campaign=2610_ff_lansare&amp;utm_content=cald_general</v>
      </c>
    </row>
    <row r="1888" customFormat="false" ht="15" hidden="false" customHeight="false" outlineLevel="0" collapsed="false">
      <c r="A1888" s="10" t="s">
        <v>92</v>
      </c>
      <c r="B1888" s="10" t="str">
        <f aca="false">INDEX('Site-uri'!$B$2:$B$20,MATCH(A1888,'Site-uri'!$A$2:$A$20,0))</f>
        <v>the3webs.com</v>
      </c>
      <c r="C1888" s="10" t="s">
        <v>131</v>
      </c>
      <c r="D1888" s="10" t="s">
        <v>231</v>
      </c>
      <c r="E1888" s="10" t="str">
        <f aca="false">INDEX(Canale!$C$2:$C$30,MATCH(C1888,Canale!$A$2:$A$30,0))</f>
        <v>newsletter</v>
      </c>
      <c r="F1888" s="10" t="str">
        <f aca="false">INDEX(Canale!$D$2:$D$30,MATCH(C1888,Canale!$A$2:$A$30,0))</f>
        <v>email</v>
      </c>
      <c r="G1888" s="10" t="str">
        <f aca="false">INDEX('Site-uri'!$C$2:$C$20,MATCH(A1888,'Site-uri'!$A$2:$A$20,0))</f>
        <v>/</v>
      </c>
      <c r="H1888" s="10" t="str">
        <f aca="false">Config!$B$3</f>
        <v>2610_ff_lansare</v>
      </c>
      <c r="I1888" s="10" t="str">
        <f aca="false">D1888&amp;"_"&amp;Config!$B$4</f>
        <v>fierbinte_general</v>
      </c>
      <c r="J1888" s="10" t="str">
        <f aca="false">"https://"&amp;B1888&amp;G1888&amp;"?utm_source="&amp;E1888&amp;"&amp;utm_medium="&amp;F1888&amp;"&amp;utm_campaign="&amp;H1888&amp;"&amp;utm_content="&amp;I1888</f>
        <v>https://the3webs.com/?utm_source=newsletter&amp;utm_medium=email&amp;utm_campaign=2610_ff_lansare&amp;utm_content=fierbinte_general</v>
      </c>
    </row>
    <row r="1889" customFormat="false" ht="15" hidden="false" customHeight="false" outlineLevel="0" collapsed="false">
      <c r="A1889" s="10" t="s">
        <v>92</v>
      </c>
      <c r="B1889" s="10" t="str">
        <f aca="false">INDEX('Site-uri'!$B$2:$B$20,MATCH(A1889,'Site-uri'!$A$2:$A$20,0))</f>
        <v>the3webs.com</v>
      </c>
      <c r="C1889" s="10" t="s">
        <v>131</v>
      </c>
      <c r="D1889" s="10" t="s">
        <v>237</v>
      </c>
      <c r="E1889" s="10" t="str">
        <f aca="false">INDEX(Canale!$C$2:$C$30,MATCH(C1889,Canale!$A$2:$A$30,0))</f>
        <v>newsletter</v>
      </c>
      <c r="F1889" s="10" t="str">
        <f aca="false">INDEX(Canale!$D$2:$D$30,MATCH(C1889,Canale!$A$2:$A$30,0))</f>
        <v>email</v>
      </c>
      <c r="G1889" s="10" t="str">
        <f aca="false">INDEX('Site-uri'!$C$2:$C$20,MATCH(A1889,'Site-uri'!$A$2:$A$20,0))</f>
        <v>/</v>
      </c>
      <c r="H1889" s="10" t="str">
        <f aca="false">Config!$B$3</f>
        <v>2610_ff_lansare</v>
      </c>
      <c r="I1889" s="10" t="str">
        <f aca="false">D1889&amp;"_"&amp;Config!$B$4</f>
        <v>client_general</v>
      </c>
      <c r="J1889" s="10" t="str">
        <f aca="false">"https://"&amp;B1889&amp;G1889&amp;"?utm_source="&amp;E1889&amp;"&amp;utm_medium="&amp;F1889&amp;"&amp;utm_campaign="&amp;H1889&amp;"&amp;utm_content="&amp;I1889</f>
        <v>https://the3webs.com/?utm_source=newsletter&amp;utm_medium=email&amp;utm_campaign=2610_ff_lansare&amp;utm_content=client_general</v>
      </c>
    </row>
    <row r="1890" customFormat="false" ht="15" hidden="false" customHeight="false" outlineLevel="0" collapsed="false">
      <c r="A1890" s="10" t="s">
        <v>92</v>
      </c>
      <c r="B1890" s="10" t="str">
        <f aca="false">INDEX('Site-uri'!$B$2:$B$20,MATCH(A1890,'Site-uri'!$A$2:$A$20,0))</f>
        <v>the3webs.com</v>
      </c>
      <c r="C1890" s="10" t="s">
        <v>134</v>
      </c>
      <c r="D1890" s="10" t="s">
        <v>219</v>
      </c>
      <c r="E1890" s="10" t="str">
        <f aca="false">INDEX(Canale!$C$2:$C$30,MATCH(C1890,Canale!$A$2:$A$30,0))</f>
        <v>email_signature</v>
      </c>
      <c r="F1890" s="10" t="str">
        <f aca="false">INDEX(Canale!$D$2:$D$30,MATCH(C1890,Canale!$A$2:$A$30,0))</f>
        <v>email</v>
      </c>
      <c r="G1890" s="10" t="str">
        <f aca="false">INDEX('Site-uri'!$C$2:$C$20,MATCH(A1890,'Site-uri'!$A$2:$A$20,0))</f>
        <v>/</v>
      </c>
      <c r="H1890" s="10" t="str">
        <f aca="false">Config!$B$3</f>
        <v>2610_ff_lansare</v>
      </c>
      <c r="I1890" s="10" t="str">
        <f aca="false">D1890&amp;"_"&amp;Config!$B$4</f>
        <v>rece_general</v>
      </c>
      <c r="J1890" s="10" t="str">
        <f aca="false">"https://"&amp;B1890&amp;G1890&amp;"?utm_source="&amp;E1890&amp;"&amp;utm_medium="&amp;F1890&amp;"&amp;utm_campaign="&amp;H1890&amp;"&amp;utm_content="&amp;I1890</f>
        <v>https://the3webs.com/?utm_source=email_signature&amp;utm_medium=email&amp;utm_campaign=2610_ff_lansare&amp;utm_content=rece_general</v>
      </c>
    </row>
    <row r="1891" customFormat="false" ht="15" hidden="false" customHeight="false" outlineLevel="0" collapsed="false">
      <c r="A1891" s="10" t="s">
        <v>92</v>
      </c>
      <c r="B1891" s="10" t="str">
        <f aca="false">INDEX('Site-uri'!$B$2:$B$20,MATCH(A1891,'Site-uri'!$A$2:$A$20,0))</f>
        <v>the3webs.com</v>
      </c>
      <c r="C1891" s="10" t="s">
        <v>134</v>
      </c>
      <c r="D1891" s="10" t="s">
        <v>225</v>
      </c>
      <c r="E1891" s="10" t="str">
        <f aca="false">INDEX(Canale!$C$2:$C$30,MATCH(C1891,Canale!$A$2:$A$30,0))</f>
        <v>email_signature</v>
      </c>
      <c r="F1891" s="10" t="str">
        <f aca="false">INDEX(Canale!$D$2:$D$30,MATCH(C1891,Canale!$A$2:$A$30,0))</f>
        <v>email</v>
      </c>
      <c r="G1891" s="10" t="str">
        <f aca="false">INDEX('Site-uri'!$C$2:$C$20,MATCH(A1891,'Site-uri'!$A$2:$A$20,0))</f>
        <v>/</v>
      </c>
      <c r="H1891" s="10" t="str">
        <f aca="false">Config!$B$3</f>
        <v>2610_ff_lansare</v>
      </c>
      <c r="I1891" s="10" t="str">
        <f aca="false">D1891&amp;"_"&amp;Config!$B$4</f>
        <v>cald_general</v>
      </c>
      <c r="J1891" s="10" t="str">
        <f aca="false">"https://"&amp;B1891&amp;G1891&amp;"?utm_source="&amp;E1891&amp;"&amp;utm_medium="&amp;F1891&amp;"&amp;utm_campaign="&amp;H1891&amp;"&amp;utm_content="&amp;I1891</f>
        <v>https://the3webs.com/?utm_source=email_signature&amp;utm_medium=email&amp;utm_campaign=2610_ff_lansare&amp;utm_content=cald_general</v>
      </c>
    </row>
    <row r="1892" customFormat="false" ht="15" hidden="false" customHeight="false" outlineLevel="0" collapsed="false">
      <c r="A1892" s="10" t="s">
        <v>92</v>
      </c>
      <c r="B1892" s="10" t="str">
        <f aca="false">INDEX('Site-uri'!$B$2:$B$20,MATCH(A1892,'Site-uri'!$A$2:$A$20,0))</f>
        <v>the3webs.com</v>
      </c>
      <c r="C1892" s="10" t="s">
        <v>134</v>
      </c>
      <c r="D1892" s="10" t="s">
        <v>231</v>
      </c>
      <c r="E1892" s="10" t="str">
        <f aca="false">INDEX(Canale!$C$2:$C$30,MATCH(C1892,Canale!$A$2:$A$30,0))</f>
        <v>email_signature</v>
      </c>
      <c r="F1892" s="10" t="str">
        <f aca="false">INDEX(Canale!$D$2:$D$30,MATCH(C1892,Canale!$A$2:$A$30,0))</f>
        <v>email</v>
      </c>
      <c r="G1892" s="10" t="str">
        <f aca="false">INDEX('Site-uri'!$C$2:$C$20,MATCH(A1892,'Site-uri'!$A$2:$A$20,0))</f>
        <v>/</v>
      </c>
      <c r="H1892" s="10" t="str">
        <f aca="false">Config!$B$3</f>
        <v>2610_ff_lansare</v>
      </c>
      <c r="I1892" s="10" t="str">
        <f aca="false">D1892&amp;"_"&amp;Config!$B$4</f>
        <v>fierbinte_general</v>
      </c>
      <c r="J1892" s="10" t="str">
        <f aca="false">"https://"&amp;B1892&amp;G1892&amp;"?utm_source="&amp;E1892&amp;"&amp;utm_medium="&amp;F1892&amp;"&amp;utm_campaign="&amp;H1892&amp;"&amp;utm_content="&amp;I1892</f>
        <v>https://the3webs.com/?utm_source=email_signature&amp;utm_medium=email&amp;utm_campaign=2610_ff_lansare&amp;utm_content=fierbinte_general</v>
      </c>
    </row>
    <row r="1893" customFormat="false" ht="15" hidden="false" customHeight="false" outlineLevel="0" collapsed="false">
      <c r="A1893" s="10" t="s">
        <v>92</v>
      </c>
      <c r="B1893" s="10" t="str">
        <f aca="false">INDEX('Site-uri'!$B$2:$B$20,MATCH(A1893,'Site-uri'!$A$2:$A$20,0))</f>
        <v>the3webs.com</v>
      </c>
      <c r="C1893" s="10" t="s">
        <v>134</v>
      </c>
      <c r="D1893" s="10" t="s">
        <v>237</v>
      </c>
      <c r="E1893" s="10" t="str">
        <f aca="false">INDEX(Canale!$C$2:$C$30,MATCH(C1893,Canale!$A$2:$A$30,0))</f>
        <v>email_signature</v>
      </c>
      <c r="F1893" s="10" t="str">
        <f aca="false">INDEX(Canale!$D$2:$D$30,MATCH(C1893,Canale!$A$2:$A$30,0))</f>
        <v>email</v>
      </c>
      <c r="G1893" s="10" t="str">
        <f aca="false">INDEX('Site-uri'!$C$2:$C$20,MATCH(A1893,'Site-uri'!$A$2:$A$20,0))</f>
        <v>/</v>
      </c>
      <c r="H1893" s="10" t="str">
        <f aca="false">Config!$B$3</f>
        <v>2610_ff_lansare</v>
      </c>
      <c r="I1893" s="10" t="str">
        <f aca="false">D1893&amp;"_"&amp;Config!$B$4</f>
        <v>client_general</v>
      </c>
      <c r="J1893" s="10" t="str">
        <f aca="false">"https://"&amp;B1893&amp;G1893&amp;"?utm_source="&amp;E1893&amp;"&amp;utm_medium="&amp;F1893&amp;"&amp;utm_campaign="&amp;H1893&amp;"&amp;utm_content="&amp;I1893</f>
        <v>https://the3webs.com/?utm_source=email_signature&amp;utm_medium=email&amp;utm_campaign=2610_ff_lansare&amp;utm_content=client_general</v>
      </c>
    </row>
    <row r="1894" customFormat="false" ht="15" hidden="false" customHeight="false" outlineLevel="0" collapsed="false">
      <c r="A1894" s="10" t="s">
        <v>92</v>
      </c>
      <c r="B1894" s="10" t="str">
        <f aca="false">INDEX('Site-uri'!$B$2:$B$20,MATCH(A1894,'Site-uri'!$A$2:$A$20,0))</f>
        <v>the3webs.com</v>
      </c>
      <c r="C1894" s="10" t="s">
        <v>137</v>
      </c>
      <c r="D1894" s="10" t="s">
        <v>219</v>
      </c>
      <c r="E1894" s="10" t="str">
        <f aca="false">INDEX(Canale!$C$2:$C$30,MATCH(C1894,Canale!$A$2:$A$30,0))</f>
        <v>whatsapp</v>
      </c>
      <c r="F1894" s="10" t="str">
        <f aca="false">INDEX(Canale!$D$2:$D$30,MATCH(C1894,Canale!$A$2:$A$30,0))</f>
        <v>dm</v>
      </c>
      <c r="G1894" s="10" t="str">
        <f aca="false">INDEX('Site-uri'!$C$2:$C$20,MATCH(A1894,'Site-uri'!$A$2:$A$20,0))</f>
        <v>/</v>
      </c>
      <c r="H1894" s="10" t="str">
        <f aca="false">Config!$B$3</f>
        <v>2610_ff_lansare</v>
      </c>
      <c r="I1894" s="10" t="str">
        <f aca="false">D1894&amp;"_"&amp;Config!$B$4</f>
        <v>rece_general</v>
      </c>
      <c r="J1894" s="10" t="str">
        <f aca="false">"https://"&amp;B1894&amp;G1894&amp;"?utm_source="&amp;E1894&amp;"&amp;utm_medium="&amp;F1894&amp;"&amp;utm_campaign="&amp;H1894&amp;"&amp;utm_content="&amp;I1894</f>
        <v>https://the3webs.com/?utm_source=whatsapp&amp;utm_medium=dm&amp;utm_campaign=2610_ff_lansare&amp;utm_content=rece_general</v>
      </c>
    </row>
    <row r="1895" customFormat="false" ht="15" hidden="false" customHeight="false" outlineLevel="0" collapsed="false">
      <c r="A1895" s="10" t="s">
        <v>92</v>
      </c>
      <c r="B1895" s="10" t="str">
        <f aca="false">INDEX('Site-uri'!$B$2:$B$20,MATCH(A1895,'Site-uri'!$A$2:$A$20,0))</f>
        <v>the3webs.com</v>
      </c>
      <c r="C1895" s="10" t="s">
        <v>137</v>
      </c>
      <c r="D1895" s="10" t="s">
        <v>225</v>
      </c>
      <c r="E1895" s="10" t="str">
        <f aca="false">INDEX(Canale!$C$2:$C$30,MATCH(C1895,Canale!$A$2:$A$30,0))</f>
        <v>whatsapp</v>
      </c>
      <c r="F1895" s="10" t="str">
        <f aca="false">INDEX(Canale!$D$2:$D$30,MATCH(C1895,Canale!$A$2:$A$30,0))</f>
        <v>dm</v>
      </c>
      <c r="G1895" s="10" t="str">
        <f aca="false">INDEX('Site-uri'!$C$2:$C$20,MATCH(A1895,'Site-uri'!$A$2:$A$20,0))</f>
        <v>/</v>
      </c>
      <c r="H1895" s="10" t="str">
        <f aca="false">Config!$B$3</f>
        <v>2610_ff_lansare</v>
      </c>
      <c r="I1895" s="10" t="str">
        <f aca="false">D1895&amp;"_"&amp;Config!$B$4</f>
        <v>cald_general</v>
      </c>
      <c r="J1895" s="10" t="str">
        <f aca="false">"https://"&amp;B1895&amp;G1895&amp;"?utm_source="&amp;E1895&amp;"&amp;utm_medium="&amp;F1895&amp;"&amp;utm_campaign="&amp;H1895&amp;"&amp;utm_content="&amp;I1895</f>
        <v>https://the3webs.com/?utm_source=whatsapp&amp;utm_medium=dm&amp;utm_campaign=2610_ff_lansare&amp;utm_content=cald_general</v>
      </c>
    </row>
    <row r="1896" customFormat="false" ht="15" hidden="false" customHeight="false" outlineLevel="0" collapsed="false">
      <c r="A1896" s="10" t="s">
        <v>92</v>
      </c>
      <c r="B1896" s="10" t="str">
        <f aca="false">INDEX('Site-uri'!$B$2:$B$20,MATCH(A1896,'Site-uri'!$A$2:$A$20,0))</f>
        <v>the3webs.com</v>
      </c>
      <c r="C1896" s="10" t="s">
        <v>137</v>
      </c>
      <c r="D1896" s="10" t="s">
        <v>231</v>
      </c>
      <c r="E1896" s="10" t="str">
        <f aca="false">INDEX(Canale!$C$2:$C$30,MATCH(C1896,Canale!$A$2:$A$30,0))</f>
        <v>whatsapp</v>
      </c>
      <c r="F1896" s="10" t="str">
        <f aca="false">INDEX(Canale!$D$2:$D$30,MATCH(C1896,Canale!$A$2:$A$30,0))</f>
        <v>dm</v>
      </c>
      <c r="G1896" s="10" t="str">
        <f aca="false">INDEX('Site-uri'!$C$2:$C$20,MATCH(A1896,'Site-uri'!$A$2:$A$20,0))</f>
        <v>/</v>
      </c>
      <c r="H1896" s="10" t="str">
        <f aca="false">Config!$B$3</f>
        <v>2610_ff_lansare</v>
      </c>
      <c r="I1896" s="10" t="str">
        <f aca="false">D1896&amp;"_"&amp;Config!$B$4</f>
        <v>fierbinte_general</v>
      </c>
      <c r="J1896" s="10" t="str">
        <f aca="false">"https://"&amp;B1896&amp;G1896&amp;"?utm_source="&amp;E1896&amp;"&amp;utm_medium="&amp;F1896&amp;"&amp;utm_campaign="&amp;H1896&amp;"&amp;utm_content="&amp;I1896</f>
        <v>https://the3webs.com/?utm_source=whatsapp&amp;utm_medium=dm&amp;utm_campaign=2610_ff_lansare&amp;utm_content=fierbinte_general</v>
      </c>
    </row>
    <row r="1897" customFormat="false" ht="15" hidden="false" customHeight="false" outlineLevel="0" collapsed="false">
      <c r="A1897" s="10" t="s">
        <v>92</v>
      </c>
      <c r="B1897" s="10" t="str">
        <f aca="false">INDEX('Site-uri'!$B$2:$B$20,MATCH(A1897,'Site-uri'!$A$2:$A$20,0))</f>
        <v>the3webs.com</v>
      </c>
      <c r="C1897" s="10" t="s">
        <v>137</v>
      </c>
      <c r="D1897" s="10" t="s">
        <v>237</v>
      </c>
      <c r="E1897" s="10" t="str">
        <f aca="false">INDEX(Canale!$C$2:$C$30,MATCH(C1897,Canale!$A$2:$A$30,0))</f>
        <v>whatsapp</v>
      </c>
      <c r="F1897" s="10" t="str">
        <f aca="false">INDEX(Canale!$D$2:$D$30,MATCH(C1897,Canale!$A$2:$A$30,0))</f>
        <v>dm</v>
      </c>
      <c r="G1897" s="10" t="str">
        <f aca="false">INDEX('Site-uri'!$C$2:$C$20,MATCH(A1897,'Site-uri'!$A$2:$A$20,0))</f>
        <v>/</v>
      </c>
      <c r="H1897" s="10" t="str">
        <f aca="false">Config!$B$3</f>
        <v>2610_ff_lansare</v>
      </c>
      <c r="I1897" s="10" t="str">
        <f aca="false">D1897&amp;"_"&amp;Config!$B$4</f>
        <v>client_general</v>
      </c>
      <c r="J1897" s="10" t="str">
        <f aca="false">"https://"&amp;B1897&amp;G1897&amp;"?utm_source="&amp;E1897&amp;"&amp;utm_medium="&amp;F1897&amp;"&amp;utm_campaign="&amp;H1897&amp;"&amp;utm_content="&amp;I1897</f>
        <v>https://the3webs.com/?utm_source=whatsapp&amp;utm_medium=dm&amp;utm_campaign=2610_ff_lansare&amp;utm_content=client_general</v>
      </c>
    </row>
    <row r="1898" customFormat="false" ht="15" hidden="false" customHeight="false" outlineLevel="0" collapsed="false">
      <c r="A1898" s="10" t="s">
        <v>92</v>
      </c>
      <c r="B1898" s="10" t="str">
        <f aca="false">INDEX('Site-uri'!$B$2:$B$20,MATCH(A1898,'Site-uri'!$A$2:$A$20,0))</f>
        <v>the3webs.com</v>
      </c>
      <c r="C1898" s="10" t="s">
        <v>141</v>
      </c>
      <c r="D1898" s="10" t="s">
        <v>219</v>
      </c>
      <c r="E1898" s="10" t="str">
        <f aca="false">INDEX(Canale!$C$2:$C$30,MATCH(C1898,Canale!$A$2:$A$30,0))</f>
        <v>google</v>
      </c>
      <c r="F1898" s="10" t="str">
        <f aca="false">INDEX(Canale!$D$2:$D$30,MATCH(C1898,Canale!$A$2:$A$30,0))</f>
        <v>cpc</v>
      </c>
      <c r="G1898" s="10" t="str">
        <f aca="false">INDEX('Site-uri'!$C$2:$C$20,MATCH(A1898,'Site-uri'!$A$2:$A$20,0))</f>
        <v>/</v>
      </c>
      <c r="H1898" s="10" t="str">
        <f aca="false">Config!$B$3</f>
        <v>2610_ff_lansare</v>
      </c>
      <c r="I1898" s="10" t="str">
        <f aca="false">D1898&amp;"_"&amp;Config!$B$4</f>
        <v>rece_general</v>
      </c>
      <c r="J1898" s="10" t="str">
        <f aca="false">"https://"&amp;B1898&amp;G1898&amp;"?utm_source="&amp;E1898&amp;"&amp;utm_medium="&amp;F1898&amp;"&amp;utm_campaign="&amp;H1898&amp;"&amp;utm_content="&amp;I1898</f>
        <v>https://the3webs.com/?utm_source=google&amp;utm_medium=cpc&amp;utm_campaign=2610_ff_lansare&amp;utm_content=rece_general</v>
      </c>
    </row>
    <row r="1899" customFormat="false" ht="15" hidden="false" customHeight="false" outlineLevel="0" collapsed="false">
      <c r="A1899" s="10" t="s">
        <v>92</v>
      </c>
      <c r="B1899" s="10" t="str">
        <f aca="false">INDEX('Site-uri'!$B$2:$B$20,MATCH(A1899,'Site-uri'!$A$2:$A$20,0))</f>
        <v>the3webs.com</v>
      </c>
      <c r="C1899" s="10" t="s">
        <v>141</v>
      </c>
      <c r="D1899" s="10" t="s">
        <v>225</v>
      </c>
      <c r="E1899" s="10" t="str">
        <f aca="false">INDEX(Canale!$C$2:$C$30,MATCH(C1899,Canale!$A$2:$A$30,0))</f>
        <v>google</v>
      </c>
      <c r="F1899" s="10" t="str">
        <f aca="false">INDEX(Canale!$D$2:$D$30,MATCH(C1899,Canale!$A$2:$A$30,0))</f>
        <v>cpc</v>
      </c>
      <c r="G1899" s="10" t="str">
        <f aca="false">INDEX('Site-uri'!$C$2:$C$20,MATCH(A1899,'Site-uri'!$A$2:$A$20,0))</f>
        <v>/</v>
      </c>
      <c r="H1899" s="10" t="str">
        <f aca="false">Config!$B$3</f>
        <v>2610_ff_lansare</v>
      </c>
      <c r="I1899" s="10" t="str">
        <f aca="false">D1899&amp;"_"&amp;Config!$B$4</f>
        <v>cald_general</v>
      </c>
      <c r="J1899" s="10" t="str">
        <f aca="false">"https://"&amp;B1899&amp;G1899&amp;"?utm_source="&amp;E1899&amp;"&amp;utm_medium="&amp;F1899&amp;"&amp;utm_campaign="&amp;H1899&amp;"&amp;utm_content="&amp;I1899</f>
        <v>https://the3webs.com/?utm_source=google&amp;utm_medium=cpc&amp;utm_campaign=2610_ff_lansare&amp;utm_content=cald_general</v>
      </c>
    </row>
    <row r="1900" customFormat="false" ht="15" hidden="false" customHeight="false" outlineLevel="0" collapsed="false">
      <c r="A1900" s="10" t="s">
        <v>92</v>
      </c>
      <c r="B1900" s="10" t="str">
        <f aca="false">INDEX('Site-uri'!$B$2:$B$20,MATCH(A1900,'Site-uri'!$A$2:$A$20,0))</f>
        <v>the3webs.com</v>
      </c>
      <c r="C1900" s="10" t="s">
        <v>141</v>
      </c>
      <c r="D1900" s="10" t="s">
        <v>231</v>
      </c>
      <c r="E1900" s="10" t="str">
        <f aca="false">INDEX(Canale!$C$2:$C$30,MATCH(C1900,Canale!$A$2:$A$30,0))</f>
        <v>google</v>
      </c>
      <c r="F1900" s="10" t="str">
        <f aca="false">INDEX(Canale!$D$2:$D$30,MATCH(C1900,Canale!$A$2:$A$30,0))</f>
        <v>cpc</v>
      </c>
      <c r="G1900" s="10" t="str">
        <f aca="false">INDEX('Site-uri'!$C$2:$C$20,MATCH(A1900,'Site-uri'!$A$2:$A$20,0))</f>
        <v>/</v>
      </c>
      <c r="H1900" s="10" t="str">
        <f aca="false">Config!$B$3</f>
        <v>2610_ff_lansare</v>
      </c>
      <c r="I1900" s="10" t="str">
        <f aca="false">D1900&amp;"_"&amp;Config!$B$4</f>
        <v>fierbinte_general</v>
      </c>
      <c r="J1900" s="10" t="str">
        <f aca="false">"https://"&amp;B1900&amp;G1900&amp;"?utm_source="&amp;E1900&amp;"&amp;utm_medium="&amp;F1900&amp;"&amp;utm_campaign="&amp;H1900&amp;"&amp;utm_content="&amp;I1900</f>
        <v>https://the3webs.com/?utm_source=google&amp;utm_medium=cpc&amp;utm_campaign=2610_ff_lansare&amp;utm_content=fierbinte_general</v>
      </c>
    </row>
    <row r="1901" customFormat="false" ht="15" hidden="false" customHeight="false" outlineLevel="0" collapsed="false">
      <c r="A1901" s="10" t="s">
        <v>92</v>
      </c>
      <c r="B1901" s="10" t="str">
        <f aca="false">INDEX('Site-uri'!$B$2:$B$20,MATCH(A1901,'Site-uri'!$A$2:$A$20,0))</f>
        <v>the3webs.com</v>
      </c>
      <c r="C1901" s="10" t="s">
        <v>141</v>
      </c>
      <c r="D1901" s="10" t="s">
        <v>237</v>
      </c>
      <c r="E1901" s="10" t="str">
        <f aca="false">INDEX(Canale!$C$2:$C$30,MATCH(C1901,Canale!$A$2:$A$30,0))</f>
        <v>google</v>
      </c>
      <c r="F1901" s="10" t="str">
        <f aca="false">INDEX(Canale!$D$2:$D$30,MATCH(C1901,Canale!$A$2:$A$30,0))</f>
        <v>cpc</v>
      </c>
      <c r="G1901" s="10" t="str">
        <f aca="false">INDEX('Site-uri'!$C$2:$C$20,MATCH(A1901,'Site-uri'!$A$2:$A$20,0))</f>
        <v>/</v>
      </c>
      <c r="H1901" s="10" t="str">
        <f aca="false">Config!$B$3</f>
        <v>2610_ff_lansare</v>
      </c>
      <c r="I1901" s="10" t="str">
        <f aca="false">D1901&amp;"_"&amp;Config!$B$4</f>
        <v>client_general</v>
      </c>
      <c r="J1901" s="10" t="str">
        <f aca="false">"https://"&amp;B1901&amp;G1901&amp;"?utm_source="&amp;E1901&amp;"&amp;utm_medium="&amp;F1901&amp;"&amp;utm_campaign="&amp;H1901&amp;"&amp;utm_content="&amp;I1901</f>
        <v>https://the3webs.com/?utm_source=google&amp;utm_medium=cpc&amp;utm_campaign=2610_ff_lansare&amp;utm_content=client_general</v>
      </c>
    </row>
    <row r="1902" customFormat="false" ht="15" hidden="false" customHeight="false" outlineLevel="0" collapsed="false">
      <c r="A1902" s="10" t="s">
        <v>92</v>
      </c>
      <c r="B1902" s="10" t="str">
        <f aca="false">INDEX('Site-uri'!$B$2:$B$20,MATCH(A1902,'Site-uri'!$A$2:$A$20,0))</f>
        <v>the3webs.com</v>
      </c>
      <c r="C1902" s="10" t="s">
        <v>146</v>
      </c>
      <c r="D1902" s="10" t="s">
        <v>219</v>
      </c>
      <c r="E1902" s="10" t="str">
        <f aca="false">INDEX(Canale!$C$2:$C$30,MATCH(C1902,Canale!$A$2:$A$30,0))</f>
        <v>bing</v>
      </c>
      <c r="F1902" s="10" t="str">
        <f aca="false">INDEX(Canale!$D$2:$D$30,MATCH(C1902,Canale!$A$2:$A$30,0))</f>
        <v>cpc</v>
      </c>
      <c r="G1902" s="10" t="str">
        <f aca="false">INDEX('Site-uri'!$C$2:$C$20,MATCH(A1902,'Site-uri'!$A$2:$A$20,0))</f>
        <v>/</v>
      </c>
      <c r="H1902" s="10" t="str">
        <f aca="false">Config!$B$3</f>
        <v>2610_ff_lansare</v>
      </c>
      <c r="I1902" s="10" t="str">
        <f aca="false">D1902&amp;"_"&amp;Config!$B$4</f>
        <v>rece_general</v>
      </c>
      <c r="J1902" s="10" t="str">
        <f aca="false">"https://"&amp;B1902&amp;G1902&amp;"?utm_source="&amp;E1902&amp;"&amp;utm_medium="&amp;F1902&amp;"&amp;utm_campaign="&amp;H1902&amp;"&amp;utm_content="&amp;I1902</f>
        <v>https://the3webs.com/?utm_source=bing&amp;utm_medium=cpc&amp;utm_campaign=2610_ff_lansare&amp;utm_content=rece_general</v>
      </c>
    </row>
    <row r="1903" customFormat="false" ht="15" hidden="false" customHeight="false" outlineLevel="0" collapsed="false">
      <c r="A1903" s="10" t="s">
        <v>92</v>
      </c>
      <c r="B1903" s="10" t="str">
        <f aca="false">INDEX('Site-uri'!$B$2:$B$20,MATCH(A1903,'Site-uri'!$A$2:$A$20,0))</f>
        <v>the3webs.com</v>
      </c>
      <c r="C1903" s="10" t="s">
        <v>146</v>
      </c>
      <c r="D1903" s="10" t="s">
        <v>225</v>
      </c>
      <c r="E1903" s="10" t="str">
        <f aca="false">INDEX(Canale!$C$2:$C$30,MATCH(C1903,Canale!$A$2:$A$30,0))</f>
        <v>bing</v>
      </c>
      <c r="F1903" s="10" t="str">
        <f aca="false">INDEX(Canale!$D$2:$D$30,MATCH(C1903,Canale!$A$2:$A$30,0))</f>
        <v>cpc</v>
      </c>
      <c r="G1903" s="10" t="str">
        <f aca="false">INDEX('Site-uri'!$C$2:$C$20,MATCH(A1903,'Site-uri'!$A$2:$A$20,0))</f>
        <v>/</v>
      </c>
      <c r="H1903" s="10" t="str">
        <f aca="false">Config!$B$3</f>
        <v>2610_ff_lansare</v>
      </c>
      <c r="I1903" s="10" t="str">
        <f aca="false">D1903&amp;"_"&amp;Config!$B$4</f>
        <v>cald_general</v>
      </c>
      <c r="J1903" s="10" t="str">
        <f aca="false">"https://"&amp;B1903&amp;G1903&amp;"?utm_source="&amp;E1903&amp;"&amp;utm_medium="&amp;F1903&amp;"&amp;utm_campaign="&amp;H1903&amp;"&amp;utm_content="&amp;I1903</f>
        <v>https://the3webs.com/?utm_source=bing&amp;utm_medium=cpc&amp;utm_campaign=2610_ff_lansare&amp;utm_content=cald_general</v>
      </c>
    </row>
    <row r="1904" customFormat="false" ht="15" hidden="false" customHeight="false" outlineLevel="0" collapsed="false">
      <c r="A1904" s="10" t="s">
        <v>92</v>
      </c>
      <c r="B1904" s="10" t="str">
        <f aca="false">INDEX('Site-uri'!$B$2:$B$20,MATCH(A1904,'Site-uri'!$A$2:$A$20,0))</f>
        <v>the3webs.com</v>
      </c>
      <c r="C1904" s="10" t="s">
        <v>146</v>
      </c>
      <c r="D1904" s="10" t="s">
        <v>231</v>
      </c>
      <c r="E1904" s="10" t="str">
        <f aca="false">INDEX(Canale!$C$2:$C$30,MATCH(C1904,Canale!$A$2:$A$30,0))</f>
        <v>bing</v>
      </c>
      <c r="F1904" s="10" t="str">
        <f aca="false">INDEX(Canale!$D$2:$D$30,MATCH(C1904,Canale!$A$2:$A$30,0))</f>
        <v>cpc</v>
      </c>
      <c r="G1904" s="10" t="str">
        <f aca="false">INDEX('Site-uri'!$C$2:$C$20,MATCH(A1904,'Site-uri'!$A$2:$A$20,0))</f>
        <v>/</v>
      </c>
      <c r="H1904" s="10" t="str">
        <f aca="false">Config!$B$3</f>
        <v>2610_ff_lansare</v>
      </c>
      <c r="I1904" s="10" t="str">
        <f aca="false">D1904&amp;"_"&amp;Config!$B$4</f>
        <v>fierbinte_general</v>
      </c>
      <c r="J1904" s="10" t="str">
        <f aca="false">"https://"&amp;B1904&amp;G1904&amp;"?utm_source="&amp;E1904&amp;"&amp;utm_medium="&amp;F1904&amp;"&amp;utm_campaign="&amp;H1904&amp;"&amp;utm_content="&amp;I1904</f>
        <v>https://the3webs.com/?utm_source=bing&amp;utm_medium=cpc&amp;utm_campaign=2610_ff_lansare&amp;utm_content=fierbinte_general</v>
      </c>
    </row>
    <row r="1905" customFormat="false" ht="15" hidden="false" customHeight="false" outlineLevel="0" collapsed="false">
      <c r="A1905" s="10" t="s">
        <v>92</v>
      </c>
      <c r="B1905" s="10" t="str">
        <f aca="false">INDEX('Site-uri'!$B$2:$B$20,MATCH(A1905,'Site-uri'!$A$2:$A$20,0))</f>
        <v>the3webs.com</v>
      </c>
      <c r="C1905" s="10" t="s">
        <v>146</v>
      </c>
      <c r="D1905" s="10" t="s">
        <v>237</v>
      </c>
      <c r="E1905" s="10" t="str">
        <f aca="false">INDEX(Canale!$C$2:$C$30,MATCH(C1905,Canale!$A$2:$A$30,0))</f>
        <v>bing</v>
      </c>
      <c r="F1905" s="10" t="str">
        <f aca="false">INDEX(Canale!$D$2:$D$30,MATCH(C1905,Canale!$A$2:$A$30,0))</f>
        <v>cpc</v>
      </c>
      <c r="G1905" s="10" t="str">
        <f aca="false">INDEX('Site-uri'!$C$2:$C$20,MATCH(A1905,'Site-uri'!$A$2:$A$20,0))</f>
        <v>/</v>
      </c>
      <c r="H1905" s="10" t="str">
        <f aca="false">Config!$B$3</f>
        <v>2610_ff_lansare</v>
      </c>
      <c r="I1905" s="10" t="str">
        <f aca="false">D1905&amp;"_"&amp;Config!$B$4</f>
        <v>client_general</v>
      </c>
      <c r="J1905" s="10" t="str">
        <f aca="false">"https://"&amp;B1905&amp;G1905&amp;"?utm_source="&amp;E1905&amp;"&amp;utm_medium="&amp;F1905&amp;"&amp;utm_campaign="&amp;H1905&amp;"&amp;utm_content="&amp;I1905</f>
        <v>https://the3webs.com/?utm_source=bing&amp;utm_medium=cpc&amp;utm_campaign=2610_ff_lansare&amp;utm_content=client_general</v>
      </c>
    </row>
    <row r="1906" customFormat="false" ht="15" hidden="false" customHeight="false" outlineLevel="0" collapsed="false">
      <c r="A1906" s="10" t="s">
        <v>92</v>
      </c>
      <c r="B1906" s="10" t="str">
        <f aca="false">INDEX('Site-uri'!$B$2:$B$20,MATCH(A1906,'Site-uri'!$A$2:$A$20,0))</f>
        <v>the3webs.com</v>
      </c>
      <c r="C1906" s="10" t="s">
        <v>149</v>
      </c>
      <c r="D1906" s="10" t="s">
        <v>219</v>
      </c>
      <c r="E1906" s="10" t="str">
        <f aca="false">INDEX(Canale!$C$2:$C$30,MATCH(C1906,Canale!$A$2:$A$30,0))</f>
        <v>facebook</v>
      </c>
      <c r="F1906" s="10" t="str">
        <f aca="false">INDEX(Canale!$D$2:$D$30,MATCH(C1906,Canale!$A$2:$A$30,0))</f>
        <v>social</v>
      </c>
      <c r="G1906" s="10" t="str">
        <f aca="false">INDEX('Site-uri'!$C$2:$C$20,MATCH(A1906,'Site-uri'!$A$2:$A$20,0))</f>
        <v>/</v>
      </c>
      <c r="H1906" s="10" t="str">
        <f aca="false">Config!$B$3</f>
        <v>2610_ff_lansare</v>
      </c>
      <c r="I1906" s="10" t="str">
        <f aca="false">D1906&amp;"_"&amp;Config!$B$4</f>
        <v>rece_general</v>
      </c>
      <c r="J1906" s="10" t="str">
        <f aca="false">"https://"&amp;B1906&amp;G1906&amp;"?utm_source="&amp;E1906&amp;"&amp;utm_medium="&amp;F1906&amp;"&amp;utm_campaign="&amp;H1906&amp;"&amp;utm_content="&amp;I1906</f>
        <v>https://the3webs.com/?utm_source=facebook&amp;utm_medium=social&amp;utm_campaign=2610_ff_lansare&amp;utm_content=rece_general</v>
      </c>
    </row>
    <row r="1907" customFormat="false" ht="15" hidden="false" customHeight="false" outlineLevel="0" collapsed="false">
      <c r="A1907" s="10" t="s">
        <v>92</v>
      </c>
      <c r="B1907" s="10" t="str">
        <f aca="false">INDEX('Site-uri'!$B$2:$B$20,MATCH(A1907,'Site-uri'!$A$2:$A$20,0))</f>
        <v>the3webs.com</v>
      </c>
      <c r="C1907" s="10" t="s">
        <v>149</v>
      </c>
      <c r="D1907" s="10" t="s">
        <v>225</v>
      </c>
      <c r="E1907" s="10" t="str">
        <f aca="false">INDEX(Canale!$C$2:$C$30,MATCH(C1907,Canale!$A$2:$A$30,0))</f>
        <v>facebook</v>
      </c>
      <c r="F1907" s="10" t="str">
        <f aca="false">INDEX(Canale!$D$2:$D$30,MATCH(C1907,Canale!$A$2:$A$30,0))</f>
        <v>social</v>
      </c>
      <c r="G1907" s="10" t="str">
        <f aca="false">INDEX('Site-uri'!$C$2:$C$20,MATCH(A1907,'Site-uri'!$A$2:$A$20,0))</f>
        <v>/</v>
      </c>
      <c r="H1907" s="10" t="str">
        <f aca="false">Config!$B$3</f>
        <v>2610_ff_lansare</v>
      </c>
      <c r="I1907" s="10" t="str">
        <f aca="false">D1907&amp;"_"&amp;Config!$B$4</f>
        <v>cald_general</v>
      </c>
      <c r="J1907" s="10" t="str">
        <f aca="false">"https://"&amp;B1907&amp;G1907&amp;"?utm_source="&amp;E1907&amp;"&amp;utm_medium="&amp;F1907&amp;"&amp;utm_campaign="&amp;H1907&amp;"&amp;utm_content="&amp;I1907</f>
        <v>https://the3webs.com/?utm_source=facebook&amp;utm_medium=social&amp;utm_campaign=2610_ff_lansare&amp;utm_content=cald_general</v>
      </c>
    </row>
    <row r="1908" customFormat="false" ht="15" hidden="false" customHeight="false" outlineLevel="0" collapsed="false">
      <c r="A1908" s="10" t="s">
        <v>92</v>
      </c>
      <c r="B1908" s="10" t="str">
        <f aca="false">INDEX('Site-uri'!$B$2:$B$20,MATCH(A1908,'Site-uri'!$A$2:$A$20,0))</f>
        <v>the3webs.com</v>
      </c>
      <c r="C1908" s="10" t="s">
        <v>149</v>
      </c>
      <c r="D1908" s="10" t="s">
        <v>231</v>
      </c>
      <c r="E1908" s="10" t="str">
        <f aca="false">INDEX(Canale!$C$2:$C$30,MATCH(C1908,Canale!$A$2:$A$30,0))</f>
        <v>facebook</v>
      </c>
      <c r="F1908" s="10" t="str">
        <f aca="false">INDEX(Canale!$D$2:$D$30,MATCH(C1908,Canale!$A$2:$A$30,0))</f>
        <v>social</v>
      </c>
      <c r="G1908" s="10" t="str">
        <f aca="false">INDEX('Site-uri'!$C$2:$C$20,MATCH(A1908,'Site-uri'!$A$2:$A$20,0))</f>
        <v>/</v>
      </c>
      <c r="H1908" s="10" t="str">
        <f aca="false">Config!$B$3</f>
        <v>2610_ff_lansare</v>
      </c>
      <c r="I1908" s="10" t="str">
        <f aca="false">D1908&amp;"_"&amp;Config!$B$4</f>
        <v>fierbinte_general</v>
      </c>
      <c r="J1908" s="10" t="str">
        <f aca="false">"https://"&amp;B1908&amp;G1908&amp;"?utm_source="&amp;E1908&amp;"&amp;utm_medium="&amp;F1908&amp;"&amp;utm_campaign="&amp;H1908&amp;"&amp;utm_content="&amp;I1908</f>
        <v>https://the3webs.com/?utm_source=facebook&amp;utm_medium=social&amp;utm_campaign=2610_ff_lansare&amp;utm_content=fierbinte_general</v>
      </c>
    </row>
    <row r="1909" customFormat="false" ht="15" hidden="false" customHeight="false" outlineLevel="0" collapsed="false">
      <c r="A1909" s="10" t="s">
        <v>92</v>
      </c>
      <c r="B1909" s="10" t="str">
        <f aca="false">INDEX('Site-uri'!$B$2:$B$20,MATCH(A1909,'Site-uri'!$A$2:$A$20,0))</f>
        <v>the3webs.com</v>
      </c>
      <c r="C1909" s="10" t="s">
        <v>149</v>
      </c>
      <c r="D1909" s="10" t="s">
        <v>237</v>
      </c>
      <c r="E1909" s="10" t="str">
        <f aca="false">INDEX(Canale!$C$2:$C$30,MATCH(C1909,Canale!$A$2:$A$30,0))</f>
        <v>facebook</v>
      </c>
      <c r="F1909" s="10" t="str">
        <f aca="false">INDEX(Canale!$D$2:$D$30,MATCH(C1909,Canale!$A$2:$A$30,0))</f>
        <v>social</v>
      </c>
      <c r="G1909" s="10" t="str">
        <f aca="false">INDEX('Site-uri'!$C$2:$C$20,MATCH(A1909,'Site-uri'!$A$2:$A$20,0))</f>
        <v>/</v>
      </c>
      <c r="H1909" s="10" t="str">
        <f aca="false">Config!$B$3</f>
        <v>2610_ff_lansare</v>
      </c>
      <c r="I1909" s="10" t="str">
        <f aca="false">D1909&amp;"_"&amp;Config!$B$4</f>
        <v>client_general</v>
      </c>
      <c r="J1909" s="10" t="str">
        <f aca="false">"https://"&amp;B1909&amp;G1909&amp;"?utm_source="&amp;E1909&amp;"&amp;utm_medium="&amp;F1909&amp;"&amp;utm_campaign="&amp;H1909&amp;"&amp;utm_content="&amp;I1909</f>
        <v>https://the3webs.com/?utm_source=facebook&amp;utm_medium=social&amp;utm_campaign=2610_ff_lansare&amp;utm_content=client_general</v>
      </c>
    </row>
    <row r="1910" customFormat="false" ht="15" hidden="false" customHeight="false" outlineLevel="0" collapsed="false">
      <c r="A1910" s="10" t="s">
        <v>92</v>
      </c>
      <c r="B1910" s="10" t="str">
        <f aca="false">INDEX('Site-uri'!$B$2:$B$20,MATCH(A1910,'Site-uri'!$A$2:$A$20,0))</f>
        <v>the3webs.com</v>
      </c>
      <c r="C1910" s="10" t="s">
        <v>153</v>
      </c>
      <c r="D1910" s="10" t="s">
        <v>219</v>
      </c>
      <c r="E1910" s="10" t="str">
        <f aca="false">INDEX(Canale!$C$2:$C$30,MATCH(C1910,Canale!$A$2:$A$30,0))</f>
        <v>x</v>
      </c>
      <c r="F1910" s="10" t="str">
        <f aca="false">INDEX(Canale!$D$2:$D$30,MATCH(C1910,Canale!$A$2:$A$30,0))</f>
        <v>social</v>
      </c>
      <c r="G1910" s="10" t="str">
        <f aca="false">INDEX('Site-uri'!$C$2:$C$20,MATCH(A1910,'Site-uri'!$A$2:$A$20,0))</f>
        <v>/</v>
      </c>
      <c r="H1910" s="10" t="str">
        <f aca="false">Config!$B$3</f>
        <v>2610_ff_lansare</v>
      </c>
      <c r="I1910" s="10" t="str">
        <f aca="false">D1910&amp;"_"&amp;Config!$B$4</f>
        <v>rece_general</v>
      </c>
      <c r="J1910" s="10" t="str">
        <f aca="false">"https://"&amp;B1910&amp;G1910&amp;"?utm_source="&amp;E1910&amp;"&amp;utm_medium="&amp;F1910&amp;"&amp;utm_campaign="&amp;H1910&amp;"&amp;utm_content="&amp;I1910</f>
        <v>https://the3webs.com/?utm_source=x&amp;utm_medium=social&amp;utm_campaign=2610_ff_lansare&amp;utm_content=rece_general</v>
      </c>
    </row>
    <row r="1911" customFormat="false" ht="15" hidden="false" customHeight="false" outlineLevel="0" collapsed="false">
      <c r="A1911" s="10" t="s">
        <v>92</v>
      </c>
      <c r="B1911" s="10" t="str">
        <f aca="false">INDEX('Site-uri'!$B$2:$B$20,MATCH(A1911,'Site-uri'!$A$2:$A$20,0))</f>
        <v>the3webs.com</v>
      </c>
      <c r="C1911" s="10" t="s">
        <v>153</v>
      </c>
      <c r="D1911" s="10" t="s">
        <v>225</v>
      </c>
      <c r="E1911" s="10" t="str">
        <f aca="false">INDEX(Canale!$C$2:$C$30,MATCH(C1911,Canale!$A$2:$A$30,0))</f>
        <v>x</v>
      </c>
      <c r="F1911" s="10" t="str">
        <f aca="false">INDEX(Canale!$D$2:$D$30,MATCH(C1911,Canale!$A$2:$A$30,0))</f>
        <v>social</v>
      </c>
      <c r="G1911" s="10" t="str">
        <f aca="false">INDEX('Site-uri'!$C$2:$C$20,MATCH(A1911,'Site-uri'!$A$2:$A$20,0))</f>
        <v>/</v>
      </c>
      <c r="H1911" s="10" t="str">
        <f aca="false">Config!$B$3</f>
        <v>2610_ff_lansare</v>
      </c>
      <c r="I1911" s="10" t="str">
        <f aca="false">D1911&amp;"_"&amp;Config!$B$4</f>
        <v>cald_general</v>
      </c>
      <c r="J1911" s="10" t="str">
        <f aca="false">"https://"&amp;B1911&amp;G1911&amp;"?utm_source="&amp;E1911&amp;"&amp;utm_medium="&amp;F1911&amp;"&amp;utm_campaign="&amp;H1911&amp;"&amp;utm_content="&amp;I1911</f>
        <v>https://the3webs.com/?utm_source=x&amp;utm_medium=social&amp;utm_campaign=2610_ff_lansare&amp;utm_content=cald_general</v>
      </c>
    </row>
    <row r="1912" customFormat="false" ht="15" hidden="false" customHeight="false" outlineLevel="0" collapsed="false">
      <c r="A1912" s="10" t="s">
        <v>92</v>
      </c>
      <c r="B1912" s="10" t="str">
        <f aca="false">INDEX('Site-uri'!$B$2:$B$20,MATCH(A1912,'Site-uri'!$A$2:$A$20,0))</f>
        <v>the3webs.com</v>
      </c>
      <c r="C1912" s="10" t="s">
        <v>153</v>
      </c>
      <c r="D1912" s="10" t="s">
        <v>231</v>
      </c>
      <c r="E1912" s="10" t="str">
        <f aca="false">INDEX(Canale!$C$2:$C$30,MATCH(C1912,Canale!$A$2:$A$30,0))</f>
        <v>x</v>
      </c>
      <c r="F1912" s="10" t="str">
        <f aca="false">INDEX(Canale!$D$2:$D$30,MATCH(C1912,Canale!$A$2:$A$30,0))</f>
        <v>social</v>
      </c>
      <c r="G1912" s="10" t="str">
        <f aca="false">INDEX('Site-uri'!$C$2:$C$20,MATCH(A1912,'Site-uri'!$A$2:$A$20,0))</f>
        <v>/</v>
      </c>
      <c r="H1912" s="10" t="str">
        <f aca="false">Config!$B$3</f>
        <v>2610_ff_lansare</v>
      </c>
      <c r="I1912" s="10" t="str">
        <f aca="false">D1912&amp;"_"&amp;Config!$B$4</f>
        <v>fierbinte_general</v>
      </c>
      <c r="J1912" s="10" t="str">
        <f aca="false">"https://"&amp;B1912&amp;G1912&amp;"?utm_source="&amp;E1912&amp;"&amp;utm_medium="&amp;F1912&amp;"&amp;utm_campaign="&amp;H1912&amp;"&amp;utm_content="&amp;I1912</f>
        <v>https://the3webs.com/?utm_source=x&amp;utm_medium=social&amp;utm_campaign=2610_ff_lansare&amp;utm_content=fierbinte_general</v>
      </c>
    </row>
    <row r="1913" customFormat="false" ht="15" hidden="false" customHeight="false" outlineLevel="0" collapsed="false">
      <c r="A1913" s="10" t="s">
        <v>92</v>
      </c>
      <c r="B1913" s="10" t="str">
        <f aca="false">INDEX('Site-uri'!$B$2:$B$20,MATCH(A1913,'Site-uri'!$A$2:$A$20,0))</f>
        <v>the3webs.com</v>
      </c>
      <c r="C1913" s="10" t="s">
        <v>153</v>
      </c>
      <c r="D1913" s="10" t="s">
        <v>237</v>
      </c>
      <c r="E1913" s="10" t="str">
        <f aca="false">INDEX(Canale!$C$2:$C$30,MATCH(C1913,Canale!$A$2:$A$30,0))</f>
        <v>x</v>
      </c>
      <c r="F1913" s="10" t="str">
        <f aca="false">INDEX(Canale!$D$2:$D$30,MATCH(C1913,Canale!$A$2:$A$30,0))</f>
        <v>social</v>
      </c>
      <c r="G1913" s="10" t="str">
        <f aca="false">INDEX('Site-uri'!$C$2:$C$20,MATCH(A1913,'Site-uri'!$A$2:$A$20,0))</f>
        <v>/</v>
      </c>
      <c r="H1913" s="10" t="str">
        <f aca="false">Config!$B$3</f>
        <v>2610_ff_lansare</v>
      </c>
      <c r="I1913" s="10" t="str">
        <f aca="false">D1913&amp;"_"&amp;Config!$B$4</f>
        <v>client_general</v>
      </c>
      <c r="J1913" s="10" t="str">
        <f aca="false">"https://"&amp;B1913&amp;G1913&amp;"?utm_source="&amp;E1913&amp;"&amp;utm_medium="&amp;F1913&amp;"&amp;utm_campaign="&amp;H1913&amp;"&amp;utm_content="&amp;I1913</f>
        <v>https://the3webs.com/?utm_source=x&amp;utm_medium=social&amp;utm_campaign=2610_ff_lansare&amp;utm_content=client_general</v>
      </c>
    </row>
    <row r="1914" customFormat="false" ht="15" hidden="false" customHeight="false" outlineLevel="0" collapsed="false">
      <c r="A1914" s="10" t="s">
        <v>92</v>
      </c>
      <c r="B1914" s="10" t="str">
        <f aca="false">INDEX('Site-uri'!$B$2:$B$20,MATCH(A1914,'Site-uri'!$A$2:$A$20,0))</f>
        <v>the3webs.com</v>
      </c>
      <c r="C1914" s="10" t="s">
        <v>155</v>
      </c>
      <c r="D1914" s="10" t="s">
        <v>219</v>
      </c>
      <c r="E1914" s="10" t="str">
        <f aca="false">INDEX(Canale!$C$2:$C$30,MATCH(C1914,Canale!$A$2:$A$30,0))</f>
        <v>youtube</v>
      </c>
      <c r="F1914" s="10" t="str">
        <f aca="false">INDEX(Canale!$D$2:$D$30,MATCH(C1914,Canale!$A$2:$A$30,0))</f>
        <v>video</v>
      </c>
      <c r="G1914" s="10" t="str">
        <f aca="false">INDEX('Site-uri'!$C$2:$C$20,MATCH(A1914,'Site-uri'!$A$2:$A$20,0))</f>
        <v>/</v>
      </c>
      <c r="H1914" s="10" t="str">
        <f aca="false">Config!$B$3</f>
        <v>2610_ff_lansare</v>
      </c>
      <c r="I1914" s="10" t="str">
        <f aca="false">D1914&amp;"_"&amp;Config!$B$4</f>
        <v>rece_general</v>
      </c>
      <c r="J1914" s="10" t="str">
        <f aca="false">"https://"&amp;B1914&amp;G1914&amp;"?utm_source="&amp;E1914&amp;"&amp;utm_medium="&amp;F1914&amp;"&amp;utm_campaign="&amp;H1914&amp;"&amp;utm_content="&amp;I1914</f>
        <v>https://the3webs.com/?utm_source=youtube&amp;utm_medium=video&amp;utm_campaign=2610_ff_lansare&amp;utm_content=rece_general</v>
      </c>
    </row>
    <row r="1915" customFormat="false" ht="15" hidden="false" customHeight="false" outlineLevel="0" collapsed="false">
      <c r="A1915" s="10" t="s">
        <v>92</v>
      </c>
      <c r="B1915" s="10" t="str">
        <f aca="false">INDEX('Site-uri'!$B$2:$B$20,MATCH(A1915,'Site-uri'!$A$2:$A$20,0))</f>
        <v>the3webs.com</v>
      </c>
      <c r="C1915" s="10" t="s">
        <v>155</v>
      </c>
      <c r="D1915" s="10" t="s">
        <v>225</v>
      </c>
      <c r="E1915" s="10" t="str">
        <f aca="false">INDEX(Canale!$C$2:$C$30,MATCH(C1915,Canale!$A$2:$A$30,0))</f>
        <v>youtube</v>
      </c>
      <c r="F1915" s="10" t="str">
        <f aca="false">INDEX(Canale!$D$2:$D$30,MATCH(C1915,Canale!$A$2:$A$30,0))</f>
        <v>video</v>
      </c>
      <c r="G1915" s="10" t="str">
        <f aca="false">INDEX('Site-uri'!$C$2:$C$20,MATCH(A1915,'Site-uri'!$A$2:$A$20,0))</f>
        <v>/</v>
      </c>
      <c r="H1915" s="10" t="str">
        <f aca="false">Config!$B$3</f>
        <v>2610_ff_lansare</v>
      </c>
      <c r="I1915" s="10" t="str">
        <f aca="false">D1915&amp;"_"&amp;Config!$B$4</f>
        <v>cald_general</v>
      </c>
      <c r="J1915" s="10" t="str">
        <f aca="false">"https://"&amp;B1915&amp;G1915&amp;"?utm_source="&amp;E1915&amp;"&amp;utm_medium="&amp;F1915&amp;"&amp;utm_campaign="&amp;H1915&amp;"&amp;utm_content="&amp;I1915</f>
        <v>https://the3webs.com/?utm_source=youtube&amp;utm_medium=video&amp;utm_campaign=2610_ff_lansare&amp;utm_content=cald_general</v>
      </c>
    </row>
    <row r="1916" customFormat="false" ht="15" hidden="false" customHeight="false" outlineLevel="0" collapsed="false">
      <c r="A1916" s="10" t="s">
        <v>92</v>
      </c>
      <c r="B1916" s="10" t="str">
        <f aca="false">INDEX('Site-uri'!$B$2:$B$20,MATCH(A1916,'Site-uri'!$A$2:$A$20,0))</f>
        <v>the3webs.com</v>
      </c>
      <c r="C1916" s="10" t="s">
        <v>155</v>
      </c>
      <c r="D1916" s="10" t="s">
        <v>231</v>
      </c>
      <c r="E1916" s="10" t="str">
        <f aca="false">INDEX(Canale!$C$2:$C$30,MATCH(C1916,Canale!$A$2:$A$30,0))</f>
        <v>youtube</v>
      </c>
      <c r="F1916" s="10" t="str">
        <f aca="false">INDEX(Canale!$D$2:$D$30,MATCH(C1916,Canale!$A$2:$A$30,0))</f>
        <v>video</v>
      </c>
      <c r="G1916" s="10" t="str">
        <f aca="false">INDEX('Site-uri'!$C$2:$C$20,MATCH(A1916,'Site-uri'!$A$2:$A$20,0))</f>
        <v>/</v>
      </c>
      <c r="H1916" s="10" t="str">
        <f aca="false">Config!$B$3</f>
        <v>2610_ff_lansare</v>
      </c>
      <c r="I1916" s="10" t="str">
        <f aca="false">D1916&amp;"_"&amp;Config!$B$4</f>
        <v>fierbinte_general</v>
      </c>
      <c r="J1916" s="10" t="str">
        <f aca="false">"https://"&amp;B1916&amp;G1916&amp;"?utm_source="&amp;E1916&amp;"&amp;utm_medium="&amp;F1916&amp;"&amp;utm_campaign="&amp;H1916&amp;"&amp;utm_content="&amp;I1916</f>
        <v>https://the3webs.com/?utm_source=youtube&amp;utm_medium=video&amp;utm_campaign=2610_ff_lansare&amp;utm_content=fierbinte_general</v>
      </c>
    </row>
    <row r="1917" customFormat="false" ht="15" hidden="false" customHeight="false" outlineLevel="0" collapsed="false">
      <c r="A1917" s="10" t="s">
        <v>92</v>
      </c>
      <c r="B1917" s="10" t="str">
        <f aca="false">INDEX('Site-uri'!$B$2:$B$20,MATCH(A1917,'Site-uri'!$A$2:$A$20,0))</f>
        <v>the3webs.com</v>
      </c>
      <c r="C1917" s="10" t="s">
        <v>155</v>
      </c>
      <c r="D1917" s="10" t="s">
        <v>237</v>
      </c>
      <c r="E1917" s="10" t="str">
        <f aca="false">INDEX(Canale!$C$2:$C$30,MATCH(C1917,Canale!$A$2:$A$30,0))</f>
        <v>youtube</v>
      </c>
      <c r="F1917" s="10" t="str">
        <f aca="false">INDEX(Canale!$D$2:$D$30,MATCH(C1917,Canale!$A$2:$A$30,0))</f>
        <v>video</v>
      </c>
      <c r="G1917" s="10" t="str">
        <f aca="false">INDEX('Site-uri'!$C$2:$C$20,MATCH(A1917,'Site-uri'!$A$2:$A$20,0))</f>
        <v>/</v>
      </c>
      <c r="H1917" s="10" t="str">
        <f aca="false">Config!$B$3</f>
        <v>2610_ff_lansare</v>
      </c>
      <c r="I1917" s="10" t="str">
        <f aca="false">D1917&amp;"_"&amp;Config!$B$4</f>
        <v>client_general</v>
      </c>
      <c r="J1917" s="10" t="str">
        <f aca="false">"https://"&amp;B1917&amp;G1917&amp;"?utm_source="&amp;E1917&amp;"&amp;utm_medium="&amp;F1917&amp;"&amp;utm_campaign="&amp;H1917&amp;"&amp;utm_content="&amp;I1917</f>
        <v>https://the3webs.com/?utm_source=youtube&amp;utm_medium=video&amp;utm_campaign=2610_ff_lansare&amp;utm_content=client_general</v>
      </c>
    </row>
    <row r="1918" customFormat="false" ht="15" hidden="false" customHeight="false" outlineLevel="0" collapsed="false">
      <c r="A1918" s="10" t="s">
        <v>92</v>
      </c>
      <c r="B1918" s="10" t="str">
        <f aca="false">INDEX('Site-uri'!$B$2:$B$20,MATCH(A1918,'Site-uri'!$A$2:$A$20,0))</f>
        <v>the3webs.com</v>
      </c>
      <c r="C1918" s="10" t="s">
        <v>160</v>
      </c>
      <c r="D1918" s="10" t="s">
        <v>219</v>
      </c>
      <c r="E1918" s="10" t="str">
        <f aca="false">INDEX(Canale!$C$2:$C$30,MATCH(C1918,Canale!$A$2:$A$30,0))</f>
        <v>medium</v>
      </c>
      <c r="F1918" s="10" t="str">
        <f aca="false">INDEX(Canale!$D$2:$D$30,MATCH(C1918,Canale!$A$2:$A$30,0))</f>
        <v>content</v>
      </c>
      <c r="G1918" s="10" t="str">
        <f aca="false">INDEX('Site-uri'!$C$2:$C$20,MATCH(A1918,'Site-uri'!$A$2:$A$20,0))</f>
        <v>/</v>
      </c>
      <c r="H1918" s="10" t="str">
        <f aca="false">Config!$B$3</f>
        <v>2610_ff_lansare</v>
      </c>
      <c r="I1918" s="10" t="str">
        <f aca="false">D1918&amp;"_"&amp;Config!$B$4</f>
        <v>rece_general</v>
      </c>
      <c r="J1918" s="10" t="str">
        <f aca="false">"https://"&amp;B1918&amp;G1918&amp;"?utm_source="&amp;E1918&amp;"&amp;utm_medium="&amp;F1918&amp;"&amp;utm_campaign="&amp;H1918&amp;"&amp;utm_content="&amp;I1918</f>
        <v>https://the3webs.com/?utm_source=medium&amp;utm_medium=content&amp;utm_campaign=2610_ff_lansare&amp;utm_content=rece_general</v>
      </c>
    </row>
    <row r="1919" customFormat="false" ht="15" hidden="false" customHeight="false" outlineLevel="0" collapsed="false">
      <c r="A1919" s="10" t="s">
        <v>92</v>
      </c>
      <c r="B1919" s="10" t="str">
        <f aca="false">INDEX('Site-uri'!$B$2:$B$20,MATCH(A1919,'Site-uri'!$A$2:$A$20,0))</f>
        <v>the3webs.com</v>
      </c>
      <c r="C1919" s="10" t="s">
        <v>160</v>
      </c>
      <c r="D1919" s="10" t="s">
        <v>225</v>
      </c>
      <c r="E1919" s="10" t="str">
        <f aca="false">INDEX(Canale!$C$2:$C$30,MATCH(C1919,Canale!$A$2:$A$30,0))</f>
        <v>medium</v>
      </c>
      <c r="F1919" s="10" t="str">
        <f aca="false">INDEX(Canale!$D$2:$D$30,MATCH(C1919,Canale!$A$2:$A$30,0))</f>
        <v>content</v>
      </c>
      <c r="G1919" s="10" t="str">
        <f aca="false">INDEX('Site-uri'!$C$2:$C$20,MATCH(A1919,'Site-uri'!$A$2:$A$20,0))</f>
        <v>/</v>
      </c>
      <c r="H1919" s="10" t="str">
        <f aca="false">Config!$B$3</f>
        <v>2610_ff_lansare</v>
      </c>
      <c r="I1919" s="10" t="str">
        <f aca="false">D1919&amp;"_"&amp;Config!$B$4</f>
        <v>cald_general</v>
      </c>
      <c r="J1919" s="10" t="str">
        <f aca="false">"https://"&amp;B1919&amp;G1919&amp;"?utm_source="&amp;E1919&amp;"&amp;utm_medium="&amp;F1919&amp;"&amp;utm_campaign="&amp;H1919&amp;"&amp;utm_content="&amp;I1919</f>
        <v>https://the3webs.com/?utm_source=medium&amp;utm_medium=content&amp;utm_campaign=2610_ff_lansare&amp;utm_content=cald_general</v>
      </c>
    </row>
    <row r="1920" customFormat="false" ht="15" hidden="false" customHeight="false" outlineLevel="0" collapsed="false">
      <c r="A1920" s="10" t="s">
        <v>92</v>
      </c>
      <c r="B1920" s="10" t="str">
        <f aca="false">INDEX('Site-uri'!$B$2:$B$20,MATCH(A1920,'Site-uri'!$A$2:$A$20,0))</f>
        <v>the3webs.com</v>
      </c>
      <c r="C1920" s="10" t="s">
        <v>160</v>
      </c>
      <c r="D1920" s="10" t="s">
        <v>231</v>
      </c>
      <c r="E1920" s="10" t="str">
        <f aca="false">INDEX(Canale!$C$2:$C$30,MATCH(C1920,Canale!$A$2:$A$30,0))</f>
        <v>medium</v>
      </c>
      <c r="F1920" s="10" t="str">
        <f aca="false">INDEX(Canale!$D$2:$D$30,MATCH(C1920,Canale!$A$2:$A$30,0))</f>
        <v>content</v>
      </c>
      <c r="G1920" s="10" t="str">
        <f aca="false">INDEX('Site-uri'!$C$2:$C$20,MATCH(A1920,'Site-uri'!$A$2:$A$20,0))</f>
        <v>/</v>
      </c>
      <c r="H1920" s="10" t="str">
        <f aca="false">Config!$B$3</f>
        <v>2610_ff_lansare</v>
      </c>
      <c r="I1920" s="10" t="str">
        <f aca="false">D1920&amp;"_"&amp;Config!$B$4</f>
        <v>fierbinte_general</v>
      </c>
      <c r="J1920" s="10" t="str">
        <f aca="false">"https://"&amp;B1920&amp;G1920&amp;"?utm_source="&amp;E1920&amp;"&amp;utm_medium="&amp;F1920&amp;"&amp;utm_campaign="&amp;H1920&amp;"&amp;utm_content="&amp;I1920</f>
        <v>https://the3webs.com/?utm_source=medium&amp;utm_medium=content&amp;utm_campaign=2610_ff_lansare&amp;utm_content=fierbinte_general</v>
      </c>
    </row>
    <row r="1921" customFormat="false" ht="15" hidden="false" customHeight="false" outlineLevel="0" collapsed="false">
      <c r="A1921" s="10" t="s">
        <v>92</v>
      </c>
      <c r="B1921" s="10" t="str">
        <f aca="false">INDEX('Site-uri'!$B$2:$B$20,MATCH(A1921,'Site-uri'!$A$2:$A$20,0))</f>
        <v>the3webs.com</v>
      </c>
      <c r="C1921" s="10" t="s">
        <v>160</v>
      </c>
      <c r="D1921" s="10" t="s">
        <v>237</v>
      </c>
      <c r="E1921" s="10" t="str">
        <f aca="false">INDEX(Canale!$C$2:$C$30,MATCH(C1921,Canale!$A$2:$A$30,0))</f>
        <v>medium</v>
      </c>
      <c r="F1921" s="10" t="str">
        <f aca="false">INDEX(Canale!$D$2:$D$30,MATCH(C1921,Canale!$A$2:$A$30,0))</f>
        <v>content</v>
      </c>
      <c r="G1921" s="10" t="str">
        <f aca="false">INDEX('Site-uri'!$C$2:$C$20,MATCH(A1921,'Site-uri'!$A$2:$A$20,0))</f>
        <v>/</v>
      </c>
      <c r="H1921" s="10" t="str">
        <f aca="false">Config!$B$3</f>
        <v>2610_ff_lansare</v>
      </c>
      <c r="I1921" s="10" t="str">
        <f aca="false">D1921&amp;"_"&amp;Config!$B$4</f>
        <v>client_general</v>
      </c>
      <c r="J1921" s="10" t="str">
        <f aca="false">"https://"&amp;B1921&amp;G1921&amp;"?utm_source="&amp;E1921&amp;"&amp;utm_medium="&amp;F1921&amp;"&amp;utm_campaign="&amp;H1921&amp;"&amp;utm_content="&amp;I1921</f>
        <v>https://the3webs.com/?utm_source=medium&amp;utm_medium=content&amp;utm_campaign=2610_ff_lansare&amp;utm_content=client_general</v>
      </c>
    </row>
    <row r="1922" customFormat="false" ht="15" hidden="false" customHeight="false" outlineLevel="0" collapsed="false">
      <c r="A1922" s="10" t="s">
        <v>92</v>
      </c>
      <c r="B1922" s="10" t="str">
        <f aca="false">INDEX('Site-uri'!$B$2:$B$20,MATCH(A1922,'Site-uri'!$A$2:$A$20,0))</f>
        <v>the3webs.com</v>
      </c>
      <c r="C1922" s="10" t="s">
        <v>165</v>
      </c>
      <c r="D1922" s="10" t="s">
        <v>219</v>
      </c>
      <c r="E1922" s="10" t="str">
        <f aca="false">INDEX(Canale!$C$2:$C$30,MATCH(C1922,Canale!$A$2:$A$30,0))</f>
        <v>crunchbase</v>
      </c>
      <c r="F1922" s="10" t="str">
        <f aca="false">INDEX(Canale!$D$2:$D$30,MATCH(C1922,Canale!$A$2:$A$30,0))</f>
        <v>referral</v>
      </c>
      <c r="G1922" s="10" t="str">
        <f aca="false">INDEX('Site-uri'!$C$2:$C$20,MATCH(A1922,'Site-uri'!$A$2:$A$20,0))</f>
        <v>/</v>
      </c>
      <c r="H1922" s="10" t="str">
        <f aca="false">Config!$B$3</f>
        <v>2610_ff_lansare</v>
      </c>
      <c r="I1922" s="10" t="str">
        <f aca="false">D1922&amp;"_"&amp;Config!$B$4</f>
        <v>rece_general</v>
      </c>
      <c r="J1922" s="10" t="str">
        <f aca="false">"https://"&amp;B1922&amp;G1922&amp;"?utm_source="&amp;E1922&amp;"&amp;utm_medium="&amp;F1922&amp;"&amp;utm_campaign="&amp;H1922&amp;"&amp;utm_content="&amp;I1922</f>
        <v>https://the3webs.com/?utm_source=crunchbase&amp;utm_medium=referral&amp;utm_campaign=2610_ff_lansare&amp;utm_content=rece_general</v>
      </c>
    </row>
    <row r="1923" customFormat="false" ht="15" hidden="false" customHeight="false" outlineLevel="0" collapsed="false">
      <c r="A1923" s="10" t="s">
        <v>92</v>
      </c>
      <c r="B1923" s="10" t="str">
        <f aca="false">INDEX('Site-uri'!$B$2:$B$20,MATCH(A1923,'Site-uri'!$A$2:$A$20,0))</f>
        <v>the3webs.com</v>
      </c>
      <c r="C1923" s="10" t="s">
        <v>165</v>
      </c>
      <c r="D1923" s="10" t="s">
        <v>225</v>
      </c>
      <c r="E1923" s="10" t="str">
        <f aca="false">INDEX(Canale!$C$2:$C$30,MATCH(C1923,Canale!$A$2:$A$30,0))</f>
        <v>crunchbase</v>
      </c>
      <c r="F1923" s="10" t="str">
        <f aca="false">INDEX(Canale!$D$2:$D$30,MATCH(C1923,Canale!$A$2:$A$30,0))</f>
        <v>referral</v>
      </c>
      <c r="G1923" s="10" t="str">
        <f aca="false">INDEX('Site-uri'!$C$2:$C$20,MATCH(A1923,'Site-uri'!$A$2:$A$20,0))</f>
        <v>/</v>
      </c>
      <c r="H1923" s="10" t="str">
        <f aca="false">Config!$B$3</f>
        <v>2610_ff_lansare</v>
      </c>
      <c r="I1923" s="10" t="str">
        <f aca="false">D1923&amp;"_"&amp;Config!$B$4</f>
        <v>cald_general</v>
      </c>
      <c r="J1923" s="10" t="str">
        <f aca="false">"https://"&amp;B1923&amp;G1923&amp;"?utm_source="&amp;E1923&amp;"&amp;utm_medium="&amp;F1923&amp;"&amp;utm_campaign="&amp;H1923&amp;"&amp;utm_content="&amp;I1923</f>
        <v>https://the3webs.com/?utm_source=crunchbase&amp;utm_medium=referral&amp;utm_campaign=2610_ff_lansare&amp;utm_content=cald_general</v>
      </c>
    </row>
    <row r="1924" customFormat="false" ht="15" hidden="false" customHeight="false" outlineLevel="0" collapsed="false">
      <c r="A1924" s="10" t="s">
        <v>92</v>
      </c>
      <c r="B1924" s="10" t="str">
        <f aca="false">INDEX('Site-uri'!$B$2:$B$20,MATCH(A1924,'Site-uri'!$A$2:$A$20,0))</f>
        <v>the3webs.com</v>
      </c>
      <c r="C1924" s="10" t="s">
        <v>165</v>
      </c>
      <c r="D1924" s="10" t="s">
        <v>231</v>
      </c>
      <c r="E1924" s="10" t="str">
        <f aca="false">INDEX(Canale!$C$2:$C$30,MATCH(C1924,Canale!$A$2:$A$30,0))</f>
        <v>crunchbase</v>
      </c>
      <c r="F1924" s="10" t="str">
        <f aca="false">INDEX(Canale!$D$2:$D$30,MATCH(C1924,Canale!$A$2:$A$30,0))</f>
        <v>referral</v>
      </c>
      <c r="G1924" s="10" t="str">
        <f aca="false">INDEX('Site-uri'!$C$2:$C$20,MATCH(A1924,'Site-uri'!$A$2:$A$20,0))</f>
        <v>/</v>
      </c>
      <c r="H1924" s="10" t="str">
        <f aca="false">Config!$B$3</f>
        <v>2610_ff_lansare</v>
      </c>
      <c r="I1924" s="10" t="str">
        <f aca="false">D1924&amp;"_"&amp;Config!$B$4</f>
        <v>fierbinte_general</v>
      </c>
      <c r="J1924" s="10" t="str">
        <f aca="false">"https://"&amp;B1924&amp;G1924&amp;"?utm_source="&amp;E1924&amp;"&amp;utm_medium="&amp;F1924&amp;"&amp;utm_campaign="&amp;H1924&amp;"&amp;utm_content="&amp;I1924</f>
        <v>https://the3webs.com/?utm_source=crunchbase&amp;utm_medium=referral&amp;utm_campaign=2610_ff_lansare&amp;utm_content=fierbinte_general</v>
      </c>
    </row>
    <row r="1925" customFormat="false" ht="15" hidden="false" customHeight="false" outlineLevel="0" collapsed="false">
      <c r="A1925" s="10" t="s">
        <v>92</v>
      </c>
      <c r="B1925" s="10" t="str">
        <f aca="false">INDEX('Site-uri'!$B$2:$B$20,MATCH(A1925,'Site-uri'!$A$2:$A$20,0))</f>
        <v>the3webs.com</v>
      </c>
      <c r="C1925" s="10" t="s">
        <v>165</v>
      </c>
      <c r="D1925" s="10" t="s">
        <v>237</v>
      </c>
      <c r="E1925" s="10" t="str">
        <f aca="false">INDEX(Canale!$C$2:$C$30,MATCH(C1925,Canale!$A$2:$A$30,0))</f>
        <v>crunchbase</v>
      </c>
      <c r="F1925" s="10" t="str">
        <f aca="false">INDEX(Canale!$D$2:$D$30,MATCH(C1925,Canale!$A$2:$A$30,0))</f>
        <v>referral</v>
      </c>
      <c r="G1925" s="10" t="str">
        <f aca="false">INDEX('Site-uri'!$C$2:$C$20,MATCH(A1925,'Site-uri'!$A$2:$A$20,0))</f>
        <v>/</v>
      </c>
      <c r="H1925" s="10" t="str">
        <f aca="false">Config!$B$3</f>
        <v>2610_ff_lansare</v>
      </c>
      <c r="I1925" s="10" t="str">
        <f aca="false">D1925&amp;"_"&amp;Config!$B$4</f>
        <v>client_general</v>
      </c>
      <c r="J1925" s="10" t="str">
        <f aca="false">"https://"&amp;B1925&amp;G1925&amp;"?utm_source="&amp;E1925&amp;"&amp;utm_medium="&amp;F1925&amp;"&amp;utm_campaign="&amp;H1925&amp;"&amp;utm_content="&amp;I1925</f>
        <v>https://the3webs.com/?utm_source=crunchbase&amp;utm_medium=referral&amp;utm_campaign=2610_ff_lansare&amp;utm_content=client_general</v>
      </c>
    </row>
    <row r="1926" customFormat="false" ht="15" hidden="false" customHeight="false" outlineLevel="0" collapsed="false">
      <c r="A1926" s="10" t="s">
        <v>92</v>
      </c>
      <c r="B1926" s="10" t="str">
        <f aca="false">INDEX('Site-uri'!$B$2:$B$20,MATCH(A1926,'Site-uri'!$A$2:$A$20,0))</f>
        <v>the3webs.com</v>
      </c>
      <c r="C1926" s="10" t="s">
        <v>170</v>
      </c>
      <c r="D1926" s="10" t="s">
        <v>219</v>
      </c>
      <c r="E1926" s="10" t="str">
        <f aca="false">INDEX(Canale!$C$2:$C$30,MATCH(C1926,Canale!$A$2:$A$30,0))</f>
        <v>zenodo</v>
      </c>
      <c r="F1926" s="10" t="str">
        <f aca="false">INDEX(Canale!$D$2:$D$30,MATCH(C1926,Canale!$A$2:$A$30,0))</f>
        <v>referral</v>
      </c>
      <c r="G1926" s="10" t="str">
        <f aca="false">INDEX('Site-uri'!$C$2:$C$20,MATCH(A1926,'Site-uri'!$A$2:$A$20,0))</f>
        <v>/</v>
      </c>
      <c r="H1926" s="10" t="str">
        <f aca="false">Config!$B$3</f>
        <v>2610_ff_lansare</v>
      </c>
      <c r="I1926" s="10" t="str">
        <f aca="false">D1926&amp;"_"&amp;Config!$B$4</f>
        <v>rece_general</v>
      </c>
      <c r="J1926" s="10" t="str">
        <f aca="false">"https://"&amp;B1926&amp;G1926&amp;"?utm_source="&amp;E1926&amp;"&amp;utm_medium="&amp;F1926&amp;"&amp;utm_campaign="&amp;H1926&amp;"&amp;utm_content="&amp;I1926</f>
        <v>https://the3webs.com/?utm_source=zenodo&amp;utm_medium=referral&amp;utm_campaign=2610_ff_lansare&amp;utm_content=rece_general</v>
      </c>
    </row>
    <row r="1927" customFormat="false" ht="15" hidden="false" customHeight="false" outlineLevel="0" collapsed="false">
      <c r="A1927" s="10" t="s">
        <v>92</v>
      </c>
      <c r="B1927" s="10" t="str">
        <f aca="false">INDEX('Site-uri'!$B$2:$B$20,MATCH(A1927,'Site-uri'!$A$2:$A$20,0))</f>
        <v>the3webs.com</v>
      </c>
      <c r="C1927" s="10" t="s">
        <v>170</v>
      </c>
      <c r="D1927" s="10" t="s">
        <v>225</v>
      </c>
      <c r="E1927" s="10" t="str">
        <f aca="false">INDEX(Canale!$C$2:$C$30,MATCH(C1927,Canale!$A$2:$A$30,0))</f>
        <v>zenodo</v>
      </c>
      <c r="F1927" s="10" t="str">
        <f aca="false">INDEX(Canale!$D$2:$D$30,MATCH(C1927,Canale!$A$2:$A$30,0))</f>
        <v>referral</v>
      </c>
      <c r="G1927" s="10" t="str">
        <f aca="false">INDEX('Site-uri'!$C$2:$C$20,MATCH(A1927,'Site-uri'!$A$2:$A$20,0))</f>
        <v>/</v>
      </c>
      <c r="H1927" s="10" t="str">
        <f aca="false">Config!$B$3</f>
        <v>2610_ff_lansare</v>
      </c>
      <c r="I1927" s="10" t="str">
        <f aca="false">D1927&amp;"_"&amp;Config!$B$4</f>
        <v>cald_general</v>
      </c>
      <c r="J1927" s="10" t="str">
        <f aca="false">"https://"&amp;B1927&amp;G1927&amp;"?utm_source="&amp;E1927&amp;"&amp;utm_medium="&amp;F1927&amp;"&amp;utm_campaign="&amp;H1927&amp;"&amp;utm_content="&amp;I1927</f>
        <v>https://the3webs.com/?utm_source=zenodo&amp;utm_medium=referral&amp;utm_campaign=2610_ff_lansare&amp;utm_content=cald_general</v>
      </c>
    </row>
    <row r="1928" customFormat="false" ht="15" hidden="false" customHeight="false" outlineLevel="0" collapsed="false">
      <c r="A1928" s="10" t="s">
        <v>92</v>
      </c>
      <c r="B1928" s="10" t="str">
        <f aca="false">INDEX('Site-uri'!$B$2:$B$20,MATCH(A1928,'Site-uri'!$A$2:$A$20,0))</f>
        <v>the3webs.com</v>
      </c>
      <c r="C1928" s="10" t="s">
        <v>170</v>
      </c>
      <c r="D1928" s="10" t="s">
        <v>231</v>
      </c>
      <c r="E1928" s="10" t="str">
        <f aca="false">INDEX(Canale!$C$2:$C$30,MATCH(C1928,Canale!$A$2:$A$30,0))</f>
        <v>zenodo</v>
      </c>
      <c r="F1928" s="10" t="str">
        <f aca="false">INDEX(Canale!$D$2:$D$30,MATCH(C1928,Canale!$A$2:$A$30,0))</f>
        <v>referral</v>
      </c>
      <c r="G1928" s="10" t="str">
        <f aca="false">INDEX('Site-uri'!$C$2:$C$20,MATCH(A1928,'Site-uri'!$A$2:$A$20,0))</f>
        <v>/</v>
      </c>
      <c r="H1928" s="10" t="str">
        <f aca="false">Config!$B$3</f>
        <v>2610_ff_lansare</v>
      </c>
      <c r="I1928" s="10" t="str">
        <f aca="false">D1928&amp;"_"&amp;Config!$B$4</f>
        <v>fierbinte_general</v>
      </c>
      <c r="J1928" s="10" t="str">
        <f aca="false">"https://"&amp;B1928&amp;G1928&amp;"?utm_source="&amp;E1928&amp;"&amp;utm_medium="&amp;F1928&amp;"&amp;utm_campaign="&amp;H1928&amp;"&amp;utm_content="&amp;I1928</f>
        <v>https://the3webs.com/?utm_source=zenodo&amp;utm_medium=referral&amp;utm_campaign=2610_ff_lansare&amp;utm_content=fierbinte_general</v>
      </c>
    </row>
    <row r="1929" customFormat="false" ht="15" hidden="false" customHeight="false" outlineLevel="0" collapsed="false">
      <c r="A1929" s="10" t="s">
        <v>92</v>
      </c>
      <c r="B1929" s="10" t="str">
        <f aca="false">INDEX('Site-uri'!$B$2:$B$20,MATCH(A1929,'Site-uri'!$A$2:$A$20,0))</f>
        <v>the3webs.com</v>
      </c>
      <c r="C1929" s="10" t="s">
        <v>170</v>
      </c>
      <c r="D1929" s="10" t="s">
        <v>237</v>
      </c>
      <c r="E1929" s="10" t="str">
        <f aca="false">INDEX(Canale!$C$2:$C$30,MATCH(C1929,Canale!$A$2:$A$30,0))</f>
        <v>zenodo</v>
      </c>
      <c r="F1929" s="10" t="str">
        <f aca="false">INDEX(Canale!$D$2:$D$30,MATCH(C1929,Canale!$A$2:$A$30,0))</f>
        <v>referral</v>
      </c>
      <c r="G1929" s="10" t="str">
        <f aca="false">INDEX('Site-uri'!$C$2:$C$20,MATCH(A1929,'Site-uri'!$A$2:$A$20,0))</f>
        <v>/</v>
      </c>
      <c r="H1929" s="10" t="str">
        <f aca="false">Config!$B$3</f>
        <v>2610_ff_lansare</v>
      </c>
      <c r="I1929" s="10" t="str">
        <f aca="false">D1929&amp;"_"&amp;Config!$B$4</f>
        <v>client_general</v>
      </c>
      <c r="J1929" s="10" t="str">
        <f aca="false">"https://"&amp;B1929&amp;G1929&amp;"?utm_source="&amp;E1929&amp;"&amp;utm_medium="&amp;F1929&amp;"&amp;utm_campaign="&amp;H1929&amp;"&amp;utm_content="&amp;I1929</f>
        <v>https://the3webs.com/?utm_source=zenodo&amp;utm_medium=referral&amp;utm_campaign=2610_ff_lansare&amp;utm_content=client_general</v>
      </c>
    </row>
    <row r="1930" customFormat="false" ht="15" hidden="false" customHeight="false" outlineLevel="0" collapsed="false">
      <c r="A1930" s="10" t="s">
        <v>92</v>
      </c>
      <c r="B1930" s="10" t="str">
        <f aca="false">INDEX('Site-uri'!$B$2:$B$20,MATCH(A1930,'Site-uri'!$A$2:$A$20,0))</f>
        <v>the3webs.com</v>
      </c>
      <c r="C1930" s="10" t="s">
        <v>173</v>
      </c>
      <c r="D1930" s="10" t="s">
        <v>219</v>
      </c>
      <c r="E1930" s="10" t="str">
        <f aca="false">INDEX(Canale!$C$2:$C$30,MATCH(C1930,Canale!$A$2:$A$30,0))</f>
        <v>orcid</v>
      </c>
      <c r="F1930" s="10" t="str">
        <f aca="false">INDEX(Canale!$D$2:$D$30,MATCH(C1930,Canale!$A$2:$A$30,0))</f>
        <v>referral</v>
      </c>
      <c r="G1930" s="10" t="str">
        <f aca="false">INDEX('Site-uri'!$C$2:$C$20,MATCH(A1930,'Site-uri'!$A$2:$A$20,0))</f>
        <v>/</v>
      </c>
      <c r="H1930" s="10" t="str">
        <f aca="false">Config!$B$3</f>
        <v>2610_ff_lansare</v>
      </c>
      <c r="I1930" s="10" t="str">
        <f aca="false">D1930&amp;"_"&amp;Config!$B$4</f>
        <v>rece_general</v>
      </c>
      <c r="J1930" s="10" t="str">
        <f aca="false">"https://"&amp;B1930&amp;G1930&amp;"?utm_source="&amp;E1930&amp;"&amp;utm_medium="&amp;F1930&amp;"&amp;utm_campaign="&amp;H1930&amp;"&amp;utm_content="&amp;I1930</f>
        <v>https://the3webs.com/?utm_source=orcid&amp;utm_medium=referral&amp;utm_campaign=2610_ff_lansare&amp;utm_content=rece_general</v>
      </c>
    </row>
    <row r="1931" customFormat="false" ht="15" hidden="false" customHeight="false" outlineLevel="0" collapsed="false">
      <c r="A1931" s="10" t="s">
        <v>92</v>
      </c>
      <c r="B1931" s="10" t="str">
        <f aca="false">INDEX('Site-uri'!$B$2:$B$20,MATCH(A1931,'Site-uri'!$A$2:$A$20,0))</f>
        <v>the3webs.com</v>
      </c>
      <c r="C1931" s="10" t="s">
        <v>173</v>
      </c>
      <c r="D1931" s="10" t="s">
        <v>225</v>
      </c>
      <c r="E1931" s="10" t="str">
        <f aca="false">INDEX(Canale!$C$2:$C$30,MATCH(C1931,Canale!$A$2:$A$30,0))</f>
        <v>orcid</v>
      </c>
      <c r="F1931" s="10" t="str">
        <f aca="false">INDEX(Canale!$D$2:$D$30,MATCH(C1931,Canale!$A$2:$A$30,0))</f>
        <v>referral</v>
      </c>
      <c r="G1931" s="10" t="str">
        <f aca="false">INDEX('Site-uri'!$C$2:$C$20,MATCH(A1931,'Site-uri'!$A$2:$A$20,0))</f>
        <v>/</v>
      </c>
      <c r="H1931" s="10" t="str">
        <f aca="false">Config!$B$3</f>
        <v>2610_ff_lansare</v>
      </c>
      <c r="I1931" s="10" t="str">
        <f aca="false">D1931&amp;"_"&amp;Config!$B$4</f>
        <v>cald_general</v>
      </c>
      <c r="J1931" s="10" t="str">
        <f aca="false">"https://"&amp;B1931&amp;G1931&amp;"?utm_source="&amp;E1931&amp;"&amp;utm_medium="&amp;F1931&amp;"&amp;utm_campaign="&amp;H1931&amp;"&amp;utm_content="&amp;I1931</f>
        <v>https://the3webs.com/?utm_source=orcid&amp;utm_medium=referral&amp;utm_campaign=2610_ff_lansare&amp;utm_content=cald_general</v>
      </c>
    </row>
    <row r="1932" customFormat="false" ht="15" hidden="false" customHeight="false" outlineLevel="0" collapsed="false">
      <c r="A1932" s="10" t="s">
        <v>92</v>
      </c>
      <c r="B1932" s="10" t="str">
        <f aca="false">INDEX('Site-uri'!$B$2:$B$20,MATCH(A1932,'Site-uri'!$A$2:$A$20,0))</f>
        <v>the3webs.com</v>
      </c>
      <c r="C1932" s="10" t="s">
        <v>173</v>
      </c>
      <c r="D1932" s="10" t="s">
        <v>231</v>
      </c>
      <c r="E1932" s="10" t="str">
        <f aca="false">INDEX(Canale!$C$2:$C$30,MATCH(C1932,Canale!$A$2:$A$30,0))</f>
        <v>orcid</v>
      </c>
      <c r="F1932" s="10" t="str">
        <f aca="false">INDEX(Canale!$D$2:$D$30,MATCH(C1932,Canale!$A$2:$A$30,0))</f>
        <v>referral</v>
      </c>
      <c r="G1932" s="10" t="str">
        <f aca="false">INDEX('Site-uri'!$C$2:$C$20,MATCH(A1932,'Site-uri'!$A$2:$A$20,0))</f>
        <v>/</v>
      </c>
      <c r="H1932" s="10" t="str">
        <f aca="false">Config!$B$3</f>
        <v>2610_ff_lansare</v>
      </c>
      <c r="I1932" s="10" t="str">
        <f aca="false">D1932&amp;"_"&amp;Config!$B$4</f>
        <v>fierbinte_general</v>
      </c>
      <c r="J1932" s="10" t="str">
        <f aca="false">"https://"&amp;B1932&amp;G1932&amp;"?utm_source="&amp;E1932&amp;"&amp;utm_medium="&amp;F1932&amp;"&amp;utm_campaign="&amp;H1932&amp;"&amp;utm_content="&amp;I1932</f>
        <v>https://the3webs.com/?utm_source=orcid&amp;utm_medium=referral&amp;utm_campaign=2610_ff_lansare&amp;utm_content=fierbinte_general</v>
      </c>
    </row>
    <row r="1933" customFormat="false" ht="15" hidden="false" customHeight="false" outlineLevel="0" collapsed="false">
      <c r="A1933" s="10" t="s">
        <v>92</v>
      </c>
      <c r="B1933" s="10" t="str">
        <f aca="false">INDEX('Site-uri'!$B$2:$B$20,MATCH(A1933,'Site-uri'!$A$2:$A$20,0))</f>
        <v>the3webs.com</v>
      </c>
      <c r="C1933" s="10" t="s">
        <v>173</v>
      </c>
      <c r="D1933" s="10" t="s">
        <v>237</v>
      </c>
      <c r="E1933" s="10" t="str">
        <f aca="false">INDEX(Canale!$C$2:$C$30,MATCH(C1933,Canale!$A$2:$A$30,0))</f>
        <v>orcid</v>
      </c>
      <c r="F1933" s="10" t="str">
        <f aca="false">INDEX(Canale!$D$2:$D$30,MATCH(C1933,Canale!$A$2:$A$30,0))</f>
        <v>referral</v>
      </c>
      <c r="G1933" s="10" t="str">
        <f aca="false">INDEX('Site-uri'!$C$2:$C$20,MATCH(A1933,'Site-uri'!$A$2:$A$20,0))</f>
        <v>/</v>
      </c>
      <c r="H1933" s="10" t="str">
        <f aca="false">Config!$B$3</f>
        <v>2610_ff_lansare</v>
      </c>
      <c r="I1933" s="10" t="str">
        <f aca="false">D1933&amp;"_"&amp;Config!$B$4</f>
        <v>client_general</v>
      </c>
      <c r="J1933" s="10" t="str">
        <f aca="false">"https://"&amp;B1933&amp;G1933&amp;"?utm_source="&amp;E1933&amp;"&amp;utm_medium="&amp;F1933&amp;"&amp;utm_campaign="&amp;H1933&amp;"&amp;utm_content="&amp;I1933</f>
        <v>https://the3webs.com/?utm_source=orcid&amp;utm_medium=referral&amp;utm_campaign=2610_ff_lansare&amp;utm_content=client_general</v>
      </c>
    </row>
    <row r="1934" customFormat="false" ht="15" hidden="false" customHeight="false" outlineLevel="0" collapsed="false">
      <c r="A1934" s="10" t="s">
        <v>92</v>
      </c>
      <c r="B1934" s="10" t="str">
        <f aca="false">INDEX('Site-uri'!$B$2:$B$20,MATCH(A1934,'Site-uri'!$A$2:$A$20,0))</f>
        <v>the3webs.com</v>
      </c>
      <c r="C1934" s="10" t="s">
        <v>176</v>
      </c>
      <c r="D1934" s="10" t="s">
        <v>219</v>
      </c>
      <c r="E1934" s="10" t="str">
        <f aca="false">INDEX(Canale!$C$2:$C$30,MATCH(C1934,Canale!$A$2:$A$30,0))</f>
        <v>github</v>
      </c>
      <c r="F1934" s="10" t="str">
        <f aca="false">INDEX(Canale!$D$2:$D$30,MATCH(C1934,Canale!$A$2:$A$30,0))</f>
        <v>referral</v>
      </c>
      <c r="G1934" s="10" t="str">
        <f aca="false">INDEX('Site-uri'!$C$2:$C$20,MATCH(A1934,'Site-uri'!$A$2:$A$20,0))</f>
        <v>/</v>
      </c>
      <c r="H1934" s="10" t="str">
        <f aca="false">Config!$B$3</f>
        <v>2610_ff_lansare</v>
      </c>
      <c r="I1934" s="10" t="str">
        <f aca="false">D1934&amp;"_"&amp;Config!$B$4</f>
        <v>rece_general</v>
      </c>
      <c r="J1934" s="10" t="str">
        <f aca="false">"https://"&amp;B1934&amp;G1934&amp;"?utm_source="&amp;E1934&amp;"&amp;utm_medium="&amp;F1934&amp;"&amp;utm_campaign="&amp;H1934&amp;"&amp;utm_content="&amp;I1934</f>
        <v>https://the3webs.com/?utm_source=github&amp;utm_medium=referral&amp;utm_campaign=2610_ff_lansare&amp;utm_content=rece_general</v>
      </c>
    </row>
    <row r="1935" customFormat="false" ht="15" hidden="false" customHeight="false" outlineLevel="0" collapsed="false">
      <c r="A1935" s="10" t="s">
        <v>92</v>
      </c>
      <c r="B1935" s="10" t="str">
        <f aca="false">INDEX('Site-uri'!$B$2:$B$20,MATCH(A1935,'Site-uri'!$A$2:$A$20,0))</f>
        <v>the3webs.com</v>
      </c>
      <c r="C1935" s="10" t="s">
        <v>176</v>
      </c>
      <c r="D1935" s="10" t="s">
        <v>225</v>
      </c>
      <c r="E1935" s="10" t="str">
        <f aca="false">INDEX(Canale!$C$2:$C$30,MATCH(C1935,Canale!$A$2:$A$30,0))</f>
        <v>github</v>
      </c>
      <c r="F1935" s="10" t="str">
        <f aca="false">INDEX(Canale!$D$2:$D$30,MATCH(C1935,Canale!$A$2:$A$30,0))</f>
        <v>referral</v>
      </c>
      <c r="G1935" s="10" t="str">
        <f aca="false">INDEX('Site-uri'!$C$2:$C$20,MATCH(A1935,'Site-uri'!$A$2:$A$20,0))</f>
        <v>/</v>
      </c>
      <c r="H1935" s="10" t="str">
        <f aca="false">Config!$B$3</f>
        <v>2610_ff_lansare</v>
      </c>
      <c r="I1935" s="10" t="str">
        <f aca="false">D1935&amp;"_"&amp;Config!$B$4</f>
        <v>cald_general</v>
      </c>
      <c r="J1935" s="10" t="str">
        <f aca="false">"https://"&amp;B1935&amp;G1935&amp;"?utm_source="&amp;E1935&amp;"&amp;utm_medium="&amp;F1935&amp;"&amp;utm_campaign="&amp;H1935&amp;"&amp;utm_content="&amp;I1935</f>
        <v>https://the3webs.com/?utm_source=github&amp;utm_medium=referral&amp;utm_campaign=2610_ff_lansare&amp;utm_content=cald_general</v>
      </c>
    </row>
    <row r="1936" customFormat="false" ht="15" hidden="false" customHeight="false" outlineLevel="0" collapsed="false">
      <c r="A1936" s="10" t="s">
        <v>92</v>
      </c>
      <c r="B1936" s="10" t="str">
        <f aca="false">INDEX('Site-uri'!$B$2:$B$20,MATCH(A1936,'Site-uri'!$A$2:$A$20,0))</f>
        <v>the3webs.com</v>
      </c>
      <c r="C1936" s="10" t="s">
        <v>176</v>
      </c>
      <c r="D1936" s="10" t="s">
        <v>231</v>
      </c>
      <c r="E1936" s="10" t="str">
        <f aca="false">INDEX(Canale!$C$2:$C$30,MATCH(C1936,Canale!$A$2:$A$30,0))</f>
        <v>github</v>
      </c>
      <c r="F1936" s="10" t="str">
        <f aca="false">INDEX(Canale!$D$2:$D$30,MATCH(C1936,Canale!$A$2:$A$30,0))</f>
        <v>referral</v>
      </c>
      <c r="G1936" s="10" t="str">
        <f aca="false">INDEX('Site-uri'!$C$2:$C$20,MATCH(A1936,'Site-uri'!$A$2:$A$20,0))</f>
        <v>/</v>
      </c>
      <c r="H1936" s="10" t="str">
        <f aca="false">Config!$B$3</f>
        <v>2610_ff_lansare</v>
      </c>
      <c r="I1936" s="10" t="str">
        <f aca="false">D1936&amp;"_"&amp;Config!$B$4</f>
        <v>fierbinte_general</v>
      </c>
      <c r="J1936" s="10" t="str">
        <f aca="false">"https://"&amp;B1936&amp;G1936&amp;"?utm_source="&amp;E1936&amp;"&amp;utm_medium="&amp;F1936&amp;"&amp;utm_campaign="&amp;H1936&amp;"&amp;utm_content="&amp;I1936</f>
        <v>https://the3webs.com/?utm_source=github&amp;utm_medium=referral&amp;utm_campaign=2610_ff_lansare&amp;utm_content=fierbinte_general</v>
      </c>
    </row>
    <row r="1937" customFormat="false" ht="15" hidden="false" customHeight="false" outlineLevel="0" collapsed="false">
      <c r="A1937" s="10" t="s">
        <v>92</v>
      </c>
      <c r="B1937" s="10" t="str">
        <f aca="false">INDEX('Site-uri'!$B$2:$B$20,MATCH(A1937,'Site-uri'!$A$2:$A$20,0))</f>
        <v>the3webs.com</v>
      </c>
      <c r="C1937" s="10" t="s">
        <v>176</v>
      </c>
      <c r="D1937" s="10" t="s">
        <v>237</v>
      </c>
      <c r="E1937" s="10" t="str">
        <f aca="false">INDEX(Canale!$C$2:$C$30,MATCH(C1937,Canale!$A$2:$A$30,0))</f>
        <v>github</v>
      </c>
      <c r="F1937" s="10" t="str">
        <f aca="false">INDEX(Canale!$D$2:$D$30,MATCH(C1937,Canale!$A$2:$A$30,0))</f>
        <v>referral</v>
      </c>
      <c r="G1937" s="10" t="str">
        <f aca="false">INDEX('Site-uri'!$C$2:$C$20,MATCH(A1937,'Site-uri'!$A$2:$A$20,0))</f>
        <v>/</v>
      </c>
      <c r="H1937" s="10" t="str">
        <f aca="false">Config!$B$3</f>
        <v>2610_ff_lansare</v>
      </c>
      <c r="I1937" s="10" t="str">
        <f aca="false">D1937&amp;"_"&amp;Config!$B$4</f>
        <v>client_general</v>
      </c>
      <c r="J1937" s="10" t="str">
        <f aca="false">"https://"&amp;B1937&amp;G1937&amp;"?utm_source="&amp;E1937&amp;"&amp;utm_medium="&amp;F1937&amp;"&amp;utm_campaign="&amp;H1937&amp;"&amp;utm_content="&amp;I1937</f>
        <v>https://the3webs.com/?utm_source=github&amp;utm_medium=referral&amp;utm_campaign=2610_ff_lansare&amp;utm_content=client_general</v>
      </c>
    </row>
    <row r="1938" customFormat="false" ht="15" hidden="false" customHeight="false" outlineLevel="0" collapsed="false">
      <c r="A1938" s="10" t="s">
        <v>92</v>
      </c>
      <c r="B1938" s="10" t="str">
        <f aca="false">INDEX('Site-uri'!$B$2:$B$20,MATCH(A1938,'Site-uri'!$A$2:$A$20,0))</f>
        <v>the3webs.com</v>
      </c>
      <c r="C1938" s="10" t="s">
        <v>179</v>
      </c>
      <c r="D1938" s="10" t="s">
        <v>219</v>
      </c>
      <c r="E1938" s="10" t="str">
        <f aca="false">INDEX(Canale!$C$2:$C$30,MATCH(C1938,Canale!$A$2:$A$30,0))</f>
        <v>kdp_book</v>
      </c>
      <c r="F1938" s="10" t="str">
        <f aca="false">INDEX(Canale!$D$2:$D$30,MATCH(C1938,Canale!$A$2:$A$30,0))</f>
        <v>book</v>
      </c>
      <c r="G1938" s="10" t="str">
        <f aca="false">INDEX('Site-uri'!$C$2:$C$20,MATCH(A1938,'Site-uri'!$A$2:$A$20,0))</f>
        <v>/</v>
      </c>
      <c r="H1938" s="10" t="str">
        <f aca="false">Config!$B$3</f>
        <v>2610_ff_lansare</v>
      </c>
      <c r="I1938" s="10" t="str">
        <f aca="false">D1938&amp;"_"&amp;Config!$B$4</f>
        <v>rece_general</v>
      </c>
      <c r="J1938" s="10" t="str">
        <f aca="false">"https://"&amp;B1938&amp;G1938&amp;"?utm_source="&amp;E1938&amp;"&amp;utm_medium="&amp;F1938&amp;"&amp;utm_campaign="&amp;H1938&amp;"&amp;utm_content="&amp;I1938</f>
        <v>https://the3webs.com/?utm_source=kdp_book&amp;utm_medium=book&amp;utm_campaign=2610_ff_lansare&amp;utm_content=rece_general</v>
      </c>
    </row>
    <row r="1939" customFormat="false" ht="15" hidden="false" customHeight="false" outlineLevel="0" collapsed="false">
      <c r="A1939" s="10" t="s">
        <v>92</v>
      </c>
      <c r="B1939" s="10" t="str">
        <f aca="false">INDEX('Site-uri'!$B$2:$B$20,MATCH(A1939,'Site-uri'!$A$2:$A$20,0))</f>
        <v>the3webs.com</v>
      </c>
      <c r="C1939" s="10" t="s">
        <v>179</v>
      </c>
      <c r="D1939" s="10" t="s">
        <v>225</v>
      </c>
      <c r="E1939" s="10" t="str">
        <f aca="false">INDEX(Canale!$C$2:$C$30,MATCH(C1939,Canale!$A$2:$A$30,0))</f>
        <v>kdp_book</v>
      </c>
      <c r="F1939" s="10" t="str">
        <f aca="false">INDEX(Canale!$D$2:$D$30,MATCH(C1939,Canale!$A$2:$A$30,0))</f>
        <v>book</v>
      </c>
      <c r="G1939" s="10" t="str">
        <f aca="false">INDEX('Site-uri'!$C$2:$C$20,MATCH(A1939,'Site-uri'!$A$2:$A$20,0))</f>
        <v>/</v>
      </c>
      <c r="H1939" s="10" t="str">
        <f aca="false">Config!$B$3</f>
        <v>2610_ff_lansare</v>
      </c>
      <c r="I1939" s="10" t="str">
        <f aca="false">D1939&amp;"_"&amp;Config!$B$4</f>
        <v>cald_general</v>
      </c>
      <c r="J1939" s="10" t="str">
        <f aca="false">"https://"&amp;B1939&amp;G1939&amp;"?utm_source="&amp;E1939&amp;"&amp;utm_medium="&amp;F1939&amp;"&amp;utm_campaign="&amp;H1939&amp;"&amp;utm_content="&amp;I1939</f>
        <v>https://the3webs.com/?utm_source=kdp_book&amp;utm_medium=book&amp;utm_campaign=2610_ff_lansare&amp;utm_content=cald_general</v>
      </c>
    </row>
    <row r="1940" customFormat="false" ht="15" hidden="false" customHeight="false" outlineLevel="0" collapsed="false">
      <c r="A1940" s="10" t="s">
        <v>92</v>
      </c>
      <c r="B1940" s="10" t="str">
        <f aca="false">INDEX('Site-uri'!$B$2:$B$20,MATCH(A1940,'Site-uri'!$A$2:$A$20,0))</f>
        <v>the3webs.com</v>
      </c>
      <c r="C1940" s="10" t="s">
        <v>179</v>
      </c>
      <c r="D1940" s="10" t="s">
        <v>231</v>
      </c>
      <c r="E1940" s="10" t="str">
        <f aca="false">INDEX(Canale!$C$2:$C$30,MATCH(C1940,Canale!$A$2:$A$30,0))</f>
        <v>kdp_book</v>
      </c>
      <c r="F1940" s="10" t="str">
        <f aca="false">INDEX(Canale!$D$2:$D$30,MATCH(C1940,Canale!$A$2:$A$30,0))</f>
        <v>book</v>
      </c>
      <c r="G1940" s="10" t="str">
        <f aca="false">INDEX('Site-uri'!$C$2:$C$20,MATCH(A1940,'Site-uri'!$A$2:$A$20,0))</f>
        <v>/</v>
      </c>
      <c r="H1940" s="10" t="str">
        <f aca="false">Config!$B$3</f>
        <v>2610_ff_lansare</v>
      </c>
      <c r="I1940" s="10" t="str">
        <f aca="false">D1940&amp;"_"&amp;Config!$B$4</f>
        <v>fierbinte_general</v>
      </c>
      <c r="J1940" s="10" t="str">
        <f aca="false">"https://"&amp;B1940&amp;G1940&amp;"?utm_source="&amp;E1940&amp;"&amp;utm_medium="&amp;F1940&amp;"&amp;utm_campaign="&amp;H1940&amp;"&amp;utm_content="&amp;I1940</f>
        <v>https://the3webs.com/?utm_source=kdp_book&amp;utm_medium=book&amp;utm_campaign=2610_ff_lansare&amp;utm_content=fierbinte_general</v>
      </c>
    </row>
    <row r="1941" customFormat="false" ht="15" hidden="false" customHeight="false" outlineLevel="0" collapsed="false">
      <c r="A1941" s="10" t="s">
        <v>92</v>
      </c>
      <c r="B1941" s="10" t="str">
        <f aca="false">INDEX('Site-uri'!$B$2:$B$20,MATCH(A1941,'Site-uri'!$A$2:$A$20,0))</f>
        <v>the3webs.com</v>
      </c>
      <c r="C1941" s="10" t="s">
        <v>179</v>
      </c>
      <c r="D1941" s="10" t="s">
        <v>237</v>
      </c>
      <c r="E1941" s="10" t="str">
        <f aca="false">INDEX(Canale!$C$2:$C$30,MATCH(C1941,Canale!$A$2:$A$30,0))</f>
        <v>kdp_book</v>
      </c>
      <c r="F1941" s="10" t="str">
        <f aca="false">INDEX(Canale!$D$2:$D$30,MATCH(C1941,Canale!$A$2:$A$30,0))</f>
        <v>book</v>
      </c>
      <c r="G1941" s="10" t="str">
        <f aca="false">INDEX('Site-uri'!$C$2:$C$20,MATCH(A1941,'Site-uri'!$A$2:$A$20,0))</f>
        <v>/</v>
      </c>
      <c r="H1941" s="10" t="str">
        <f aca="false">Config!$B$3</f>
        <v>2610_ff_lansare</v>
      </c>
      <c r="I1941" s="10" t="str">
        <f aca="false">D1941&amp;"_"&amp;Config!$B$4</f>
        <v>client_general</v>
      </c>
      <c r="J1941" s="10" t="str">
        <f aca="false">"https://"&amp;B1941&amp;G1941&amp;"?utm_source="&amp;E1941&amp;"&amp;utm_medium="&amp;F1941&amp;"&amp;utm_campaign="&amp;H1941&amp;"&amp;utm_content="&amp;I1941</f>
        <v>https://the3webs.com/?utm_source=kdp_book&amp;utm_medium=book&amp;utm_campaign=2610_ff_lansare&amp;utm_content=client_general</v>
      </c>
    </row>
    <row r="1942" customFormat="false" ht="15" hidden="false" customHeight="false" outlineLevel="0" collapsed="false">
      <c r="A1942" s="10" t="s">
        <v>92</v>
      </c>
      <c r="B1942" s="10" t="str">
        <f aca="false">INDEX('Site-uri'!$B$2:$B$20,MATCH(A1942,'Site-uri'!$A$2:$A$20,0))</f>
        <v>the3webs.com</v>
      </c>
      <c r="C1942" s="10" t="s">
        <v>184</v>
      </c>
      <c r="D1942" s="10" t="s">
        <v>219</v>
      </c>
      <c r="E1942" s="10" t="str">
        <f aca="false">INDEX(Canale!$C$2:$C$30,MATCH(C1942,Canale!$A$2:$A$30,0))</f>
        <v>udemy</v>
      </c>
      <c r="F1942" s="10" t="str">
        <f aca="false">INDEX(Canale!$D$2:$D$30,MATCH(C1942,Canale!$A$2:$A$30,0))</f>
        <v>course</v>
      </c>
      <c r="G1942" s="10" t="str">
        <f aca="false">INDEX('Site-uri'!$C$2:$C$20,MATCH(A1942,'Site-uri'!$A$2:$A$20,0))</f>
        <v>/</v>
      </c>
      <c r="H1942" s="10" t="str">
        <f aca="false">Config!$B$3</f>
        <v>2610_ff_lansare</v>
      </c>
      <c r="I1942" s="10" t="str">
        <f aca="false">D1942&amp;"_"&amp;Config!$B$4</f>
        <v>rece_general</v>
      </c>
      <c r="J1942" s="10" t="str">
        <f aca="false">"https://"&amp;B1942&amp;G1942&amp;"?utm_source="&amp;E1942&amp;"&amp;utm_medium="&amp;F1942&amp;"&amp;utm_campaign="&amp;H1942&amp;"&amp;utm_content="&amp;I1942</f>
        <v>https://the3webs.com/?utm_source=udemy&amp;utm_medium=course&amp;utm_campaign=2610_ff_lansare&amp;utm_content=rece_general</v>
      </c>
    </row>
    <row r="1943" customFormat="false" ht="15" hidden="false" customHeight="false" outlineLevel="0" collapsed="false">
      <c r="A1943" s="10" t="s">
        <v>92</v>
      </c>
      <c r="B1943" s="10" t="str">
        <f aca="false">INDEX('Site-uri'!$B$2:$B$20,MATCH(A1943,'Site-uri'!$A$2:$A$20,0))</f>
        <v>the3webs.com</v>
      </c>
      <c r="C1943" s="10" t="s">
        <v>184</v>
      </c>
      <c r="D1943" s="10" t="s">
        <v>225</v>
      </c>
      <c r="E1943" s="10" t="str">
        <f aca="false">INDEX(Canale!$C$2:$C$30,MATCH(C1943,Canale!$A$2:$A$30,0))</f>
        <v>udemy</v>
      </c>
      <c r="F1943" s="10" t="str">
        <f aca="false">INDEX(Canale!$D$2:$D$30,MATCH(C1943,Canale!$A$2:$A$30,0))</f>
        <v>course</v>
      </c>
      <c r="G1943" s="10" t="str">
        <f aca="false">INDEX('Site-uri'!$C$2:$C$20,MATCH(A1943,'Site-uri'!$A$2:$A$20,0))</f>
        <v>/</v>
      </c>
      <c r="H1943" s="10" t="str">
        <f aca="false">Config!$B$3</f>
        <v>2610_ff_lansare</v>
      </c>
      <c r="I1943" s="10" t="str">
        <f aca="false">D1943&amp;"_"&amp;Config!$B$4</f>
        <v>cald_general</v>
      </c>
      <c r="J1943" s="10" t="str">
        <f aca="false">"https://"&amp;B1943&amp;G1943&amp;"?utm_source="&amp;E1943&amp;"&amp;utm_medium="&amp;F1943&amp;"&amp;utm_campaign="&amp;H1943&amp;"&amp;utm_content="&amp;I1943</f>
        <v>https://the3webs.com/?utm_source=udemy&amp;utm_medium=course&amp;utm_campaign=2610_ff_lansare&amp;utm_content=cald_general</v>
      </c>
    </row>
    <row r="1944" customFormat="false" ht="15" hidden="false" customHeight="false" outlineLevel="0" collapsed="false">
      <c r="A1944" s="10" t="s">
        <v>92</v>
      </c>
      <c r="B1944" s="10" t="str">
        <f aca="false">INDEX('Site-uri'!$B$2:$B$20,MATCH(A1944,'Site-uri'!$A$2:$A$20,0))</f>
        <v>the3webs.com</v>
      </c>
      <c r="C1944" s="10" t="s">
        <v>184</v>
      </c>
      <c r="D1944" s="10" t="s">
        <v>231</v>
      </c>
      <c r="E1944" s="10" t="str">
        <f aca="false">INDEX(Canale!$C$2:$C$30,MATCH(C1944,Canale!$A$2:$A$30,0))</f>
        <v>udemy</v>
      </c>
      <c r="F1944" s="10" t="str">
        <f aca="false">INDEX(Canale!$D$2:$D$30,MATCH(C1944,Canale!$A$2:$A$30,0))</f>
        <v>course</v>
      </c>
      <c r="G1944" s="10" t="str">
        <f aca="false">INDEX('Site-uri'!$C$2:$C$20,MATCH(A1944,'Site-uri'!$A$2:$A$20,0))</f>
        <v>/</v>
      </c>
      <c r="H1944" s="10" t="str">
        <f aca="false">Config!$B$3</f>
        <v>2610_ff_lansare</v>
      </c>
      <c r="I1944" s="10" t="str">
        <f aca="false">D1944&amp;"_"&amp;Config!$B$4</f>
        <v>fierbinte_general</v>
      </c>
      <c r="J1944" s="10" t="str">
        <f aca="false">"https://"&amp;B1944&amp;G1944&amp;"?utm_source="&amp;E1944&amp;"&amp;utm_medium="&amp;F1944&amp;"&amp;utm_campaign="&amp;H1944&amp;"&amp;utm_content="&amp;I1944</f>
        <v>https://the3webs.com/?utm_source=udemy&amp;utm_medium=course&amp;utm_campaign=2610_ff_lansare&amp;utm_content=fierbinte_general</v>
      </c>
    </row>
    <row r="1945" customFormat="false" ht="15" hidden="false" customHeight="false" outlineLevel="0" collapsed="false">
      <c r="A1945" s="10" t="s">
        <v>92</v>
      </c>
      <c r="B1945" s="10" t="str">
        <f aca="false">INDEX('Site-uri'!$B$2:$B$20,MATCH(A1945,'Site-uri'!$A$2:$A$20,0))</f>
        <v>the3webs.com</v>
      </c>
      <c r="C1945" s="10" t="s">
        <v>184</v>
      </c>
      <c r="D1945" s="10" t="s">
        <v>237</v>
      </c>
      <c r="E1945" s="10" t="str">
        <f aca="false">INDEX(Canale!$C$2:$C$30,MATCH(C1945,Canale!$A$2:$A$30,0))</f>
        <v>udemy</v>
      </c>
      <c r="F1945" s="10" t="str">
        <f aca="false">INDEX(Canale!$D$2:$D$30,MATCH(C1945,Canale!$A$2:$A$30,0))</f>
        <v>course</v>
      </c>
      <c r="G1945" s="10" t="str">
        <f aca="false">INDEX('Site-uri'!$C$2:$C$20,MATCH(A1945,'Site-uri'!$A$2:$A$20,0))</f>
        <v>/</v>
      </c>
      <c r="H1945" s="10" t="str">
        <f aca="false">Config!$B$3</f>
        <v>2610_ff_lansare</v>
      </c>
      <c r="I1945" s="10" t="str">
        <f aca="false">D1945&amp;"_"&amp;Config!$B$4</f>
        <v>client_general</v>
      </c>
      <c r="J1945" s="10" t="str">
        <f aca="false">"https://"&amp;B1945&amp;G1945&amp;"?utm_source="&amp;E1945&amp;"&amp;utm_medium="&amp;F1945&amp;"&amp;utm_campaign="&amp;H1945&amp;"&amp;utm_content="&amp;I1945</f>
        <v>https://the3webs.com/?utm_source=udemy&amp;utm_medium=course&amp;utm_campaign=2610_ff_lansare&amp;utm_content=client_general</v>
      </c>
    </row>
    <row r="1946" customFormat="false" ht="15" hidden="false" customHeight="false" outlineLevel="0" collapsed="false">
      <c r="A1946" s="10" t="s">
        <v>92</v>
      </c>
      <c r="B1946" s="10" t="str">
        <f aca="false">INDEX('Site-uri'!$B$2:$B$20,MATCH(A1946,'Site-uri'!$A$2:$A$20,0))</f>
        <v>the3webs.com</v>
      </c>
      <c r="C1946" s="10" t="s">
        <v>187</v>
      </c>
      <c r="D1946" s="10" t="s">
        <v>219</v>
      </c>
      <c r="E1946" s="10" t="str">
        <f aca="false">INDEX(Canale!$C$2:$C$30,MATCH(C1946,Canale!$A$2:$A$30,0))</f>
        <v>directory</v>
      </c>
      <c r="F1946" s="10" t="str">
        <f aca="false">INDEX(Canale!$D$2:$D$30,MATCH(C1946,Canale!$A$2:$A$30,0))</f>
        <v>referral</v>
      </c>
      <c r="G1946" s="10" t="str">
        <f aca="false">INDEX('Site-uri'!$C$2:$C$20,MATCH(A1946,'Site-uri'!$A$2:$A$20,0))</f>
        <v>/</v>
      </c>
      <c r="H1946" s="10" t="str">
        <f aca="false">Config!$B$3</f>
        <v>2610_ff_lansare</v>
      </c>
      <c r="I1946" s="10" t="str">
        <f aca="false">D1946&amp;"_"&amp;Config!$B$4</f>
        <v>rece_general</v>
      </c>
      <c r="J1946" s="10" t="str">
        <f aca="false">"https://"&amp;B1946&amp;G1946&amp;"?utm_source="&amp;E1946&amp;"&amp;utm_medium="&amp;F1946&amp;"&amp;utm_campaign="&amp;H1946&amp;"&amp;utm_content="&amp;I1946</f>
        <v>https://the3webs.com/?utm_source=directory&amp;utm_medium=referral&amp;utm_campaign=2610_ff_lansare&amp;utm_content=rece_general</v>
      </c>
    </row>
    <row r="1947" customFormat="false" ht="15" hidden="false" customHeight="false" outlineLevel="0" collapsed="false">
      <c r="A1947" s="10" t="s">
        <v>92</v>
      </c>
      <c r="B1947" s="10" t="str">
        <f aca="false">INDEX('Site-uri'!$B$2:$B$20,MATCH(A1947,'Site-uri'!$A$2:$A$20,0))</f>
        <v>the3webs.com</v>
      </c>
      <c r="C1947" s="10" t="s">
        <v>187</v>
      </c>
      <c r="D1947" s="10" t="s">
        <v>225</v>
      </c>
      <c r="E1947" s="10" t="str">
        <f aca="false">INDEX(Canale!$C$2:$C$30,MATCH(C1947,Canale!$A$2:$A$30,0))</f>
        <v>directory</v>
      </c>
      <c r="F1947" s="10" t="str">
        <f aca="false">INDEX(Canale!$D$2:$D$30,MATCH(C1947,Canale!$A$2:$A$30,0))</f>
        <v>referral</v>
      </c>
      <c r="G1947" s="10" t="str">
        <f aca="false">INDEX('Site-uri'!$C$2:$C$20,MATCH(A1947,'Site-uri'!$A$2:$A$20,0))</f>
        <v>/</v>
      </c>
      <c r="H1947" s="10" t="str">
        <f aca="false">Config!$B$3</f>
        <v>2610_ff_lansare</v>
      </c>
      <c r="I1947" s="10" t="str">
        <f aca="false">D1947&amp;"_"&amp;Config!$B$4</f>
        <v>cald_general</v>
      </c>
      <c r="J1947" s="10" t="str">
        <f aca="false">"https://"&amp;B1947&amp;G1947&amp;"?utm_source="&amp;E1947&amp;"&amp;utm_medium="&amp;F1947&amp;"&amp;utm_campaign="&amp;H1947&amp;"&amp;utm_content="&amp;I1947</f>
        <v>https://the3webs.com/?utm_source=directory&amp;utm_medium=referral&amp;utm_campaign=2610_ff_lansare&amp;utm_content=cald_general</v>
      </c>
    </row>
    <row r="1948" customFormat="false" ht="15" hidden="false" customHeight="false" outlineLevel="0" collapsed="false">
      <c r="A1948" s="10" t="s">
        <v>92</v>
      </c>
      <c r="B1948" s="10" t="str">
        <f aca="false">INDEX('Site-uri'!$B$2:$B$20,MATCH(A1948,'Site-uri'!$A$2:$A$20,0))</f>
        <v>the3webs.com</v>
      </c>
      <c r="C1948" s="10" t="s">
        <v>187</v>
      </c>
      <c r="D1948" s="10" t="s">
        <v>231</v>
      </c>
      <c r="E1948" s="10" t="str">
        <f aca="false">INDEX(Canale!$C$2:$C$30,MATCH(C1948,Canale!$A$2:$A$30,0))</f>
        <v>directory</v>
      </c>
      <c r="F1948" s="10" t="str">
        <f aca="false">INDEX(Canale!$D$2:$D$30,MATCH(C1948,Canale!$A$2:$A$30,0))</f>
        <v>referral</v>
      </c>
      <c r="G1948" s="10" t="str">
        <f aca="false">INDEX('Site-uri'!$C$2:$C$20,MATCH(A1948,'Site-uri'!$A$2:$A$20,0))</f>
        <v>/</v>
      </c>
      <c r="H1948" s="10" t="str">
        <f aca="false">Config!$B$3</f>
        <v>2610_ff_lansare</v>
      </c>
      <c r="I1948" s="10" t="str">
        <f aca="false">D1948&amp;"_"&amp;Config!$B$4</f>
        <v>fierbinte_general</v>
      </c>
      <c r="J1948" s="10" t="str">
        <f aca="false">"https://"&amp;B1948&amp;G1948&amp;"?utm_source="&amp;E1948&amp;"&amp;utm_medium="&amp;F1948&amp;"&amp;utm_campaign="&amp;H1948&amp;"&amp;utm_content="&amp;I1948</f>
        <v>https://the3webs.com/?utm_source=directory&amp;utm_medium=referral&amp;utm_campaign=2610_ff_lansare&amp;utm_content=fierbinte_general</v>
      </c>
    </row>
    <row r="1949" customFormat="false" ht="15" hidden="false" customHeight="false" outlineLevel="0" collapsed="false">
      <c r="A1949" s="10" t="s">
        <v>92</v>
      </c>
      <c r="B1949" s="10" t="str">
        <f aca="false">INDEX('Site-uri'!$B$2:$B$20,MATCH(A1949,'Site-uri'!$A$2:$A$20,0))</f>
        <v>the3webs.com</v>
      </c>
      <c r="C1949" s="10" t="s">
        <v>187</v>
      </c>
      <c r="D1949" s="10" t="s">
        <v>237</v>
      </c>
      <c r="E1949" s="10" t="str">
        <f aca="false">INDEX(Canale!$C$2:$C$30,MATCH(C1949,Canale!$A$2:$A$30,0))</f>
        <v>directory</v>
      </c>
      <c r="F1949" s="10" t="str">
        <f aca="false">INDEX(Canale!$D$2:$D$30,MATCH(C1949,Canale!$A$2:$A$30,0))</f>
        <v>referral</v>
      </c>
      <c r="G1949" s="10" t="str">
        <f aca="false">INDEX('Site-uri'!$C$2:$C$20,MATCH(A1949,'Site-uri'!$A$2:$A$20,0))</f>
        <v>/</v>
      </c>
      <c r="H1949" s="10" t="str">
        <f aca="false">Config!$B$3</f>
        <v>2610_ff_lansare</v>
      </c>
      <c r="I1949" s="10" t="str">
        <f aca="false">D1949&amp;"_"&amp;Config!$B$4</f>
        <v>client_general</v>
      </c>
      <c r="J1949" s="10" t="str">
        <f aca="false">"https://"&amp;B1949&amp;G1949&amp;"?utm_source="&amp;E1949&amp;"&amp;utm_medium="&amp;F1949&amp;"&amp;utm_campaign="&amp;H1949&amp;"&amp;utm_content="&amp;I1949</f>
        <v>https://the3webs.com/?utm_source=directory&amp;utm_medium=referral&amp;utm_campaign=2610_ff_lansare&amp;utm_content=client_general</v>
      </c>
    </row>
    <row r="1950" customFormat="false" ht="15" hidden="false" customHeight="false" outlineLevel="0" collapsed="false">
      <c r="A1950" s="10" t="s">
        <v>92</v>
      </c>
      <c r="B1950" s="10" t="str">
        <f aca="false">INDEX('Site-uri'!$B$2:$B$20,MATCH(A1950,'Site-uri'!$A$2:$A$20,0))</f>
        <v>the3webs.com</v>
      </c>
      <c r="C1950" s="10" t="s">
        <v>191</v>
      </c>
      <c r="D1950" s="10" t="s">
        <v>219</v>
      </c>
      <c r="E1950" s="10" t="str">
        <f aca="false">INDEX(Canale!$C$2:$C$30,MATCH(C1950,Canale!$A$2:$A$30,0))</f>
        <v>partner</v>
      </c>
      <c r="F1950" s="10" t="str">
        <f aca="false">INDEX(Canale!$D$2:$D$30,MATCH(C1950,Canale!$A$2:$A$30,0))</f>
        <v>partner</v>
      </c>
      <c r="G1950" s="10" t="str">
        <f aca="false">INDEX('Site-uri'!$C$2:$C$20,MATCH(A1950,'Site-uri'!$A$2:$A$20,0))</f>
        <v>/</v>
      </c>
      <c r="H1950" s="10" t="str">
        <f aca="false">Config!$B$3</f>
        <v>2610_ff_lansare</v>
      </c>
      <c r="I1950" s="10" t="str">
        <f aca="false">D1950&amp;"_"&amp;Config!$B$4</f>
        <v>rece_general</v>
      </c>
      <c r="J1950" s="10" t="str">
        <f aca="false">"https://"&amp;B1950&amp;G1950&amp;"?utm_source="&amp;E1950&amp;"&amp;utm_medium="&amp;F1950&amp;"&amp;utm_campaign="&amp;H1950&amp;"&amp;utm_content="&amp;I1950</f>
        <v>https://the3webs.com/?utm_source=partner&amp;utm_medium=partner&amp;utm_campaign=2610_ff_lansare&amp;utm_content=rece_general</v>
      </c>
    </row>
    <row r="1951" customFormat="false" ht="15" hidden="false" customHeight="false" outlineLevel="0" collapsed="false">
      <c r="A1951" s="10" t="s">
        <v>92</v>
      </c>
      <c r="B1951" s="10" t="str">
        <f aca="false">INDEX('Site-uri'!$B$2:$B$20,MATCH(A1951,'Site-uri'!$A$2:$A$20,0))</f>
        <v>the3webs.com</v>
      </c>
      <c r="C1951" s="10" t="s">
        <v>191</v>
      </c>
      <c r="D1951" s="10" t="s">
        <v>225</v>
      </c>
      <c r="E1951" s="10" t="str">
        <f aca="false">INDEX(Canale!$C$2:$C$30,MATCH(C1951,Canale!$A$2:$A$30,0))</f>
        <v>partner</v>
      </c>
      <c r="F1951" s="10" t="str">
        <f aca="false">INDEX(Canale!$D$2:$D$30,MATCH(C1951,Canale!$A$2:$A$30,0))</f>
        <v>partner</v>
      </c>
      <c r="G1951" s="10" t="str">
        <f aca="false">INDEX('Site-uri'!$C$2:$C$20,MATCH(A1951,'Site-uri'!$A$2:$A$20,0))</f>
        <v>/</v>
      </c>
      <c r="H1951" s="10" t="str">
        <f aca="false">Config!$B$3</f>
        <v>2610_ff_lansare</v>
      </c>
      <c r="I1951" s="10" t="str">
        <f aca="false">D1951&amp;"_"&amp;Config!$B$4</f>
        <v>cald_general</v>
      </c>
      <c r="J1951" s="10" t="str">
        <f aca="false">"https://"&amp;B1951&amp;G1951&amp;"?utm_source="&amp;E1951&amp;"&amp;utm_medium="&amp;F1951&amp;"&amp;utm_campaign="&amp;H1951&amp;"&amp;utm_content="&amp;I1951</f>
        <v>https://the3webs.com/?utm_source=partner&amp;utm_medium=partner&amp;utm_campaign=2610_ff_lansare&amp;utm_content=cald_general</v>
      </c>
    </row>
    <row r="1952" customFormat="false" ht="15" hidden="false" customHeight="false" outlineLevel="0" collapsed="false">
      <c r="A1952" s="10" t="s">
        <v>92</v>
      </c>
      <c r="B1952" s="10" t="str">
        <f aca="false">INDEX('Site-uri'!$B$2:$B$20,MATCH(A1952,'Site-uri'!$A$2:$A$20,0))</f>
        <v>the3webs.com</v>
      </c>
      <c r="C1952" s="10" t="s">
        <v>191</v>
      </c>
      <c r="D1952" s="10" t="s">
        <v>231</v>
      </c>
      <c r="E1952" s="10" t="str">
        <f aca="false">INDEX(Canale!$C$2:$C$30,MATCH(C1952,Canale!$A$2:$A$30,0))</f>
        <v>partner</v>
      </c>
      <c r="F1952" s="10" t="str">
        <f aca="false">INDEX(Canale!$D$2:$D$30,MATCH(C1952,Canale!$A$2:$A$30,0))</f>
        <v>partner</v>
      </c>
      <c r="G1952" s="10" t="str">
        <f aca="false">INDEX('Site-uri'!$C$2:$C$20,MATCH(A1952,'Site-uri'!$A$2:$A$20,0))</f>
        <v>/</v>
      </c>
      <c r="H1952" s="10" t="str">
        <f aca="false">Config!$B$3</f>
        <v>2610_ff_lansare</v>
      </c>
      <c r="I1952" s="10" t="str">
        <f aca="false">D1952&amp;"_"&amp;Config!$B$4</f>
        <v>fierbinte_general</v>
      </c>
      <c r="J1952" s="10" t="str">
        <f aca="false">"https://"&amp;B1952&amp;G1952&amp;"?utm_source="&amp;E1952&amp;"&amp;utm_medium="&amp;F1952&amp;"&amp;utm_campaign="&amp;H1952&amp;"&amp;utm_content="&amp;I1952</f>
        <v>https://the3webs.com/?utm_source=partner&amp;utm_medium=partner&amp;utm_campaign=2610_ff_lansare&amp;utm_content=fierbinte_general</v>
      </c>
    </row>
    <row r="1953" customFormat="false" ht="15" hidden="false" customHeight="false" outlineLevel="0" collapsed="false">
      <c r="A1953" s="10" t="s">
        <v>92</v>
      </c>
      <c r="B1953" s="10" t="str">
        <f aca="false">INDEX('Site-uri'!$B$2:$B$20,MATCH(A1953,'Site-uri'!$A$2:$A$20,0))</f>
        <v>the3webs.com</v>
      </c>
      <c r="C1953" s="10" t="s">
        <v>191</v>
      </c>
      <c r="D1953" s="10" t="s">
        <v>237</v>
      </c>
      <c r="E1953" s="10" t="str">
        <f aca="false">INDEX(Canale!$C$2:$C$30,MATCH(C1953,Canale!$A$2:$A$30,0))</f>
        <v>partner</v>
      </c>
      <c r="F1953" s="10" t="str">
        <f aca="false">INDEX(Canale!$D$2:$D$30,MATCH(C1953,Canale!$A$2:$A$30,0))</f>
        <v>partner</v>
      </c>
      <c r="G1953" s="10" t="str">
        <f aca="false">INDEX('Site-uri'!$C$2:$C$20,MATCH(A1953,'Site-uri'!$A$2:$A$20,0))</f>
        <v>/</v>
      </c>
      <c r="H1953" s="10" t="str">
        <f aca="false">Config!$B$3</f>
        <v>2610_ff_lansare</v>
      </c>
      <c r="I1953" s="10" t="str">
        <f aca="false">D1953&amp;"_"&amp;Config!$B$4</f>
        <v>client_general</v>
      </c>
      <c r="J1953" s="10" t="str">
        <f aca="false">"https://"&amp;B1953&amp;G1953&amp;"?utm_source="&amp;E1953&amp;"&amp;utm_medium="&amp;F1953&amp;"&amp;utm_campaign="&amp;H1953&amp;"&amp;utm_content="&amp;I1953</f>
        <v>https://the3webs.com/?utm_source=partner&amp;utm_medium=partner&amp;utm_campaign=2610_ff_lansare&amp;utm_content=client_general</v>
      </c>
    </row>
    <row r="1954" customFormat="false" ht="15" hidden="false" customHeight="false" outlineLevel="0" collapsed="false">
      <c r="A1954" s="10" t="s">
        <v>92</v>
      </c>
      <c r="B1954" s="10" t="str">
        <f aca="false">INDEX('Site-uri'!$B$2:$B$20,MATCH(A1954,'Site-uri'!$A$2:$A$20,0))</f>
        <v>the3webs.com</v>
      </c>
      <c r="C1954" s="10" t="s">
        <v>193</v>
      </c>
      <c r="D1954" s="10" t="s">
        <v>219</v>
      </c>
      <c r="E1954" s="10" t="str">
        <f aca="false">INDEX(Canale!$C$2:$C$30,MATCH(C1954,Canale!$A$2:$A$30,0))</f>
        <v>pdf_proposal</v>
      </c>
      <c r="F1954" s="10" t="str">
        <f aca="false">INDEX(Canale!$D$2:$D$30,MATCH(C1954,Canale!$A$2:$A$30,0))</f>
        <v>document</v>
      </c>
      <c r="G1954" s="10" t="str">
        <f aca="false">INDEX('Site-uri'!$C$2:$C$20,MATCH(A1954,'Site-uri'!$A$2:$A$20,0))</f>
        <v>/</v>
      </c>
      <c r="H1954" s="10" t="str">
        <f aca="false">Config!$B$3</f>
        <v>2610_ff_lansare</v>
      </c>
      <c r="I1954" s="10" t="str">
        <f aca="false">D1954&amp;"_"&amp;Config!$B$4</f>
        <v>rece_general</v>
      </c>
      <c r="J1954" s="10" t="str">
        <f aca="false">"https://"&amp;B1954&amp;G1954&amp;"?utm_source="&amp;E1954&amp;"&amp;utm_medium="&amp;F1954&amp;"&amp;utm_campaign="&amp;H1954&amp;"&amp;utm_content="&amp;I1954</f>
        <v>https://the3webs.com/?utm_source=pdf_proposal&amp;utm_medium=document&amp;utm_campaign=2610_ff_lansare&amp;utm_content=rece_general</v>
      </c>
    </row>
    <row r="1955" customFormat="false" ht="15" hidden="false" customHeight="false" outlineLevel="0" collapsed="false">
      <c r="A1955" s="10" t="s">
        <v>92</v>
      </c>
      <c r="B1955" s="10" t="str">
        <f aca="false">INDEX('Site-uri'!$B$2:$B$20,MATCH(A1955,'Site-uri'!$A$2:$A$20,0))</f>
        <v>the3webs.com</v>
      </c>
      <c r="C1955" s="10" t="s">
        <v>193</v>
      </c>
      <c r="D1955" s="10" t="s">
        <v>225</v>
      </c>
      <c r="E1955" s="10" t="str">
        <f aca="false">INDEX(Canale!$C$2:$C$30,MATCH(C1955,Canale!$A$2:$A$30,0))</f>
        <v>pdf_proposal</v>
      </c>
      <c r="F1955" s="10" t="str">
        <f aca="false">INDEX(Canale!$D$2:$D$30,MATCH(C1955,Canale!$A$2:$A$30,0))</f>
        <v>document</v>
      </c>
      <c r="G1955" s="10" t="str">
        <f aca="false">INDEX('Site-uri'!$C$2:$C$20,MATCH(A1955,'Site-uri'!$A$2:$A$20,0))</f>
        <v>/</v>
      </c>
      <c r="H1955" s="10" t="str">
        <f aca="false">Config!$B$3</f>
        <v>2610_ff_lansare</v>
      </c>
      <c r="I1955" s="10" t="str">
        <f aca="false">D1955&amp;"_"&amp;Config!$B$4</f>
        <v>cald_general</v>
      </c>
      <c r="J1955" s="10" t="str">
        <f aca="false">"https://"&amp;B1955&amp;G1955&amp;"?utm_source="&amp;E1955&amp;"&amp;utm_medium="&amp;F1955&amp;"&amp;utm_campaign="&amp;H1955&amp;"&amp;utm_content="&amp;I1955</f>
        <v>https://the3webs.com/?utm_source=pdf_proposal&amp;utm_medium=document&amp;utm_campaign=2610_ff_lansare&amp;utm_content=cald_general</v>
      </c>
    </row>
    <row r="1956" customFormat="false" ht="15" hidden="false" customHeight="false" outlineLevel="0" collapsed="false">
      <c r="A1956" s="10" t="s">
        <v>92</v>
      </c>
      <c r="B1956" s="10" t="str">
        <f aca="false">INDEX('Site-uri'!$B$2:$B$20,MATCH(A1956,'Site-uri'!$A$2:$A$20,0))</f>
        <v>the3webs.com</v>
      </c>
      <c r="C1956" s="10" t="s">
        <v>193</v>
      </c>
      <c r="D1956" s="10" t="s">
        <v>231</v>
      </c>
      <c r="E1956" s="10" t="str">
        <f aca="false">INDEX(Canale!$C$2:$C$30,MATCH(C1956,Canale!$A$2:$A$30,0))</f>
        <v>pdf_proposal</v>
      </c>
      <c r="F1956" s="10" t="str">
        <f aca="false">INDEX(Canale!$D$2:$D$30,MATCH(C1956,Canale!$A$2:$A$30,0))</f>
        <v>document</v>
      </c>
      <c r="G1956" s="10" t="str">
        <f aca="false">INDEX('Site-uri'!$C$2:$C$20,MATCH(A1956,'Site-uri'!$A$2:$A$20,0))</f>
        <v>/</v>
      </c>
      <c r="H1956" s="10" t="str">
        <f aca="false">Config!$B$3</f>
        <v>2610_ff_lansare</v>
      </c>
      <c r="I1956" s="10" t="str">
        <f aca="false">D1956&amp;"_"&amp;Config!$B$4</f>
        <v>fierbinte_general</v>
      </c>
      <c r="J1956" s="10" t="str">
        <f aca="false">"https://"&amp;B1956&amp;G1956&amp;"?utm_source="&amp;E1956&amp;"&amp;utm_medium="&amp;F1956&amp;"&amp;utm_campaign="&amp;H1956&amp;"&amp;utm_content="&amp;I1956</f>
        <v>https://the3webs.com/?utm_source=pdf_proposal&amp;utm_medium=document&amp;utm_campaign=2610_ff_lansare&amp;utm_content=fierbinte_general</v>
      </c>
    </row>
    <row r="1957" customFormat="false" ht="15" hidden="false" customHeight="false" outlineLevel="0" collapsed="false">
      <c r="A1957" s="10" t="s">
        <v>92</v>
      </c>
      <c r="B1957" s="10" t="str">
        <f aca="false">INDEX('Site-uri'!$B$2:$B$20,MATCH(A1957,'Site-uri'!$A$2:$A$20,0))</f>
        <v>the3webs.com</v>
      </c>
      <c r="C1957" s="10" t="s">
        <v>193</v>
      </c>
      <c r="D1957" s="10" t="s">
        <v>237</v>
      </c>
      <c r="E1957" s="10" t="str">
        <f aca="false">INDEX(Canale!$C$2:$C$30,MATCH(C1957,Canale!$A$2:$A$30,0))</f>
        <v>pdf_proposal</v>
      </c>
      <c r="F1957" s="10" t="str">
        <f aca="false">INDEX(Canale!$D$2:$D$30,MATCH(C1957,Canale!$A$2:$A$30,0))</f>
        <v>document</v>
      </c>
      <c r="G1957" s="10" t="str">
        <f aca="false">INDEX('Site-uri'!$C$2:$C$20,MATCH(A1957,'Site-uri'!$A$2:$A$20,0))</f>
        <v>/</v>
      </c>
      <c r="H1957" s="10" t="str">
        <f aca="false">Config!$B$3</f>
        <v>2610_ff_lansare</v>
      </c>
      <c r="I1957" s="10" t="str">
        <f aca="false">D1957&amp;"_"&amp;Config!$B$4</f>
        <v>client_general</v>
      </c>
      <c r="J1957" s="10" t="str">
        <f aca="false">"https://"&amp;B1957&amp;G1957&amp;"?utm_source="&amp;E1957&amp;"&amp;utm_medium="&amp;F1957&amp;"&amp;utm_campaign="&amp;H1957&amp;"&amp;utm_content="&amp;I1957</f>
        <v>https://the3webs.com/?utm_source=pdf_proposal&amp;utm_medium=document&amp;utm_campaign=2610_ff_lansare&amp;utm_content=client_general</v>
      </c>
    </row>
    <row r="1958" customFormat="false" ht="15" hidden="false" customHeight="false" outlineLevel="0" collapsed="false">
      <c r="A1958" s="10" t="s">
        <v>92</v>
      </c>
      <c r="B1958" s="10" t="str">
        <f aca="false">INDEX('Site-uri'!$B$2:$B$20,MATCH(A1958,'Site-uri'!$A$2:$A$20,0))</f>
        <v>the3webs.com</v>
      </c>
      <c r="C1958" s="10" t="s">
        <v>198</v>
      </c>
      <c r="D1958" s="10" t="s">
        <v>219</v>
      </c>
      <c r="E1958" s="10" t="str">
        <f aca="false">INDEX(Canale!$C$2:$C$30,MATCH(C1958,Canale!$A$2:$A$30,0))</f>
        <v>qr_print</v>
      </c>
      <c r="F1958" s="10" t="str">
        <f aca="false">INDEX(Canale!$D$2:$D$30,MATCH(C1958,Canale!$A$2:$A$30,0))</f>
        <v>qr</v>
      </c>
      <c r="G1958" s="10" t="str">
        <f aca="false">INDEX('Site-uri'!$C$2:$C$20,MATCH(A1958,'Site-uri'!$A$2:$A$20,0))</f>
        <v>/</v>
      </c>
      <c r="H1958" s="10" t="str">
        <f aca="false">Config!$B$3</f>
        <v>2610_ff_lansare</v>
      </c>
      <c r="I1958" s="10" t="str">
        <f aca="false">D1958&amp;"_"&amp;Config!$B$4</f>
        <v>rece_general</v>
      </c>
      <c r="J1958" s="10" t="str">
        <f aca="false">"https://"&amp;B1958&amp;G1958&amp;"?utm_source="&amp;E1958&amp;"&amp;utm_medium="&amp;F1958&amp;"&amp;utm_campaign="&amp;H1958&amp;"&amp;utm_content="&amp;I1958</f>
        <v>https://the3webs.com/?utm_source=qr_print&amp;utm_medium=qr&amp;utm_campaign=2610_ff_lansare&amp;utm_content=rece_general</v>
      </c>
    </row>
    <row r="1959" customFormat="false" ht="15" hidden="false" customHeight="false" outlineLevel="0" collapsed="false">
      <c r="A1959" s="10" t="s">
        <v>92</v>
      </c>
      <c r="B1959" s="10" t="str">
        <f aca="false">INDEX('Site-uri'!$B$2:$B$20,MATCH(A1959,'Site-uri'!$A$2:$A$20,0))</f>
        <v>the3webs.com</v>
      </c>
      <c r="C1959" s="10" t="s">
        <v>198</v>
      </c>
      <c r="D1959" s="10" t="s">
        <v>225</v>
      </c>
      <c r="E1959" s="10" t="str">
        <f aca="false">INDEX(Canale!$C$2:$C$30,MATCH(C1959,Canale!$A$2:$A$30,0))</f>
        <v>qr_print</v>
      </c>
      <c r="F1959" s="10" t="str">
        <f aca="false">INDEX(Canale!$D$2:$D$30,MATCH(C1959,Canale!$A$2:$A$30,0))</f>
        <v>qr</v>
      </c>
      <c r="G1959" s="10" t="str">
        <f aca="false">INDEX('Site-uri'!$C$2:$C$20,MATCH(A1959,'Site-uri'!$A$2:$A$20,0))</f>
        <v>/</v>
      </c>
      <c r="H1959" s="10" t="str">
        <f aca="false">Config!$B$3</f>
        <v>2610_ff_lansare</v>
      </c>
      <c r="I1959" s="10" t="str">
        <f aca="false">D1959&amp;"_"&amp;Config!$B$4</f>
        <v>cald_general</v>
      </c>
      <c r="J1959" s="10" t="str">
        <f aca="false">"https://"&amp;B1959&amp;G1959&amp;"?utm_source="&amp;E1959&amp;"&amp;utm_medium="&amp;F1959&amp;"&amp;utm_campaign="&amp;H1959&amp;"&amp;utm_content="&amp;I1959</f>
        <v>https://the3webs.com/?utm_source=qr_print&amp;utm_medium=qr&amp;utm_campaign=2610_ff_lansare&amp;utm_content=cald_general</v>
      </c>
    </row>
    <row r="1960" customFormat="false" ht="15" hidden="false" customHeight="false" outlineLevel="0" collapsed="false">
      <c r="A1960" s="10" t="s">
        <v>92</v>
      </c>
      <c r="B1960" s="10" t="str">
        <f aca="false">INDEX('Site-uri'!$B$2:$B$20,MATCH(A1960,'Site-uri'!$A$2:$A$20,0))</f>
        <v>the3webs.com</v>
      </c>
      <c r="C1960" s="10" t="s">
        <v>198</v>
      </c>
      <c r="D1960" s="10" t="s">
        <v>231</v>
      </c>
      <c r="E1960" s="10" t="str">
        <f aca="false">INDEX(Canale!$C$2:$C$30,MATCH(C1960,Canale!$A$2:$A$30,0))</f>
        <v>qr_print</v>
      </c>
      <c r="F1960" s="10" t="str">
        <f aca="false">INDEX(Canale!$D$2:$D$30,MATCH(C1960,Canale!$A$2:$A$30,0))</f>
        <v>qr</v>
      </c>
      <c r="G1960" s="10" t="str">
        <f aca="false">INDEX('Site-uri'!$C$2:$C$20,MATCH(A1960,'Site-uri'!$A$2:$A$20,0))</f>
        <v>/</v>
      </c>
      <c r="H1960" s="10" t="str">
        <f aca="false">Config!$B$3</f>
        <v>2610_ff_lansare</v>
      </c>
      <c r="I1960" s="10" t="str">
        <f aca="false">D1960&amp;"_"&amp;Config!$B$4</f>
        <v>fierbinte_general</v>
      </c>
      <c r="J1960" s="10" t="str">
        <f aca="false">"https://"&amp;B1960&amp;G1960&amp;"?utm_source="&amp;E1960&amp;"&amp;utm_medium="&amp;F1960&amp;"&amp;utm_campaign="&amp;H1960&amp;"&amp;utm_content="&amp;I1960</f>
        <v>https://the3webs.com/?utm_source=qr_print&amp;utm_medium=qr&amp;utm_campaign=2610_ff_lansare&amp;utm_content=fierbinte_general</v>
      </c>
    </row>
    <row r="1961" customFormat="false" ht="15" hidden="false" customHeight="false" outlineLevel="0" collapsed="false">
      <c r="A1961" s="10" t="s">
        <v>92</v>
      </c>
      <c r="B1961" s="10" t="str">
        <f aca="false">INDEX('Site-uri'!$B$2:$B$20,MATCH(A1961,'Site-uri'!$A$2:$A$20,0))</f>
        <v>the3webs.com</v>
      </c>
      <c r="C1961" s="10" t="s">
        <v>198</v>
      </c>
      <c r="D1961" s="10" t="s">
        <v>237</v>
      </c>
      <c r="E1961" s="10" t="str">
        <f aca="false">INDEX(Canale!$C$2:$C$30,MATCH(C1961,Canale!$A$2:$A$30,0))</f>
        <v>qr_print</v>
      </c>
      <c r="F1961" s="10" t="str">
        <f aca="false">INDEX(Canale!$D$2:$D$30,MATCH(C1961,Canale!$A$2:$A$30,0))</f>
        <v>qr</v>
      </c>
      <c r="G1961" s="10" t="str">
        <f aca="false">INDEX('Site-uri'!$C$2:$C$20,MATCH(A1961,'Site-uri'!$A$2:$A$20,0))</f>
        <v>/</v>
      </c>
      <c r="H1961" s="10" t="str">
        <f aca="false">Config!$B$3</f>
        <v>2610_ff_lansare</v>
      </c>
      <c r="I1961" s="10" t="str">
        <f aca="false">D1961&amp;"_"&amp;Config!$B$4</f>
        <v>client_general</v>
      </c>
      <c r="J1961" s="10" t="str">
        <f aca="false">"https://"&amp;B1961&amp;G1961&amp;"?utm_source="&amp;E1961&amp;"&amp;utm_medium="&amp;F1961&amp;"&amp;utm_campaign="&amp;H1961&amp;"&amp;utm_content="&amp;I1961</f>
        <v>https://the3webs.com/?utm_source=qr_print&amp;utm_medium=qr&amp;utm_campaign=2610_ff_lansare&amp;utm_content=client_general</v>
      </c>
    </row>
    <row r="1962" customFormat="false" ht="15" hidden="false" customHeight="false" outlineLevel="0" collapsed="false">
      <c r="A1962" s="10" t="s">
        <v>92</v>
      </c>
      <c r="B1962" s="10" t="str">
        <f aca="false">INDEX('Site-uri'!$B$2:$B$20,MATCH(A1962,'Site-uri'!$A$2:$A$20,0))</f>
        <v>the3webs.com</v>
      </c>
      <c r="C1962" s="10" t="s">
        <v>202</v>
      </c>
      <c r="D1962" s="10" t="s">
        <v>219</v>
      </c>
      <c r="E1962" s="10" t="str">
        <f aca="false">INDEX(Canale!$C$2:$C$30,MATCH(C1962,Canale!$A$2:$A$30,0))</f>
        <v>event</v>
      </c>
      <c r="F1962" s="10" t="str">
        <f aca="false">INDEX(Canale!$D$2:$D$30,MATCH(C1962,Canale!$A$2:$A$30,0))</f>
        <v>event</v>
      </c>
      <c r="G1962" s="10" t="str">
        <f aca="false">INDEX('Site-uri'!$C$2:$C$20,MATCH(A1962,'Site-uri'!$A$2:$A$20,0))</f>
        <v>/</v>
      </c>
      <c r="H1962" s="10" t="str">
        <f aca="false">Config!$B$3</f>
        <v>2610_ff_lansare</v>
      </c>
      <c r="I1962" s="10" t="str">
        <f aca="false">D1962&amp;"_"&amp;Config!$B$4</f>
        <v>rece_general</v>
      </c>
      <c r="J1962" s="10" t="str">
        <f aca="false">"https://"&amp;B1962&amp;G1962&amp;"?utm_source="&amp;E1962&amp;"&amp;utm_medium="&amp;F1962&amp;"&amp;utm_campaign="&amp;H1962&amp;"&amp;utm_content="&amp;I1962</f>
        <v>https://the3webs.com/?utm_source=event&amp;utm_medium=event&amp;utm_campaign=2610_ff_lansare&amp;utm_content=rece_general</v>
      </c>
    </row>
    <row r="1963" customFormat="false" ht="15" hidden="false" customHeight="false" outlineLevel="0" collapsed="false">
      <c r="A1963" s="10" t="s">
        <v>92</v>
      </c>
      <c r="B1963" s="10" t="str">
        <f aca="false">INDEX('Site-uri'!$B$2:$B$20,MATCH(A1963,'Site-uri'!$A$2:$A$20,0))</f>
        <v>the3webs.com</v>
      </c>
      <c r="C1963" s="10" t="s">
        <v>202</v>
      </c>
      <c r="D1963" s="10" t="s">
        <v>225</v>
      </c>
      <c r="E1963" s="10" t="str">
        <f aca="false">INDEX(Canale!$C$2:$C$30,MATCH(C1963,Canale!$A$2:$A$30,0))</f>
        <v>event</v>
      </c>
      <c r="F1963" s="10" t="str">
        <f aca="false">INDEX(Canale!$D$2:$D$30,MATCH(C1963,Canale!$A$2:$A$30,0))</f>
        <v>event</v>
      </c>
      <c r="G1963" s="10" t="str">
        <f aca="false">INDEX('Site-uri'!$C$2:$C$20,MATCH(A1963,'Site-uri'!$A$2:$A$20,0))</f>
        <v>/</v>
      </c>
      <c r="H1963" s="10" t="str">
        <f aca="false">Config!$B$3</f>
        <v>2610_ff_lansare</v>
      </c>
      <c r="I1963" s="10" t="str">
        <f aca="false">D1963&amp;"_"&amp;Config!$B$4</f>
        <v>cald_general</v>
      </c>
      <c r="J1963" s="10" t="str">
        <f aca="false">"https://"&amp;B1963&amp;G1963&amp;"?utm_source="&amp;E1963&amp;"&amp;utm_medium="&amp;F1963&amp;"&amp;utm_campaign="&amp;H1963&amp;"&amp;utm_content="&amp;I1963</f>
        <v>https://the3webs.com/?utm_source=event&amp;utm_medium=event&amp;utm_campaign=2610_ff_lansare&amp;utm_content=cald_general</v>
      </c>
    </row>
    <row r="1964" customFormat="false" ht="15" hidden="false" customHeight="false" outlineLevel="0" collapsed="false">
      <c r="A1964" s="10" t="s">
        <v>92</v>
      </c>
      <c r="B1964" s="10" t="str">
        <f aca="false">INDEX('Site-uri'!$B$2:$B$20,MATCH(A1964,'Site-uri'!$A$2:$A$20,0))</f>
        <v>the3webs.com</v>
      </c>
      <c r="C1964" s="10" t="s">
        <v>202</v>
      </c>
      <c r="D1964" s="10" t="s">
        <v>231</v>
      </c>
      <c r="E1964" s="10" t="str">
        <f aca="false">INDEX(Canale!$C$2:$C$30,MATCH(C1964,Canale!$A$2:$A$30,0))</f>
        <v>event</v>
      </c>
      <c r="F1964" s="10" t="str">
        <f aca="false">INDEX(Canale!$D$2:$D$30,MATCH(C1964,Canale!$A$2:$A$30,0))</f>
        <v>event</v>
      </c>
      <c r="G1964" s="10" t="str">
        <f aca="false">INDEX('Site-uri'!$C$2:$C$20,MATCH(A1964,'Site-uri'!$A$2:$A$20,0))</f>
        <v>/</v>
      </c>
      <c r="H1964" s="10" t="str">
        <f aca="false">Config!$B$3</f>
        <v>2610_ff_lansare</v>
      </c>
      <c r="I1964" s="10" t="str">
        <f aca="false">D1964&amp;"_"&amp;Config!$B$4</f>
        <v>fierbinte_general</v>
      </c>
      <c r="J1964" s="10" t="str">
        <f aca="false">"https://"&amp;B1964&amp;G1964&amp;"?utm_source="&amp;E1964&amp;"&amp;utm_medium="&amp;F1964&amp;"&amp;utm_campaign="&amp;H1964&amp;"&amp;utm_content="&amp;I1964</f>
        <v>https://the3webs.com/?utm_source=event&amp;utm_medium=event&amp;utm_campaign=2610_ff_lansare&amp;utm_content=fierbinte_general</v>
      </c>
    </row>
    <row r="1965" customFormat="false" ht="15" hidden="false" customHeight="false" outlineLevel="0" collapsed="false">
      <c r="A1965" s="10" t="s">
        <v>92</v>
      </c>
      <c r="B1965" s="10" t="str">
        <f aca="false">INDEX('Site-uri'!$B$2:$B$20,MATCH(A1965,'Site-uri'!$A$2:$A$20,0))</f>
        <v>the3webs.com</v>
      </c>
      <c r="C1965" s="10" t="s">
        <v>202</v>
      </c>
      <c r="D1965" s="10" t="s">
        <v>237</v>
      </c>
      <c r="E1965" s="10" t="str">
        <f aca="false">INDEX(Canale!$C$2:$C$30,MATCH(C1965,Canale!$A$2:$A$30,0))</f>
        <v>event</v>
      </c>
      <c r="F1965" s="10" t="str">
        <f aca="false">INDEX(Canale!$D$2:$D$30,MATCH(C1965,Canale!$A$2:$A$30,0))</f>
        <v>event</v>
      </c>
      <c r="G1965" s="10" t="str">
        <f aca="false">INDEX('Site-uri'!$C$2:$C$20,MATCH(A1965,'Site-uri'!$A$2:$A$20,0))</f>
        <v>/</v>
      </c>
      <c r="H1965" s="10" t="str">
        <f aca="false">Config!$B$3</f>
        <v>2610_ff_lansare</v>
      </c>
      <c r="I1965" s="10" t="str">
        <f aca="false">D1965&amp;"_"&amp;Config!$B$4</f>
        <v>client_general</v>
      </c>
      <c r="J1965" s="10" t="str">
        <f aca="false">"https://"&amp;B1965&amp;G1965&amp;"?utm_source="&amp;E1965&amp;"&amp;utm_medium="&amp;F1965&amp;"&amp;utm_campaign="&amp;H1965&amp;"&amp;utm_content="&amp;I1965</f>
        <v>https://the3webs.com/?utm_source=event&amp;utm_medium=event&amp;utm_campaign=2610_ff_lansare&amp;utm_content=client_general</v>
      </c>
    </row>
    <row r="1966" customFormat="false" ht="15" hidden="false" customHeight="false" outlineLevel="0" collapsed="false">
      <c r="A1966" s="10" t="s">
        <v>92</v>
      </c>
      <c r="B1966" s="10" t="str">
        <f aca="false">INDEX('Site-uri'!$B$2:$B$20,MATCH(A1966,'Site-uri'!$A$2:$A$20,0))</f>
        <v>the3webs.com</v>
      </c>
      <c r="C1966" s="10" t="s">
        <v>204</v>
      </c>
      <c r="D1966" s="10" t="s">
        <v>219</v>
      </c>
      <c r="E1966" s="10" t="str">
        <f aca="false">INDEX(Canale!$C$2:$C$30,MATCH(C1966,Canale!$A$2:$A$30,0))</f>
        <v>a2a_agent_card</v>
      </c>
      <c r="F1966" s="10" t="str">
        <f aca="false">INDEX(Canale!$D$2:$D$30,MATCH(C1966,Canale!$A$2:$A$30,0))</f>
        <v>agent</v>
      </c>
      <c r="G1966" s="10" t="str">
        <f aca="false">INDEX('Site-uri'!$C$2:$C$20,MATCH(A1966,'Site-uri'!$A$2:$A$20,0))</f>
        <v>/</v>
      </c>
      <c r="H1966" s="10" t="str">
        <f aca="false">Config!$B$3</f>
        <v>2610_ff_lansare</v>
      </c>
      <c r="I1966" s="10" t="str">
        <f aca="false">D1966&amp;"_"&amp;Config!$B$4</f>
        <v>rece_general</v>
      </c>
      <c r="J1966" s="10" t="str">
        <f aca="false">"https://"&amp;B1966&amp;G1966&amp;"?utm_source="&amp;E1966&amp;"&amp;utm_medium="&amp;F1966&amp;"&amp;utm_campaign="&amp;H1966&amp;"&amp;utm_content="&amp;I1966</f>
        <v>https://the3webs.com/?utm_source=a2a_agent_card&amp;utm_medium=agent&amp;utm_campaign=2610_ff_lansare&amp;utm_content=rece_general</v>
      </c>
    </row>
    <row r="1967" customFormat="false" ht="15" hidden="false" customHeight="false" outlineLevel="0" collapsed="false">
      <c r="A1967" s="10" t="s">
        <v>92</v>
      </c>
      <c r="B1967" s="10" t="str">
        <f aca="false">INDEX('Site-uri'!$B$2:$B$20,MATCH(A1967,'Site-uri'!$A$2:$A$20,0))</f>
        <v>the3webs.com</v>
      </c>
      <c r="C1967" s="10" t="s">
        <v>204</v>
      </c>
      <c r="D1967" s="10" t="s">
        <v>225</v>
      </c>
      <c r="E1967" s="10" t="str">
        <f aca="false">INDEX(Canale!$C$2:$C$30,MATCH(C1967,Canale!$A$2:$A$30,0))</f>
        <v>a2a_agent_card</v>
      </c>
      <c r="F1967" s="10" t="str">
        <f aca="false">INDEX(Canale!$D$2:$D$30,MATCH(C1967,Canale!$A$2:$A$30,0))</f>
        <v>agent</v>
      </c>
      <c r="G1967" s="10" t="str">
        <f aca="false">INDEX('Site-uri'!$C$2:$C$20,MATCH(A1967,'Site-uri'!$A$2:$A$20,0))</f>
        <v>/</v>
      </c>
      <c r="H1967" s="10" t="str">
        <f aca="false">Config!$B$3</f>
        <v>2610_ff_lansare</v>
      </c>
      <c r="I1967" s="10" t="str">
        <f aca="false">D1967&amp;"_"&amp;Config!$B$4</f>
        <v>cald_general</v>
      </c>
      <c r="J1967" s="10" t="str">
        <f aca="false">"https://"&amp;B1967&amp;G1967&amp;"?utm_source="&amp;E1967&amp;"&amp;utm_medium="&amp;F1967&amp;"&amp;utm_campaign="&amp;H1967&amp;"&amp;utm_content="&amp;I1967</f>
        <v>https://the3webs.com/?utm_source=a2a_agent_card&amp;utm_medium=agent&amp;utm_campaign=2610_ff_lansare&amp;utm_content=cald_general</v>
      </c>
    </row>
    <row r="1968" customFormat="false" ht="15" hidden="false" customHeight="false" outlineLevel="0" collapsed="false">
      <c r="A1968" s="10" t="s">
        <v>92</v>
      </c>
      <c r="B1968" s="10" t="str">
        <f aca="false">INDEX('Site-uri'!$B$2:$B$20,MATCH(A1968,'Site-uri'!$A$2:$A$20,0))</f>
        <v>the3webs.com</v>
      </c>
      <c r="C1968" s="10" t="s">
        <v>204</v>
      </c>
      <c r="D1968" s="10" t="s">
        <v>231</v>
      </c>
      <c r="E1968" s="10" t="str">
        <f aca="false">INDEX(Canale!$C$2:$C$30,MATCH(C1968,Canale!$A$2:$A$30,0))</f>
        <v>a2a_agent_card</v>
      </c>
      <c r="F1968" s="10" t="str">
        <f aca="false">INDEX(Canale!$D$2:$D$30,MATCH(C1968,Canale!$A$2:$A$30,0))</f>
        <v>agent</v>
      </c>
      <c r="G1968" s="10" t="str">
        <f aca="false">INDEX('Site-uri'!$C$2:$C$20,MATCH(A1968,'Site-uri'!$A$2:$A$20,0))</f>
        <v>/</v>
      </c>
      <c r="H1968" s="10" t="str">
        <f aca="false">Config!$B$3</f>
        <v>2610_ff_lansare</v>
      </c>
      <c r="I1968" s="10" t="str">
        <f aca="false">D1968&amp;"_"&amp;Config!$B$4</f>
        <v>fierbinte_general</v>
      </c>
      <c r="J1968" s="10" t="str">
        <f aca="false">"https://"&amp;B1968&amp;G1968&amp;"?utm_source="&amp;E1968&amp;"&amp;utm_medium="&amp;F1968&amp;"&amp;utm_campaign="&amp;H1968&amp;"&amp;utm_content="&amp;I1968</f>
        <v>https://the3webs.com/?utm_source=a2a_agent_card&amp;utm_medium=agent&amp;utm_campaign=2610_ff_lansare&amp;utm_content=fierbinte_general</v>
      </c>
    </row>
    <row r="1969" customFormat="false" ht="15" hidden="false" customHeight="false" outlineLevel="0" collapsed="false">
      <c r="A1969" s="10" t="s">
        <v>92</v>
      </c>
      <c r="B1969" s="10" t="str">
        <f aca="false">INDEX('Site-uri'!$B$2:$B$20,MATCH(A1969,'Site-uri'!$A$2:$A$20,0))</f>
        <v>the3webs.com</v>
      </c>
      <c r="C1969" s="10" t="s">
        <v>204</v>
      </c>
      <c r="D1969" s="10" t="s">
        <v>237</v>
      </c>
      <c r="E1969" s="10" t="str">
        <f aca="false">INDEX(Canale!$C$2:$C$30,MATCH(C1969,Canale!$A$2:$A$30,0))</f>
        <v>a2a_agent_card</v>
      </c>
      <c r="F1969" s="10" t="str">
        <f aca="false">INDEX(Canale!$D$2:$D$30,MATCH(C1969,Canale!$A$2:$A$30,0))</f>
        <v>agent</v>
      </c>
      <c r="G1969" s="10" t="str">
        <f aca="false">INDEX('Site-uri'!$C$2:$C$20,MATCH(A1969,'Site-uri'!$A$2:$A$20,0))</f>
        <v>/</v>
      </c>
      <c r="H1969" s="10" t="str">
        <f aca="false">Config!$B$3</f>
        <v>2610_ff_lansare</v>
      </c>
      <c r="I1969" s="10" t="str">
        <f aca="false">D1969&amp;"_"&amp;Config!$B$4</f>
        <v>client_general</v>
      </c>
      <c r="J1969" s="10" t="str">
        <f aca="false">"https://"&amp;B1969&amp;G1969&amp;"?utm_source="&amp;E1969&amp;"&amp;utm_medium="&amp;F1969&amp;"&amp;utm_campaign="&amp;H1969&amp;"&amp;utm_content="&amp;I1969</f>
        <v>https://the3webs.com/?utm_source=a2a_agent_card&amp;utm_medium=agent&amp;utm_campaign=2610_ff_lansare&amp;utm_content=client_general</v>
      </c>
    </row>
    <row r="1970" customFormat="false" ht="15" hidden="false" customHeight="false" outlineLevel="0" collapsed="false">
      <c r="A1970" s="10" t="s">
        <v>92</v>
      </c>
      <c r="B1970" s="10" t="str">
        <f aca="false">INDEX('Site-uri'!$B$2:$B$20,MATCH(A1970,'Site-uri'!$A$2:$A$20,0))</f>
        <v>the3webs.com</v>
      </c>
      <c r="C1970" s="10" t="s">
        <v>209</v>
      </c>
      <c r="D1970" s="10" t="s">
        <v>219</v>
      </c>
      <c r="E1970" s="10" t="str">
        <f aca="false">INDEX(Canale!$C$2:$C$30,MATCH(C1970,Canale!$A$2:$A$30,0))</f>
        <v>llms_txt</v>
      </c>
      <c r="F1970" s="10" t="str">
        <f aca="false">INDEX(Canale!$D$2:$D$30,MATCH(C1970,Canale!$A$2:$A$30,0))</f>
        <v>ai_web</v>
      </c>
      <c r="G1970" s="10" t="str">
        <f aca="false">INDEX('Site-uri'!$C$2:$C$20,MATCH(A1970,'Site-uri'!$A$2:$A$20,0))</f>
        <v>/</v>
      </c>
      <c r="H1970" s="10" t="str">
        <f aca="false">Config!$B$3</f>
        <v>2610_ff_lansare</v>
      </c>
      <c r="I1970" s="10" t="str">
        <f aca="false">D1970&amp;"_"&amp;Config!$B$4</f>
        <v>rece_general</v>
      </c>
      <c r="J1970" s="10" t="str">
        <f aca="false">"https://"&amp;B1970&amp;G1970&amp;"?utm_source="&amp;E1970&amp;"&amp;utm_medium="&amp;F1970&amp;"&amp;utm_campaign="&amp;H1970&amp;"&amp;utm_content="&amp;I1970</f>
        <v>https://the3webs.com/?utm_source=llms_txt&amp;utm_medium=ai_web&amp;utm_campaign=2610_ff_lansare&amp;utm_content=rece_general</v>
      </c>
    </row>
    <row r="1971" customFormat="false" ht="15" hidden="false" customHeight="false" outlineLevel="0" collapsed="false">
      <c r="A1971" s="10" t="s">
        <v>92</v>
      </c>
      <c r="B1971" s="10" t="str">
        <f aca="false">INDEX('Site-uri'!$B$2:$B$20,MATCH(A1971,'Site-uri'!$A$2:$A$20,0))</f>
        <v>the3webs.com</v>
      </c>
      <c r="C1971" s="10" t="s">
        <v>209</v>
      </c>
      <c r="D1971" s="10" t="s">
        <v>225</v>
      </c>
      <c r="E1971" s="10" t="str">
        <f aca="false">INDEX(Canale!$C$2:$C$30,MATCH(C1971,Canale!$A$2:$A$30,0))</f>
        <v>llms_txt</v>
      </c>
      <c r="F1971" s="10" t="str">
        <f aca="false">INDEX(Canale!$D$2:$D$30,MATCH(C1971,Canale!$A$2:$A$30,0))</f>
        <v>ai_web</v>
      </c>
      <c r="G1971" s="10" t="str">
        <f aca="false">INDEX('Site-uri'!$C$2:$C$20,MATCH(A1971,'Site-uri'!$A$2:$A$20,0))</f>
        <v>/</v>
      </c>
      <c r="H1971" s="10" t="str">
        <f aca="false">Config!$B$3</f>
        <v>2610_ff_lansare</v>
      </c>
      <c r="I1971" s="10" t="str">
        <f aca="false">D1971&amp;"_"&amp;Config!$B$4</f>
        <v>cald_general</v>
      </c>
      <c r="J1971" s="10" t="str">
        <f aca="false">"https://"&amp;B1971&amp;G1971&amp;"?utm_source="&amp;E1971&amp;"&amp;utm_medium="&amp;F1971&amp;"&amp;utm_campaign="&amp;H1971&amp;"&amp;utm_content="&amp;I1971</f>
        <v>https://the3webs.com/?utm_source=llms_txt&amp;utm_medium=ai_web&amp;utm_campaign=2610_ff_lansare&amp;utm_content=cald_general</v>
      </c>
    </row>
    <row r="1972" customFormat="false" ht="15" hidden="false" customHeight="false" outlineLevel="0" collapsed="false">
      <c r="A1972" s="10" t="s">
        <v>92</v>
      </c>
      <c r="B1972" s="10" t="str">
        <f aca="false">INDEX('Site-uri'!$B$2:$B$20,MATCH(A1972,'Site-uri'!$A$2:$A$20,0))</f>
        <v>the3webs.com</v>
      </c>
      <c r="C1972" s="10" t="s">
        <v>209</v>
      </c>
      <c r="D1972" s="10" t="s">
        <v>231</v>
      </c>
      <c r="E1972" s="10" t="str">
        <f aca="false">INDEX(Canale!$C$2:$C$30,MATCH(C1972,Canale!$A$2:$A$30,0))</f>
        <v>llms_txt</v>
      </c>
      <c r="F1972" s="10" t="str">
        <f aca="false">INDEX(Canale!$D$2:$D$30,MATCH(C1972,Canale!$A$2:$A$30,0))</f>
        <v>ai_web</v>
      </c>
      <c r="G1972" s="10" t="str">
        <f aca="false">INDEX('Site-uri'!$C$2:$C$20,MATCH(A1972,'Site-uri'!$A$2:$A$20,0))</f>
        <v>/</v>
      </c>
      <c r="H1972" s="10" t="str">
        <f aca="false">Config!$B$3</f>
        <v>2610_ff_lansare</v>
      </c>
      <c r="I1972" s="10" t="str">
        <f aca="false">D1972&amp;"_"&amp;Config!$B$4</f>
        <v>fierbinte_general</v>
      </c>
      <c r="J1972" s="10" t="str">
        <f aca="false">"https://"&amp;B1972&amp;G1972&amp;"?utm_source="&amp;E1972&amp;"&amp;utm_medium="&amp;F1972&amp;"&amp;utm_campaign="&amp;H1972&amp;"&amp;utm_content="&amp;I1972</f>
        <v>https://the3webs.com/?utm_source=llms_txt&amp;utm_medium=ai_web&amp;utm_campaign=2610_ff_lansare&amp;utm_content=fierbinte_general</v>
      </c>
    </row>
    <row r="1973" customFormat="false" ht="15" hidden="false" customHeight="false" outlineLevel="0" collapsed="false">
      <c r="A1973" s="10" t="s">
        <v>92</v>
      </c>
      <c r="B1973" s="10" t="str">
        <f aca="false">INDEX('Site-uri'!$B$2:$B$20,MATCH(A1973,'Site-uri'!$A$2:$A$20,0))</f>
        <v>the3webs.com</v>
      </c>
      <c r="C1973" s="10" t="s">
        <v>209</v>
      </c>
      <c r="D1973" s="10" t="s">
        <v>237</v>
      </c>
      <c r="E1973" s="10" t="str">
        <f aca="false">INDEX(Canale!$C$2:$C$30,MATCH(C1973,Canale!$A$2:$A$30,0))</f>
        <v>llms_txt</v>
      </c>
      <c r="F1973" s="10" t="str">
        <f aca="false">INDEX(Canale!$D$2:$D$30,MATCH(C1973,Canale!$A$2:$A$30,0))</f>
        <v>ai_web</v>
      </c>
      <c r="G1973" s="10" t="str">
        <f aca="false">INDEX('Site-uri'!$C$2:$C$20,MATCH(A1973,'Site-uri'!$A$2:$A$20,0))</f>
        <v>/</v>
      </c>
      <c r="H1973" s="10" t="str">
        <f aca="false">Config!$B$3</f>
        <v>2610_ff_lansare</v>
      </c>
      <c r="I1973" s="10" t="str">
        <f aca="false">D1973&amp;"_"&amp;Config!$B$4</f>
        <v>client_general</v>
      </c>
      <c r="J1973" s="10" t="str">
        <f aca="false">"https://"&amp;B1973&amp;G1973&amp;"?utm_source="&amp;E1973&amp;"&amp;utm_medium="&amp;F1973&amp;"&amp;utm_campaign="&amp;H1973&amp;"&amp;utm_content="&amp;I1973</f>
        <v>https://the3webs.com/?utm_source=llms_txt&amp;utm_medium=ai_web&amp;utm_campaign=2610_ff_lansare&amp;utm_content=client_general</v>
      </c>
    </row>
    <row r="1974" customFormat="false" ht="15" hidden="false" customHeight="false" outlineLevel="0" collapsed="false">
      <c r="A1974" s="10" t="s">
        <v>95</v>
      </c>
      <c r="B1974" s="10" t="str">
        <f aca="false">INDEX('Site-uri'!$B$2:$B$20,MATCH(A1974,'Site-uri'!$A$2:$A$20,0))</f>
        <v>floride-e2.com</v>
      </c>
      <c r="C1974" s="10" t="s">
        <v>104</v>
      </c>
      <c r="D1974" s="10" t="s">
        <v>219</v>
      </c>
      <c r="E1974" s="10" t="str">
        <f aca="false">INDEX(Canale!$C$2:$C$30,MATCH(C1974,Canale!$A$2:$A$30,0))</f>
        <v>linkedin_personal</v>
      </c>
      <c r="F1974" s="10" t="str">
        <f aca="false">INDEX(Canale!$D$2:$D$30,MATCH(C1974,Canale!$A$2:$A$30,0))</f>
        <v>social</v>
      </c>
      <c r="G1974" s="10" t="str">
        <f aca="false">INDEX('Site-uri'!$C$2:$C$20,MATCH(A1974,'Site-uri'!$A$2:$A$20,0))</f>
        <v>/</v>
      </c>
      <c r="H1974" s="10" t="str">
        <f aca="false">Config!$B$3</f>
        <v>2610_ff_lansare</v>
      </c>
      <c r="I1974" s="10" t="str">
        <f aca="false">D1974&amp;"_"&amp;Config!$B$4</f>
        <v>rece_general</v>
      </c>
      <c r="J1974" s="10" t="str">
        <f aca="false">"https://"&amp;B1974&amp;G1974&amp;"?utm_source="&amp;E1974&amp;"&amp;utm_medium="&amp;F1974&amp;"&amp;utm_campaign="&amp;H1974&amp;"&amp;utm_content="&amp;I1974</f>
        <v>https://floride-e2.com/?utm_source=linkedin_personal&amp;utm_medium=social&amp;utm_campaign=2610_ff_lansare&amp;utm_content=rece_general</v>
      </c>
    </row>
    <row r="1975" customFormat="false" ht="15" hidden="false" customHeight="false" outlineLevel="0" collapsed="false">
      <c r="A1975" s="10" t="s">
        <v>95</v>
      </c>
      <c r="B1975" s="10" t="str">
        <f aca="false">INDEX('Site-uri'!$B$2:$B$20,MATCH(A1975,'Site-uri'!$A$2:$A$20,0))</f>
        <v>floride-e2.com</v>
      </c>
      <c r="C1975" s="10" t="s">
        <v>104</v>
      </c>
      <c r="D1975" s="10" t="s">
        <v>225</v>
      </c>
      <c r="E1975" s="10" t="str">
        <f aca="false">INDEX(Canale!$C$2:$C$30,MATCH(C1975,Canale!$A$2:$A$30,0))</f>
        <v>linkedin_personal</v>
      </c>
      <c r="F1975" s="10" t="str">
        <f aca="false">INDEX(Canale!$D$2:$D$30,MATCH(C1975,Canale!$A$2:$A$30,0))</f>
        <v>social</v>
      </c>
      <c r="G1975" s="10" t="str">
        <f aca="false">INDEX('Site-uri'!$C$2:$C$20,MATCH(A1975,'Site-uri'!$A$2:$A$20,0))</f>
        <v>/</v>
      </c>
      <c r="H1975" s="10" t="str">
        <f aca="false">Config!$B$3</f>
        <v>2610_ff_lansare</v>
      </c>
      <c r="I1975" s="10" t="str">
        <f aca="false">D1975&amp;"_"&amp;Config!$B$4</f>
        <v>cald_general</v>
      </c>
      <c r="J1975" s="10" t="str">
        <f aca="false">"https://"&amp;B1975&amp;G1975&amp;"?utm_source="&amp;E1975&amp;"&amp;utm_medium="&amp;F1975&amp;"&amp;utm_campaign="&amp;H1975&amp;"&amp;utm_content="&amp;I1975</f>
        <v>https://floride-e2.com/?utm_source=linkedin_personal&amp;utm_medium=social&amp;utm_campaign=2610_ff_lansare&amp;utm_content=cald_general</v>
      </c>
    </row>
    <row r="1976" customFormat="false" ht="15" hidden="false" customHeight="false" outlineLevel="0" collapsed="false">
      <c r="A1976" s="10" t="s">
        <v>95</v>
      </c>
      <c r="B1976" s="10" t="str">
        <f aca="false">INDEX('Site-uri'!$B$2:$B$20,MATCH(A1976,'Site-uri'!$A$2:$A$20,0))</f>
        <v>floride-e2.com</v>
      </c>
      <c r="C1976" s="10" t="s">
        <v>104</v>
      </c>
      <c r="D1976" s="10" t="s">
        <v>231</v>
      </c>
      <c r="E1976" s="10" t="str">
        <f aca="false">INDEX(Canale!$C$2:$C$30,MATCH(C1976,Canale!$A$2:$A$30,0))</f>
        <v>linkedin_personal</v>
      </c>
      <c r="F1976" s="10" t="str">
        <f aca="false">INDEX(Canale!$D$2:$D$30,MATCH(C1976,Canale!$A$2:$A$30,0))</f>
        <v>social</v>
      </c>
      <c r="G1976" s="10" t="str">
        <f aca="false">INDEX('Site-uri'!$C$2:$C$20,MATCH(A1976,'Site-uri'!$A$2:$A$20,0))</f>
        <v>/</v>
      </c>
      <c r="H1976" s="10" t="str">
        <f aca="false">Config!$B$3</f>
        <v>2610_ff_lansare</v>
      </c>
      <c r="I1976" s="10" t="str">
        <f aca="false">D1976&amp;"_"&amp;Config!$B$4</f>
        <v>fierbinte_general</v>
      </c>
      <c r="J1976" s="10" t="str">
        <f aca="false">"https://"&amp;B1976&amp;G1976&amp;"?utm_source="&amp;E1976&amp;"&amp;utm_medium="&amp;F1976&amp;"&amp;utm_campaign="&amp;H1976&amp;"&amp;utm_content="&amp;I1976</f>
        <v>https://floride-e2.com/?utm_source=linkedin_personal&amp;utm_medium=social&amp;utm_campaign=2610_ff_lansare&amp;utm_content=fierbinte_general</v>
      </c>
    </row>
    <row r="1977" customFormat="false" ht="15" hidden="false" customHeight="false" outlineLevel="0" collapsed="false">
      <c r="A1977" s="10" t="s">
        <v>95</v>
      </c>
      <c r="B1977" s="10" t="str">
        <f aca="false">INDEX('Site-uri'!$B$2:$B$20,MATCH(A1977,'Site-uri'!$A$2:$A$20,0))</f>
        <v>floride-e2.com</v>
      </c>
      <c r="C1977" s="10" t="s">
        <v>104</v>
      </c>
      <c r="D1977" s="10" t="s">
        <v>237</v>
      </c>
      <c r="E1977" s="10" t="str">
        <f aca="false">INDEX(Canale!$C$2:$C$30,MATCH(C1977,Canale!$A$2:$A$30,0))</f>
        <v>linkedin_personal</v>
      </c>
      <c r="F1977" s="10" t="str">
        <f aca="false">INDEX(Canale!$D$2:$D$30,MATCH(C1977,Canale!$A$2:$A$30,0))</f>
        <v>social</v>
      </c>
      <c r="G1977" s="10" t="str">
        <f aca="false">INDEX('Site-uri'!$C$2:$C$20,MATCH(A1977,'Site-uri'!$A$2:$A$20,0))</f>
        <v>/</v>
      </c>
      <c r="H1977" s="10" t="str">
        <f aca="false">Config!$B$3</f>
        <v>2610_ff_lansare</v>
      </c>
      <c r="I1977" s="10" t="str">
        <f aca="false">D1977&amp;"_"&amp;Config!$B$4</f>
        <v>client_general</v>
      </c>
      <c r="J1977" s="10" t="str">
        <f aca="false">"https://"&amp;B1977&amp;G1977&amp;"?utm_source="&amp;E1977&amp;"&amp;utm_medium="&amp;F1977&amp;"&amp;utm_campaign="&amp;H1977&amp;"&amp;utm_content="&amp;I1977</f>
        <v>https://floride-e2.com/?utm_source=linkedin_personal&amp;utm_medium=social&amp;utm_campaign=2610_ff_lansare&amp;utm_content=client_general</v>
      </c>
    </row>
    <row r="1978" customFormat="false" ht="15" hidden="false" customHeight="false" outlineLevel="0" collapsed="false">
      <c r="A1978" s="10" t="s">
        <v>95</v>
      </c>
      <c r="B1978" s="10" t="str">
        <f aca="false">INDEX('Site-uri'!$B$2:$B$20,MATCH(A1978,'Site-uri'!$A$2:$A$20,0))</f>
        <v>floride-e2.com</v>
      </c>
      <c r="C1978" s="10" t="s">
        <v>109</v>
      </c>
      <c r="D1978" s="10" t="s">
        <v>219</v>
      </c>
      <c r="E1978" s="10" t="str">
        <f aca="false">INDEX(Canale!$C$2:$C$30,MATCH(C1978,Canale!$A$2:$A$30,0))</f>
        <v>linkedin_company</v>
      </c>
      <c r="F1978" s="10" t="str">
        <f aca="false">INDEX(Canale!$D$2:$D$30,MATCH(C1978,Canale!$A$2:$A$30,0))</f>
        <v>social</v>
      </c>
      <c r="G1978" s="10" t="str">
        <f aca="false">INDEX('Site-uri'!$C$2:$C$20,MATCH(A1978,'Site-uri'!$A$2:$A$20,0))</f>
        <v>/</v>
      </c>
      <c r="H1978" s="10" t="str">
        <f aca="false">Config!$B$3</f>
        <v>2610_ff_lansare</v>
      </c>
      <c r="I1978" s="10" t="str">
        <f aca="false">D1978&amp;"_"&amp;Config!$B$4</f>
        <v>rece_general</v>
      </c>
      <c r="J1978" s="10" t="str">
        <f aca="false">"https://"&amp;B1978&amp;G1978&amp;"?utm_source="&amp;E1978&amp;"&amp;utm_medium="&amp;F1978&amp;"&amp;utm_campaign="&amp;H1978&amp;"&amp;utm_content="&amp;I1978</f>
        <v>https://floride-e2.com/?utm_source=linkedin_company&amp;utm_medium=social&amp;utm_campaign=2610_ff_lansare&amp;utm_content=rece_general</v>
      </c>
    </row>
    <row r="1979" customFormat="false" ht="15" hidden="false" customHeight="false" outlineLevel="0" collapsed="false">
      <c r="A1979" s="10" t="s">
        <v>95</v>
      </c>
      <c r="B1979" s="10" t="str">
        <f aca="false">INDEX('Site-uri'!$B$2:$B$20,MATCH(A1979,'Site-uri'!$A$2:$A$20,0))</f>
        <v>floride-e2.com</v>
      </c>
      <c r="C1979" s="10" t="s">
        <v>109</v>
      </c>
      <c r="D1979" s="10" t="s">
        <v>225</v>
      </c>
      <c r="E1979" s="10" t="str">
        <f aca="false">INDEX(Canale!$C$2:$C$30,MATCH(C1979,Canale!$A$2:$A$30,0))</f>
        <v>linkedin_company</v>
      </c>
      <c r="F1979" s="10" t="str">
        <f aca="false">INDEX(Canale!$D$2:$D$30,MATCH(C1979,Canale!$A$2:$A$30,0))</f>
        <v>social</v>
      </c>
      <c r="G1979" s="10" t="str">
        <f aca="false">INDEX('Site-uri'!$C$2:$C$20,MATCH(A1979,'Site-uri'!$A$2:$A$20,0))</f>
        <v>/</v>
      </c>
      <c r="H1979" s="10" t="str">
        <f aca="false">Config!$B$3</f>
        <v>2610_ff_lansare</v>
      </c>
      <c r="I1979" s="10" t="str">
        <f aca="false">D1979&amp;"_"&amp;Config!$B$4</f>
        <v>cald_general</v>
      </c>
      <c r="J1979" s="10" t="str">
        <f aca="false">"https://"&amp;B1979&amp;G1979&amp;"?utm_source="&amp;E1979&amp;"&amp;utm_medium="&amp;F1979&amp;"&amp;utm_campaign="&amp;H1979&amp;"&amp;utm_content="&amp;I1979</f>
        <v>https://floride-e2.com/?utm_source=linkedin_company&amp;utm_medium=social&amp;utm_campaign=2610_ff_lansare&amp;utm_content=cald_general</v>
      </c>
    </row>
    <row r="1980" customFormat="false" ht="15" hidden="false" customHeight="false" outlineLevel="0" collapsed="false">
      <c r="A1980" s="10" t="s">
        <v>95</v>
      </c>
      <c r="B1980" s="10" t="str">
        <f aca="false">INDEX('Site-uri'!$B$2:$B$20,MATCH(A1980,'Site-uri'!$A$2:$A$20,0))</f>
        <v>floride-e2.com</v>
      </c>
      <c r="C1980" s="10" t="s">
        <v>109</v>
      </c>
      <c r="D1980" s="10" t="s">
        <v>231</v>
      </c>
      <c r="E1980" s="10" t="str">
        <f aca="false">INDEX(Canale!$C$2:$C$30,MATCH(C1980,Canale!$A$2:$A$30,0))</f>
        <v>linkedin_company</v>
      </c>
      <c r="F1980" s="10" t="str">
        <f aca="false">INDEX(Canale!$D$2:$D$30,MATCH(C1980,Canale!$A$2:$A$30,0))</f>
        <v>social</v>
      </c>
      <c r="G1980" s="10" t="str">
        <f aca="false">INDEX('Site-uri'!$C$2:$C$20,MATCH(A1980,'Site-uri'!$A$2:$A$20,0))</f>
        <v>/</v>
      </c>
      <c r="H1980" s="10" t="str">
        <f aca="false">Config!$B$3</f>
        <v>2610_ff_lansare</v>
      </c>
      <c r="I1980" s="10" t="str">
        <f aca="false">D1980&amp;"_"&amp;Config!$B$4</f>
        <v>fierbinte_general</v>
      </c>
      <c r="J1980" s="10" t="str">
        <f aca="false">"https://"&amp;B1980&amp;G1980&amp;"?utm_source="&amp;E1980&amp;"&amp;utm_medium="&amp;F1980&amp;"&amp;utm_campaign="&amp;H1980&amp;"&amp;utm_content="&amp;I1980</f>
        <v>https://floride-e2.com/?utm_source=linkedin_company&amp;utm_medium=social&amp;utm_campaign=2610_ff_lansare&amp;utm_content=fierbinte_general</v>
      </c>
    </row>
    <row r="1981" customFormat="false" ht="15" hidden="false" customHeight="false" outlineLevel="0" collapsed="false">
      <c r="A1981" s="10" t="s">
        <v>95</v>
      </c>
      <c r="B1981" s="10" t="str">
        <f aca="false">INDEX('Site-uri'!$B$2:$B$20,MATCH(A1981,'Site-uri'!$A$2:$A$20,0))</f>
        <v>floride-e2.com</v>
      </c>
      <c r="C1981" s="10" t="s">
        <v>109</v>
      </c>
      <c r="D1981" s="10" t="s">
        <v>237</v>
      </c>
      <c r="E1981" s="10" t="str">
        <f aca="false">INDEX(Canale!$C$2:$C$30,MATCH(C1981,Canale!$A$2:$A$30,0))</f>
        <v>linkedin_company</v>
      </c>
      <c r="F1981" s="10" t="str">
        <f aca="false">INDEX(Canale!$D$2:$D$30,MATCH(C1981,Canale!$A$2:$A$30,0))</f>
        <v>social</v>
      </c>
      <c r="G1981" s="10" t="str">
        <f aca="false">INDEX('Site-uri'!$C$2:$C$20,MATCH(A1981,'Site-uri'!$A$2:$A$20,0))</f>
        <v>/</v>
      </c>
      <c r="H1981" s="10" t="str">
        <f aca="false">Config!$B$3</f>
        <v>2610_ff_lansare</v>
      </c>
      <c r="I1981" s="10" t="str">
        <f aca="false">D1981&amp;"_"&amp;Config!$B$4</f>
        <v>client_general</v>
      </c>
      <c r="J1981" s="10" t="str">
        <f aca="false">"https://"&amp;B1981&amp;G1981&amp;"?utm_source="&amp;E1981&amp;"&amp;utm_medium="&amp;F1981&amp;"&amp;utm_campaign="&amp;H1981&amp;"&amp;utm_content="&amp;I1981</f>
        <v>https://floride-e2.com/?utm_source=linkedin_company&amp;utm_medium=social&amp;utm_campaign=2610_ff_lansare&amp;utm_content=client_general</v>
      </c>
    </row>
    <row r="1982" customFormat="false" ht="15" hidden="false" customHeight="false" outlineLevel="0" collapsed="false">
      <c r="A1982" s="10" t="s">
        <v>95</v>
      </c>
      <c r="B1982" s="10" t="str">
        <f aca="false">INDEX('Site-uri'!$B$2:$B$20,MATCH(A1982,'Site-uri'!$A$2:$A$20,0))</f>
        <v>floride-e2.com</v>
      </c>
      <c r="C1982" s="10" t="s">
        <v>112</v>
      </c>
      <c r="D1982" s="10" t="s">
        <v>219</v>
      </c>
      <c r="E1982" s="10" t="str">
        <f aca="false">INDEX(Canale!$C$2:$C$30,MATCH(C1982,Canale!$A$2:$A$30,0))</f>
        <v>linkedin_showcase</v>
      </c>
      <c r="F1982" s="10" t="str">
        <f aca="false">INDEX(Canale!$D$2:$D$30,MATCH(C1982,Canale!$A$2:$A$30,0))</f>
        <v>social</v>
      </c>
      <c r="G1982" s="10" t="str">
        <f aca="false">INDEX('Site-uri'!$C$2:$C$20,MATCH(A1982,'Site-uri'!$A$2:$A$20,0))</f>
        <v>/</v>
      </c>
      <c r="H1982" s="10" t="str">
        <f aca="false">Config!$B$3</f>
        <v>2610_ff_lansare</v>
      </c>
      <c r="I1982" s="10" t="str">
        <f aca="false">D1982&amp;"_"&amp;Config!$B$4</f>
        <v>rece_general</v>
      </c>
      <c r="J1982" s="10" t="str">
        <f aca="false">"https://"&amp;B1982&amp;G1982&amp;"?utm_source="&amp;E1982&amp;"&amp;utm_medium="&amp;F1982&amp;"&amp;utm_campaign="&amp;H1982&amp;"&amp;utm_content="&amp;I1982</f>
        <v>https://floride-e2.com/?utm_source=linkedin_showcase&amp;utm_medium=social&amp;utm_campaign=2610_ff_lansare&amp;utm_content=rece_general</v>
      </c>
    </row>
    <row r="1983" customFormat="false" ht="15" hidden="false" customHeight="false" outlineLevel="0" collapsed="false">
      <c r="A1983" s="10" t="s">
        <v>95</v>
      </c>
      <c r="B1983" s="10" t="str">
        <f aca="false">INDEX('Site-uri'!$B$2:$B$20,MATCH(A1983,'Site-uri'!$A$2:$A$20,0))</f>
        <v>floride-e2.com</v>
      </c>
      <c r="C1983" s="10" t="s">
        <v>112</v>
      </c>
      <c r="D1983" s="10" t="s">
        <v>225</v>
      </c>
      <c r="E1983" s="10" t="str">
        <f aca="false">INDEX(Canale!$C$2:$C$30,MATCH(C1983,Canale!$A$2:$A$30,0))</f>
        <v>linkedin_showcase</v>
      </c>
      <c r="F1983" s="10" t="str">
        <f aca="false">INDEX(Canale!$D$2:$D$30,MATCH(C1983,Canale!$A$2:$A$30,0))</f>
        <v>social</v>
      </c>
      <c r="G1983" s="10" t="str">
        <f aca="false">INDEX('Site-uri'!$C$2:$C$20,MATCH(A1983,'Site-uri'!$A$2:$A$20,0))</f>
        <v>/</v>
      </c>
      <c r="H1983" s="10" t="str">
        <f aca="false">Config!$B$3</f>
        <v>2610_ff_lansare</v>
      </c>
      <c r="I1983" s="10" t="str">
        <f aca="false">D1983&amp;"_"&amp;Config!$B$4</f>
        <v>cald_general</v>
      </c>
      <c r="J1983" s="10" t="str">
        <f aca="false">"https://"&amp;B1983&amp;G1983&amp;"?utm_source="&amp;E1983&amp;"&amp;utm_medium="&amp;F1983&amp;"&amp;utm_campaign="&amp;H1983&amp;"&amp;utm_content="&amp;I1983</f>
        <v>https://floride-e2.com/?utm_source=linkedin_showcase&amp;utm_medium=social&amp;utm_campaign=2610_ff_lansare&amp;utm_content=cald_general</v>
      </c>
    </row>
    <row r="1984" customFormat="false" ht="15" hidden="false" customHeight="false" outlineLevel="0" collapsed="false">
      <c r="A1984" s="10" t="s">
        <v>95</v>
      </c>
      <c r="B1984" s="10" t="str">
        <f aca="false">INDEX('Site-uri'!$B$2:$B$20,MATCH(A1984,'Site-uri'!$A$2:$A$20,0))</f>
        <v>floride-e2.com</v>
      </c>
      <c r="C1984" s="10" t="s">
        <v>112</v>
      </c>
      <c r="D1984" s="10" t="s">
        <v>231</v>
      </c>
      <c r="E1984" s="10" t="str">
        <f aca="false">INDEX(Canale!$C$2:$C$30,MATCH(C1984,Canale!$A$2:$A$30,0))</f>
        <v>linkedin_showcase</v>
      </c>
      <c r="F1984" s="10" t="str">
        <f aca="false">INDEX(Canale!$D$2:$D$30,MATCH(C1984,Canale!$A$2:$A$30,0))</f>
        <v>social</v>
      </c>
      <c r="G1984" s="10" t="str">
        <f aca="false">INDEX('Site-uri'!$C$2:$C$20,MATCH(A1984,'Site-uri'!$A$2:$A$20,0))</f>
        <v>/</v>
      </c>
      <c r="H1984" s="10" t="str">
        <f aca="false">Config!$B$3</f>
        <v>2610_ff_lansare</v>
      </c>
      <c r="I1984" s="10" t="str">
        <f aca="false">D1984&amp;"_"&amp;Config!$B$4</f>
        <v>fierbinte_general</v>
      </c>
      <c r="J1984" s="10" t="str">
        <f aca="false">"https://"&amp;B1984&amp;G1984&amp;"?utm_source="&amp;E1984&amp;"&amp;utm_medium="&amp;F1984&amp;"&amp;utm_campaign="&amp;H1984&amp;"&amp;utm_content="&amp;I1984</f>
        <v>https://floride-e2.com/?utm_source=linkedin_showcase&amp;utm_medium=social&amp;utm_campaign=2610_ff_lansare&amp;utm_content=fierbinte_general</v>
      </c>
    </row>
    <row r="1985" customFormat="false" ht="15" hidden="false" customHeight="false" outlineLevel="0" collapsed="false">
      <c r="A1985" s="10" t="s">
        <v>95</v>
      </c>
      <c r="B1985" s="10" t="str">
        <f aca="false">INDEX('Site-uri'!$B$2:$B$20,MATCH(A1985,'Site-uri'!$A$2:$A$20,0))</f>
        <v>floride-e2.com</v>
      </c>
      <c r="C1985" s="10" t="s">
        <v>112</v>
      </c>
      <c r="D1985" s="10" t="s">
        <v>237</v>
      </c>
      <c r="E1985" s="10" t="str">
        <f aca="false">INDEX(Canale!$C$2:$C$30,MATCH(C1985,Canale!$A$2:$A$30,0))</f>
        <v>linkedin_showcase</v>
      </c>
      <c r="F1985" s="10" t="str">
        <f aca="false">INDEX(Canale!$D$2:$D$30,MATCH(C1985,Canale!$A$2:$A$30,0))</f>
        <v>social</v>
      </c>
      <c r="G1985" s="10" t="str">
        <f aca="false">INDEX('Site-uri'!$C$2:$C$20,MATCH(A1985,'Site-uri'!$A$2:$A$20,0))</f>
        <v>/</v>
      </c>
      <c r="H1985" s="10" t="str">
        <f aca="false">Config!$B$3</f>
        <v>2610_ff_lansare</v>
      </c>
      <c r="I1985" s="10" t="str">
        <f aca="false">D1985&amp;"_"&amp;Config!$B$4</f>
        <v>client_general</v>
      </c>
      <c r="J1985" s="10" t="str">
        <f aca="false">"https://"&amp;B1985&amp;G1985&amp;"?utm_source="&amp;E1985&amp;"&amp;utm_medium="&amp;F1985&amp;"&amp;utm_campaign="&amp;H1985&amp;"&amp;utm_content="&amp;I1985</f>
        <v>https://floride-e2.com/?utm_source=linkedin_showcase&amp;utm_medium=social&amp;utm_campaign=2610_ff_lansare&amp;utm_content=client_general</v>
      </c>
    </row>
    <row r="1986" customFormat="false" ht="15" hidden="false" customHeight="false" outlineLevel="0" collapsed="false">
      <c r="A1986" s="10" t="s">
        <v>95</v>
      </c>
      <c r="B1986" s="10" t="str">
        <f aca="false">INDEX('Site-uri'!$B$2:$B$20,MATCH(A1986,'Site-uri'!$A$2:$A$20,0))</f>
        <v>floride-e2.com</v>
      </c>
      <c r="C1986" s="10" t="s">
        <v>115</v>
      </c>
      <c r="D1986" s="10" t="s">
        <v>219</v>
      </c>
      <c r="E1986" s="10" t="str">
        <f aca="false">INDEX(Canale!$C$2:$C$30,MATCH(C1986,Canale!$A$2:$A$30,0))</f>
        <v>linkedin_newsletter</v>
      </c>
      <c r="F1986" s="10" t="str">
        <f aca="false">INDEX(Canale!$D$2:$D$30,MATCH(C1986,Canale!$A$2:$A$30,0))</f>
        <v>social</v>
      </c>
      <c r="G1986" s="10" t="str">
        <f aca="false">INDEX('Site-uri'!$C$2:$C$20,MATCH(A1986,'Site-uri'!$A$2:$A$20,0))</f>
        <v>/</v>
      </c>
      <c r="H1986" s="10" t="str">
        <f aca="false">Config!$B$3</f>
        <v>2610_ff_lansare</v>
      </c>
      <c r="I1986" s="10" t="str">
        <f aca="false">D1986&amp;"_"&amp;Config!$B$4</f>
        <v>rece_general</v>
      </c>
      <c r="J1986" s="10" t="str">
        <f aca="false">"https://"&amp;B1986&amp;G1986&amp;"?utm_source="&amp;E1986&amp;"&amp;utm_medium="&amp;F1986&amp;"&amp;utm_campaign="&amp;H1986&amp;"&amp;utm_content="&amp;I1986</f>
        <v>https://floride-e2.com/?utm_source=linkedin_newsletter&amp;utm_medium=social&amp;utm_campaign=2610_ff_lansare&amp;utm_content=rece_general</v>
      </c>
    </row>
    <row r="1987" customFormat="false" ht="15" hidden="false" customHeight="false" outlineLevel="0" collapsed="false">
      <c r="A1987" s="10" t="s">
        <v>95</v>
      </c>
      <c r="B1987" s="10" t="str">
        <f aca="false">INDEX('Site-uri'!$B$2:$B$20,MATCH(A1987,'Site-uri'!$A$2:$A$20,0))</f>
        <v>floride-e2.com</v>
      </c>
      <c r="C1987" s="10" t="s">
        <v>115</v>
      </c>
      <c r="D1987" s="10" t="s">
        <v>225</v>
      </c>
      <c r="E1987" s="10" t="str">
        <f aca="false">INDEX(Canale!$C$2:$C$30,MATCH(C1987,Canale!$A$2:$A$30,0))</f>
        <v>linkedin_newsletter</v>
      </c>
      <c r="F1987" s="10" t="str">
        <f aca="false">INDEX(Canale!$D$2:$D$30,MATCH(C1987,Canale!$A$2:$A$30,0))</f>
        <v>social</v>
      </c>
      <c r="G1987" s="10" t="str">
        <f aca="false">INDEX('Site-uri'!$C$2:$C$20,MATCH(A1987,'Site-uri'!$A$2:$A$20,0))</f>
        <v>/</v>
      </c>
      <c r="H1987" s="10" t="str">
        <f aca="false">Config!$B$3</f>
        <v>2610_ff_lansare</v>
      </c>
      <c r="I1987" s="10" t="str">
        <f aca="false">D1987&amp;"_"&amp;Config!$B$4</f>
        <v>cald_general</v>
      </c>
      <c r="J1987" s="10" t="str">
        <f aca="false">"https://"&amp;B1987&amp;G1987&amp;"?utm_source="&amp;E1987&amp;"&amp;utm_medium="&amp;F1987&amp;"&amp;utm_campaign="&amp;H1987&amp;"&amp;utm_content="&amp;I1987</f>
        <v>https://floride-e2.com/?utm_source=linkedin_newsletter&amp;utm_medium=social&amp;utm_campaign=2610_ff_lansare&amp;utm_content=cald_general</v>
      </c>
    </row>
    <row r="1988" customFormat="false" ht="15" hidden="false" customHeight="false" outlineLevel="0" collapsed="false">
      <c r="A1988" s="10" t="s">
        <v>95</v>
      </c>
      <c r="B1988" s="10" t="str">
        <f aca="false">INDEX('Site-uri'!$B$2:$B$20,MATCH(A1988,'Site-uri'!$A$2:$A$20,0))</f>
        <v>floride-e2.com</v>
      </c>
      <c r="C1988" s="10" t="s">
        <v>115</v>
      </c>
      <c r="D1988" s="10" t="s">
        <v>231</v>
      </c>
      <c r="E1988" s="10" t="str">
        <f aca="false">INDEX(Canale!$C$2:$C$30,MATCH(C1988,Canale!$A$2:$A$30,0))</f>
        <v>linkedin_newsletter</v>
      </c>
      <c r="F1988" s="10" t="str">
        <f aca="false">INDEX(Canale!$D$2:$D$30,MATCH(C1988,Canale!$A$2:$A$30,0))</f>
        <v>social</v>
      </c>
      <c r="G1988" s="10" t="str">
        <f aca="false">INDEX('Site-uri'!$C$2:$C$20,MATCH(A1988,'Site-uri'!$A$2:$A$20,0))</f>
        <v>/</v>
      </c>
      <c r="H1988" s="10" t="str">
        <f aca="false">Config!$B$3</f>
        <v>2610_ff_lansare</v>
      </c>
      <c r="I1988" s="10" t="str">
        <f aca="false">D1988&amp;"_"&amp;Config!$B$4</f>
        <v>fierbinte_general</v>
      </c>
      <c r="J1988" s="10" t="str">
        <f aca="false">"https://"&amp;B1988&amp;G1988&amp;"?utm_source="&amp;E1988&amp;"&amp;utm_medium="&amp;F1988&amp;"&amp;utm_campaign="&amp;H1988&amp;"&amp;utm_content="&amp;I1988</f>
        <v>https://floride-e2.com/?utm_source=linkedin_newsletter&amp;utm_medium=social&amp;utm_campaign=2610_ff_lansare&amp;utm_content=fierbinte_general</v>
      </c>
    </row>
    <row r="1989" customFormat="false" ht="15" hidden="false" customHeight="false" outlineLevel="0" collapsed="false">
      <c r="A1989" s="10" t="s">
        <v>95</v>
      </c>
      <c r="B1989" s="10" t="str">
        <f aca="false">INDEX('Site-uri'!$B$2:$B$20,MATCH(A1989,'Site-uri'!$A$2:$A$20,0))</f>
        <v>floride-e2.com</v>
      </c>
      <c r="C1989" s="10" t="s">
        <v>115</v>
      </c>
      <c r="D1989" s="10" t="s">
        <v>237</v>
      </c>
      <c r="E1989" s="10" t="str">
        <f aca="false">INDEX(Canale!$C$2:$C$30,MATCH(C1989,Canale!$A$2:$A$30,0))</f>
        <v>linkedin_newsletter</v>
      </c>
      <c r="F1989" s="10" t="str">
        <f aca="false">INDEX(Canale!$D$2:$D$30,MATCH(C1989,Canale!$A$2:$A$30,0))</f>
        <v>social</v>
      </c>
      <c r="G1989" s="10" t="str">
        <f aca="false">INDEX('Site-uri'!$C$2:$C$20,MATCH(A1989,'Site-uri'!$A$2:$A$20,0))</f>
        <v>/</v>
      </c>
      <c r="H1989" s="10" t="str">
        <f aca="false">Config!$B$3</f>
        <v>2610_ff_lansare</v>
      </c>
      <c r="I1989" s="10" t="str">
        <f aca="false">D1989&amp;"_"&amp;Config!$B$4</f>
        <v>client_general</v>
      </c>
      <c r="J1989" s="10" t="str">
        <f aca="false">"https://"&amp;B1989&amp;G1989&amp;"?utm_source="&amp;E1989&amp;"&amp;utm_medium="&amp;F1989&amp;"&amp;utm_campaign="&amp;H1989&amp;"&amp;utm_content="&amp;I1989</f>
        <v>https://floride-e2.com/?utm_source=linkedin_newsletter&amp;utm_medium=social&amp;utm_campaign=2610_ff_lansare&amp;utm_content=client_general</v>
      </c>
    </row>
    <row r="1990" customFormat="false" ht="15" hidden="false" customHeight="false" outlineLevel="0" collapsed="false">
      <c r="A1990" s="10" t="s">
        <v>95</v>
      </c>
      <c r="B1990" s="10" t="str">
        <f aca="false">INDEX('Site-uri'!$B$2:$B$20,MATCH(A1990,'Site-uri'!$A$2:$A$20,0))</f>
        <v>floride-e2.com</v>
      </c>
      <c r="C1990" s="10" t="s">
        <v>118</v>
      </c>
      <c r="D1990" s="10" t="s">
        <v>219</v>
      </c>
      <c r="E1990" s="10" t="str">
        <f aca="false">INDEX(Canale!$C$2:$C$30,MATCH(C1990,Canale!$A$2:$A$30,0))</f>
        <v>linkedin_ads</v>
      </c>
      <c r="F1990" s="10" t="str">
        <f aca="false">INDEX(Canale!$D$2:$D$30,MATCH(C1990,Canale!$A$2:$A$30,0))</f>
        <v>paid_social</v>
      </c>
      <c r="G1990" s="10" t="str">
        <f aca="false">INDEX('Site-uri'!$C$2:$C$20,MATCH(A1990,'Site-uri'!$A$2:$A$20,0))</f>
        <v>/</v>
      </c>
      <c r="H1990" s="10" t="str">
        <f aca="false">Config!$B$3</f>
        <v>2610_ff_lansare</v>
      </c>
      <c r="I1990" s="10" t="str">
        <f aca="false">D1990&amp;"_"&amp;Config!$B$4</f>
        <v>rece_general</v>
      </c>
      <c r="J1990" s="10" t="str">
        <f aca="false">"https://"&amp;B1990&amp;G1990&amp;"?utm_source="&amp;E1990&amp;"&amp;utm_medium="&amp;F1990&amp;"&amp;utm_campaign="&amp;H1990&amp;"&amp;utm_content="&amp;I1990</f>
        <v>https://floride-e2.com/?utm_source=linkedin_ads&amp;utm_medium=paid_social&amp;utm_campaign=2610_ff_lansare&amp;utm_content=rece_general</v>
      </c>
    </row>
    <row r="1991" customFormat="false" ht="15" hidden="false" customHeight="false" outlineLevel="0" collapsed="false">
      <c r="A1991" s="10" t="s">
        <v>95</v>
      </c>
      <c r="B1991" s="10" t="str">
        <f aca="false">INDEX('Site-uri'!$B$2:$B$20,MATCH(A1991,'Site-uri'!$A$2:$A$20,0))</f>
        <v>floride-e2.com</v>
      </c>
      <c r="C1991" s="10" t="s">
        <v>118</v>
      </c>
      <c r="D1991" s="10" t="s">
        <v>225</v>
      </c>
      <c r="E1991" s="10" t="str">
        <f aca="false">INDEX(Canale!$C$2:$C$30,MATCH(C1991,Canale!$A$2:$A$30,0))</f>
        <v>linkedin_ads</v>
      </c>
      <c r="F1991" s="10" t="str">
        <f aca="false">INDEX(Canale!$D$2:$D$30,MATCH(C1991,Canale!$A$2:$A$30,0))</f>
        <v>paid_social</v>
      </c>
      <c r="G1991" s="10" t="str">
        <f aca="false">INDEX('Site-uri'!$C$2:$C$20,MATCH(A1991,'Site-uri'!$A$2:$A$20,0))</f>
        <v>/</v>
      </c>
      <c r="H1991" s="10" t="str">
        <f aca="false">Config!$B$3</f>
        <v>2610_ff_lansare</v>
      </c>
      <c r="I1991" s="10" t="str">
        <f aca="false">D1991&amp;"_"&amp;Config!$B$4</f>
        <v>cald_general</v>
      </c>
      <c r="J1991" s="10" t="str">
        <f aca="false">"https://"&amp;B1991&amp;G1991&amp;"?utm_source="&amp;E1991&amp;"&amp;utm_medium="&amp;F1991&amp;"&amp;utm_campaign="&amp;H1991&amp;"&amp;utm_content="&amp;I1991</f>
        <v>https://floride-e2.com/?utm_source=linkedin_ads&amp;utm_medium=paid_social&amp;utm_campaign=2610_ff_lansare&amp;utm_content=cald_general</v>
      </c>
    </row>
    <row r="1992" customFormat="false" ht="15" hidden="false" customHeight="false" outlineLevel="0" collapsed="false">
      <c r="A1992" s="10" t="s">
        <v>95</v>
      </c>
      <c r="B1992" s="10" t="str">
        <f aca="false">INDEX('Site-uri'!$B$2:$B$20,MATCH(A1992,'Site-uri'!$A$2:$A$20,0))</f>
        <v>floride-e2.com</v>
      </c>
      <c r="C1992" s="10" t="s">
        <v>118</v>
      </c>
      <c r="D1992" s="10" t="s">
        <v>231</v>
      </c>
      <c r="E1992" s="10" t="str">
        <f aca="false">INDEX(Canale!$C$2:$C$30,MATCH(C1992,Canale!$A$2:$A$30,0))</f>
        <v>linkedin_ads</v>
      </c>
      <c r="F1992" s="10" t="str">
        <f aca="false">INDEX(Canale!$D$2:$D$30,MATCH(C1992,Canale!$A$2:$A$30,0))</f>
        <v>paid_social</v>
      </c>
      <c r="G1992" s="10" t="str">
        <f aca="false">INDEX('Site-uri'!$C$2:$C$20,MATCH(A1992,'Site-uri'!$A$2:$A$20,0))</f>
        <v>/</v>
      </c>
      <c r="H1992" s="10" t="str">
        <f aca="false">Config!$B$3</f>
        <v>2610_ff_lansare</v>
      </c>
      <c r="I1992" s="10" t="str">
        <f aca="false">D1992&amp;"_"&amp;Config!$B$4</f>
        <v>fierbinte_general</v>
      </c>
      <c r="J1992" s="10" t="str">
        <f aca="false">"https://"&amp;B1992&amp;G1992&amp;"?utm_source="&amp;E1992&amp;"&amp;utm_medium="&amp;F1992&amp;"&amp;utm_campaign="&amp;H1992&amp;"&amp;utm_content="&amp;I1992</f>
        <v>https://floride-e2.com/?utm_source=linkedin_ads&amp;utm_medium=paid_social&amp;utm_campaign=2610_ff_lansare&amp;utm_content=fierbinte_general</v>
      </c>
    </row>
    <row r="1993" customFormat="false" ht="15" hidden="false" customHeight="false" outlineLevel="0" collapsed="false">
      <c r="A1993" s="10" t="s">
        <v>95</v>
      </c>
      <c r="B1993" s="10" t="str">
        <f aca="false">INDEX('Site-uri'!$B$2:$B$20,MATCH(A1993,'Site-uri'!$A$2:$A$20,0))</f>
        <v>floride-e2.com</v>
      </c>
      <c r="C1993" s="10" t="s">
        <v>118</v>
      </c>
      <c r="D1993" s="10" t="s">
        <v>237</v>
      </c>
      <c r="E1993" s="10" t="str">
        <f aca="false">INDEX(Canale!$C$2:$C$30,MATCH(C1993,Canale!$A$2:$A$30,0))</f>
        <v>linkedin_ads</v>
      </c>
      <c r="F1993" s="10" t="str">
        <f aca="false">INDEX(Canale!$D$2:$D$30,MATCH(C1993,Canale!$A$2:$A$30,0))</f>
        <v>paid_social</v>
      </c>
      <c r="G1993" s="10" t="str">
        <f aca="false">INDEX('Site-uri'!$C$2:$C$20,MATCH(A1993,'Site-uri'!$A$2:$A$20,0))</f>
        <v>/</v>
      </c>
      <c r="H1993" s="10" t="str">
        <f aca="false">Config!$B$3</f>
        <v>2610_ff_lansare</v>
      </c>
      <c r="I1993" s="10" t="str">
        <f aca="false">D1993&amp;"_"&amp;Config!$B$4</f>
        <v>client_general</v>
      </c>
      <c r="J1993" s="10" t="str">
        <f aca="false">"https://"&amp;B1993&amp;G1993&amp;"?utm_source="&amp;E1993&amp;"&amp;utm_medium="&amp;F1993&amp;"&amp;utm_campaign="&amp;H1993&amp;"&amp;utm_content="&amp;I1993</f>
        <v>https://floride-e2.com/?utm_source=linkedin_ads&amp;utm_medium=paid_social&amp;utm_campaign=2610_ff_lansare&amp;utm_content=client_general</v>
      </c>
    </row>
    <row r="1994" customFormat="false" ht="15" hidden="false" customHeight="false" outlineLevel="0" collapsed="false">
      <c r="A1994" s="10" t="s">
        <v>95</v>
      </c>
      <c r="B1994" s="10" t="str">
        <f aca="false">INDEX('Site-uri'!$B$2:$B$20,MATCH(A1994,'Site-uri'!$A$2:$A$20,0))</f>
        <v>floride-e2.com</v>
      </c>
      <c r="C1994" s="10" t="s">
        <v>122</v>
      </c>
      <c r="D1994" s="10" t="s">
        <v>219</v>
      </c>
      <c r="E1994" s="10" t="str">
        <f aca="false">INDEX(Canale!$C$2:$C$30,MATCH(C1994,Canale!$A$2:$A$30,0))</f>
        <v>linkedin_dm</v>
      </c>
      <c r="F1994" s="10" t="str">
        <f aca="false">INDEX(Canale!$D$2:$D$30,MATCH(C1994,Canale!$A$2:$A$30,0))</f>
        <v>dm</v>
      </c>
      <c r="G1994" s="10" t="str">
        <f aca="false">INDEX('Site-uri'!$C$2:$C$20,MATCH(A1994,'Site-uri'!$A$2:$A$20,0))</f>
        <v>/</v>
      </c>
      <c r="H1994" s="10" t="str">
        <f aca="false">Config!$B$3</f>
        <v>2610_ff_lansare</v>
      </c>
      <c r="I1994" s="10" t="str">
        <f aca="false">D1994&amp;"_"&amp;Config!$B$4</f>
        <v>rece_general</v>
      </c>
      <c r="J1994" s="10" t="str">
        <f aca="false">"https://"&amp;B1994&amp;G1994&amp;"?utm_source="&amp;E1994&amp;"&amp;utm_medium="&amp;F1994&amp;"&amp;utm_campaign="&amp;H1994&amp;"&amp;utm_content="&amp;I1994</f>
        <v>https://floride-e2.com/?utm_source=linkedin_dm&amp;utm_medium=dm&amp;utm_campaign=2610_ff_lansare&amp;utm_content=rece_general</v>
      </c>
    </row>
    <row r="1995" customFormat="false" ht="15" hidden="false" customHeight="false" outlineLevel="0" collapsed="false">
      <c r="A1995" s="10" t="s">
        <v>95</v>
      </c>
      <c r="B1995" s="10" t="str">
        <f aca="false">INDEX('Site-uri'!$B$2:$B$20,MATCH(A1995,'Site-uri'!$A$2:$A$20,0))</f>
        <v>floride-e2.com</v>
      </c>
      <c r="C1995" s="10" t="s">
        <v>122</v>
      </c>
      <c r="D1995" s="10" t="s">
        <v>225</v>
      </c>
      <c r="E1995" s="10" t="str">
        <f aca="false">INDEX(Canale!$C$2:$C$30,MATCH(C1995,Canale!$A$2:$A$30,0))</f>
        <v>linkedin_dm</v>
      </c>
      <c r="F1995" s="10" t="str">
        <f aca="false">INDEX(Canale!$D$2:$D$30,MATCH(C1995,Canale!$A$2:$A$30,0))</f>
        <v>dm</v>
      </c>
      <c r="G1995" s="10" t="str">
        <f aca="false">INDEX('Site-uri'!$C$2:$C$20,MATCH(A1995,'Site-uri'!$A$2:$A$20,0))</f>
        <v>/</v>
      </c>
      <c r="H1995" s="10" t="str">
        <f aca="false">Config!$B$3</f>
        <v>2610_ff_lansare</v>
      </c>
      <c r="I1995" s="10" t="str">
        <f aca="false">D1995&amp;"_"&amp;Config!$B$4</f>
        <v>cald_general</v>
      </c>
      <c r="J1995" s="10" t="str">
        <f aca="false">"https://"&amp;B1995&amp;G1995&amp;"?utm_source="&amp;E1995&amp;"&amp;utm_medium="&amp;F1995&amp;"&amp;utm_campaign="&amp;H1995&amp;"&amp;utm_content="&amp;I1995</f>
        <v>https://floride-e2.com/?utm_source=linkedin_dm&amp;utm_medium=dm&amp;utm_campaign=2610_ff_lansare&amp;utm_content=cald_general</v>
      </c>
    </row>
    <row r="1996" customFormat="false" ht="15" hidden="false" customHeight="false" outlineLevel="0" collapsed="false">
      <c r="A1996" s="10" t="s">
        <v>95</v>
      </c>
      <c r="B1996" s="10" t="str">
        <f aca="false">INDEX('Site-uri'!$B$2:$B$20,MATCH(A1996,'Site-uri'!$A$2:$A$20,0))</f>
        <v>floride-e2.com</v>
      </c>
      <c r="C1996" s="10" t="s">
        <v>122</v>
      </c>
      <c r="D1996" s="10" t="s">
        <v>231</v>
      </c>
      <c r="E1996" s="10" t="str">
        <f aca="false">INDEX(Canale!$C$2:$C$30,MATCH(C1996,Canale!$A$2:$A$30,0))</f>
        <v>linkedin_dm</v>
      </c>
      <c r="F1996" s="10" t="str">
        <f aca="false">INDEX(Canale!$D$2:$D$30,MATCH(C1996,Canale!$A$2:$A$30,0))</f>
        <v>dm</v>
      </c>
      <c r="G1996" s="10" t="str">
        <f aca="false">INDEX('Site-uri'!$C$2:$C$20,MATCH(A1996,'Site-uri'!$A$2:$A$20,0))</f>
        <v>/</v>
      </c>
      <c r="H1996" s="10" t="str">
        <f aca="false">Config!$B$3</f>
        <v>2610_ff_lansare</v>
      </c>
      <c r="I1996" s="10" t="str">
        <f aca="false">D1996&amp;"_"&amp;Config!$B$4</f>
        <v>fierbinte_general</v>
      </c>
      <c r="J1996" s="10" t="str">
        <f aca="false">"https://"&amp;B1996&amp;G1996&amp;"?utm_source="&amp;E1996&amp;"&amp;utm_medium="&amp;F1996&amp;"&amp;utm_campaign="&amp;H1996&amp;"&amp;utm_content="&amp;I1996</f>
        <v>https://floride-e2.com/?utm_source=linkedin_dm&amp;utm_medium=dm&amp;utm_campaign=2610_ff_lansare&amp;utm_content=fierbinte_general</v>
      </c>
    </row>
    <row r="1997" customFormat="false" ht="15" hidden="false" customHeight="false" outlineLevel="0" collapsed="false">
      <c r="A1997" s="10" t="s">
        <v>95</v>
      </c>
      <c r="B1997" s="10" t="str">
        <f aca="false">INDEX('Site-uri'!$B$2:$B$20,MATCH(A1997,'Site-uri'!$A$2:$A$20,0))</f>
        <v>floride-e2.com</v>
      </c>
      <c r="C1997" s="10" t="s">
        <v>122</v>
      </c>
      <c r="D1997" s="10" t="s">
        <v>237</v>
      </c>
      <c r="E1997" s="10" t="str">
        <f aca="false">INDEX(Canale!$C$2:$C$30,MATCH(C1997,Canale!$A$2:$A$30,0))</f>
        <v>linkedin_dm</v>
      </c>
      <c r="F1997" s="10" t="str">
        <f aca="false">INDEX(Canale!$D$2:$D$30,MATCH(C1997,Canale!$A$2:$A$30,0))</f>
        <v>dm</v>
      </c>
      <c r="G1997" s="10" t="str">
        <f aca="false">INDEX('Site-uri'!$C$2:$C$20,MATCH(A1997,'Site-uri'!$A$2:$A$20,0))</f>
        <v>/</v>
      </c>
      <c r="H1997" s="10" t="str">
        <f aca="false">Config!$B$3</f>
        <v>2610_ff_lansare</v>
      </c>
      <c r="I1997" s="10" t="str">
        <f aca="false">D1997&amp;"_"&amp;Config!$B$4</f>
        <v>client_general</v>
      </c>
      <c r="J1997" s="10" t="str">
        <f aca="false">"https://"&amp;B1997&amp;G1997&amp;"?utm_source="&amp;E1997&amp;"&amp;utm_medium="&amp;F1997&amp;"&amp;utm_campaign="&amp;H1997&amp;"&amp;utm_content="&amp;I1997</f>
        <v>https://floride-e2.com/?utm_source=linkedin_dm&amp;utm_medium=dm&amp;utm_campaign=2610_ff_lansare&amp;utm_content=client_general</v>
      </c>
    </row>
    <row r="1998" customFormat="false" ht="15" hidden="false" customHeight="false" outlineLevel="0" collapsed="false">
      <c r="A1998" s="10" t="s">
        <v>95</v>
      </c>
      <c r="B1998" s="10" t="str">
        <f aca="false">INDEX('Site-uri'!$B$2:$B$20,MATCH(A1998,'Site-uri'!$A$2:$A$20,0))</f>
        <v>floride-e2.com</v>
      </c>
      <c r="C1998" s="10" t="s">
        <v>126</v>
      </c>
      <c r="D1998" s="10" t="s">
        <v>219</v>
      </c>
      <c r="E1998" s="10" t="str">
        <f aca="false">INDEX(Canale!$C$2:$C$30,MATCH(C1998,Canale!$A$2:$A$30,0))</f>
        <v>email_outreach</v>
      </c>
      <c r="F1998" s="10" t="str">
        <f aca="false">INDEX(Canale!$D$2:$D$30,MATCH(C1998,Canale!$A$2:$A$30,0))</f>
        <v>email</v>
      </c>
      <c r="G1998" s="10" t="str">
        <f aca="false">INDEX('Site-uri'!$C$2:$C$20,MATCH(A1998,'Site-uri'!$A$2:$A$20,0))</f>
        <v>/</v>
      </c>
      <c r="H1998" s="10" t="str">
        <f aca="false">Config!$B$3</f>
        <v>2610_ff_lansare</v>
      </c>
      <c r="I1998" s="10" t="str">
        <f aca="false">D1998&amp;"_"&amp;Config!$B$4</f>
        <v>rece_general</v>
      </c>
      <c r="J1998" s="10" t="str">
        <f aca="false">"https://"&amp;B1998&amp;G1998&amp;"?utm_source="&amp;E1998&amp;"&amp;utm_medium="&amp;F1998&amp;"&amp;utm_campaign="&amp;H1998&amp;"&amp;utm_content="&amp;I1998</f>
        <v>https://floride-e2.com/?utm_source=email_outreach&amp;utm_medium=email&amp;utm_campaign=2610_ff_lansare&amp;utm_content=rece_general</v>
      </c>
    </row>
    <row r="1999" customFormat="false" ht="15" hidden="false" customHeight="false" outlineLevel="0" collapsed="false">
      <c r="A1999" s="10" t="s">
        <v>95</v>
      </c>
      <c r="B1999" s="10" t="str">
        <f aca="false">INDEX('Site-uri'!$B$2:$B$20,MATCH(A1999,'Site-uri'!$A$2:$A$20,0))</f>
        <v>floride-e2.com</v>
      </c>
      <c r="C1999" s="10" t="s">
        <v>126</v>
      </c>
      <c r="D1999" s="10" t="s">
        <v>225</v>
      </c>
      <c r="E1999" s="10" t="str">
        <f aca="false">INDEX(Canale!$C$2:$C$30,MATCH(C1999,Canale!$A$2:$A$30,0))</f>
        <v>email_outreach</v>
      </c>
      <c r="F1999" s="10" t="str">
        <f aca="false">INDEX(Canale!$D$2:$D$30,MATCH(C1999,Canale!$A$2:$A$30,0))</f>
        <v>email</v>
      </c>
      <c r="G1999" s="10" t="str">
        <f aca="false">INDEX('Site-uri'!$C$2:$C$20,MATCH(A1999,'Site-uri'!$A$2:$A$20,0))</f>
        <v>/</v>
      </c>
      <c r="H1999" s="10" t="str">
        <f aca="false">Config!$B$3</f>
        <v>2610_ff_lansare</v>
      </c>
      <c r="I1999" s="10" t="str">
        <f aca="false">D1999&amp;"_"&amp;Config!$B$4</f>
        <v>cald_general</v>
      </c>
      <c r="J1999" s="10" t="str">
        <f aca="false">"https://"&amp;B1999&amp;G1999&amp;"?utm_source="&amp;E1999&amp;"&amp;utm_medium="&amp;F1999&amp;"&amp;utm_campaign="&amp;H1999&amp;"&amp;utm_content="&amp;I1999</f>
        <v>https://floride-e2.com/?utm_source=email_outreach&amp;utm_medium=email&amp;utm_campaign=2610_ff_lansare&amp;utm_content=cald_general</v>
      </c>
    </row>
    <row r="2000" customFormat="false" ht="15" hidden="false" customHeight="false" outlineLevel="0" collapsed="false">
      <c r="A2000" s="10" t="s">
        <v>95</v>
      </c>
      <c r="B2000" s="10" t="str">
        <f aca="false">INDEX('Site-uri'!$B$2:$B$20,MATCH(A2000,'Site-uri'!$A$2:$A$20,0))</f>
        <v>floride-e2.com</v>
      </c>
      <c r="C2000" s="10" t="s">
        <v>126</v>
      </c>
      <c r="D2000" s="10" t="s">
        <v>231</v>
      </c>
      <c r="E2000" s="10" t="str">
        <f aca="false">INDEX(Canale!$C$2:$C$30,MATCH(C2000,Canale!$A$2:$A$30,0))</f>
        <v>email_outreach</v>
      </c>
      <c r="F2000" s="10" t="str">
        <f aca="false">INDEX(Canale!$D$2:$D$30,MATCH(C2000,Canale!$A$2:$A$30,0))</f>
        <v>email</v>
      </c>
      <c r="G2000" s="10" t="str">
        <f aca="false">INDEX('Site-uri'!$C$2:$C$20,MATCH(A2000,'Site-uri'!$A$2:$A$20,0))</f>
        <v>/</v>
      </c>
      <c r="H2000" s="10" t="str">
        <f aca="false">Config!$B$3</f>
        <v>2610_ff_lansare</v>
      </c>
      <c r="I2000" s="10" t="str">
        <f aca="false">D2000&amp;"_"&amp;Config!$B$4</f>
        <v>fierbinte_general</v>
      </c>
      <c r="J2000" s="10" t="str">
        <f aca="false">"https://"&amp;B2000&amp;G2000&amp;"?utm_source="&amp;E2000&amp;"&amp;utm_medium="&amp;F2000&amp;"&amp;utm_campaign="&amp;H2000&amp;"&amp;utm_content="&amp;I2000</f>
        <v>https://floride-e2.com/?utm_source=email_outreach&amp;utm_medium=email&amp;utm_campaign=2610_ff_lansare&amp;utm_content=fierbinte_general</v>
      </c>
    </row>
    <row r="2001" customFormat="false" ht="15" hidden="false" customHeight="false" outlineLevel="0" collapsed="false">
      <c r="A2001" s="10" t="s">
        <v>95</v>
      </c>
      <c r="B2001" s="10" t="str">
        <f aca="false">INDEX('Site-uri'!$B$2:$B$20,MATCH(A2001,'Site-uri'!$A$2:$A$20,0))</f>
        <v>floride-e2.com</v>
      </c>
      <c r="C2001" s="10" t="s">
        <v>126</v>
      </c>
      <c r="D2001" s="10" t="s">
        <v>237</v>
      </c>
      <c r="E2001" s="10" t="str">
        <f aca="false">INDEX(Canale!$C$2:$C$30,MATCH(C2001,Canale!$A$2:$A$30,0))</f>
        <v>email_outreach</v>
      </c>
      <c r="F2001" s="10" t="str">
        <f aca="false">INDEX(Canale!$D$2:$D$30,MATCH(C2001,Canale!$A$2:$A$30,0))</f>
        <v>email</v>
      </c>
      <c r="G2001" s="10" t="str">
        <f aca="false">INDEX('Site-uri'!$C$2:$C$20,MATCH(A2001,'Site-uri'!$A$2:$A$20,0))</f>
        <v>/</v>
      </c>
      <c r="H2001" s="10" t="str">
        <f aca="false">Config!$B$3</f>
        <v>2610_ff_lansare</v>
      </c>
      <c r="I2001" s="10" t="str">
        <f aca="false">D2001&amp;"_"&amp;Config!$B$4</f>
        <v>client_general</v>
      </c>
      <c r="J2001" s="10" t="str">
        <f aca="false">"https://"&amp;B2001&amp;G2001&amp;"?utm_source="&amp;E2001&amp;"&amp;utm_medium="&amp;F2001&amp;"&amp;utm_campaign="&amp;H2001&amp;"&amp;utm_content="&amp;I2001</f>
        <v>https://floride-e2.com/?utm_source=email_outreach&amp;utm_medium=email&amp;utm_campaign=2610_ff_lansare&amp;utm_content=client_general</v>
      </c>
    </row>
    <row r="2002" customFormat="false" ht="15" hidden="false" customHeight="false" outlineLevel="0" collapsed="false">
      <c r="A2002" s="10" t="s">
        <v>95</v>
      </c>
      <c r="B2002" s="10" t="str">
        <f aca="false">INDEX('Site-uri'!$B$2:$B$20,MATCH(A2002,'Site-uri'!$A$2:$A$20,0))</f>
        <v>floride-e2.com</v>
      </c>
      <c r="C2002" s="10" t="s">
        <v>131</v>
      </c>
      <c r="D2002" s="10" t="s">
        <v>219</v>
      </c>
      <c r="E2002" s="10" t="str">
        <f aca="false">INDEX(Canale!$C$2:$C$30,MATCH(C2002,Canale!$A$2:$A$30,0))</f>
        <v>newsletter</v>
      </c>
      <c r="F2002" s="10" t="str">
        <f aca="false">INDEX(Canale!$D$2:$D$30,MATCH(C2002,Canale!$A$2:$A$30,0))</f>
        <v>email</v>
      </c>
      <c r="G2002" s="10" t="str">
        <f aca="false">INDEX('Site-uri'!$C$2:$C$20,MATCH(A2002,'Site-uri'!$A$2:$A$20,0))</f>
        <v>/</v>
      </c>
      <c r="H2002" s="10" t="str">
        <f aca="false">Config!$B$3</f>
        <v>2610_ff_lansare</v>
      </c>
      <c r="I2002" s="10" t="str">
        <f aca="false">D2002&amp;"_"&amp;Config!$B$4</f>
        <v>rece_general</v>
      </c>
      <c r="J2002" s="10" t="str">
        <f aca="false">"https://"&amp;B2002&amp;G2002&amp;"?utm_source="&amp;E2002&amp;"&amp;utm_medium="&amp;F2002&amp;"&amp;utm_campaign="&amp;H2002&amp;"&amp;utm_content="&amp;I2002</f>
        <v>https://floride-e2.com/?utm_source=newsletter&amp;utm_medium=email&amp;utm_campaign=2610_ff_lansare&amp;utm_content=rece_general</v>
      </c>
    </row>
    <row r="2003" customFormat="false" ht="15" hidden="false" customHeight="false" outlineLevel="0" collapsed="false">
      <c r="A2003" s="10" t="s">
        <v>95</v>
      </c>
      <c r="B2003" s="10" t="str">
        <f aca="false">INDEX('Site-uri'!$B$2:$B$20,MATCH(A2003,'Site-uri'!$A$2:$A$20,0))</f>
        <v>floride-e2.com</v>
      </c>
      <c r="C2003" s="10" t="s">
        <v>131</v>
      </c>
      <c r="D2003" s="10" t="s">
        <v>225</v>
      </c>
      <c r="E2003" s="10" t="str">
        <f aca="false">INDEX(Canale!$C$2:$C$30,MATCH(C2003,Canale!$A$2:$A$30,0))</f>
        <v>newsletter</v>
      </c>
      <c r="F2003" s="10" t="str">
        <f aca="false">INDEX(Canale!$D$2:$D$30,MATCH(C2003,Canale!$A$2:$A$30,0))</f>
        <v>email</v>
      </c>
      <c r="G2003" s="10" t="str">
        <f aca="false">INDEX('Site-uri'!$C$2:$C$20,MATCH(A2003,'Site-uri'!$A$2:$A$20,0))</f>
        <v>/</v>
      </c>
      <c r="H2003" s="10" t="str">
        <f aca="false">Config!$B$3</f>
        <v>2610_ff_lansare</v>
      </c>
      <c r="I2003" s="10" t="str">
        <f aca="false">D2003&amp;"_"&amp;Config!$B$4</f>
        <v>cald_general</v>
      </c>
      <c r="J2003" s="10" t="str">
        <f aca="false">"https://"&amp;B2003&amp;G2003&amp;"?utm_source="&amp;E2003&amp;"&amp;utm_medium="&amp;F2003&amp;"&amp;utm_campaign="&amp;H2003&amp;"&amp;utm_content="&amp;I2003</f>
        <v>https://floride-e2.com/?utm_source=newsletter&amp;utm_medium=email&amp;utm_campaign=2610_ff_lansare&amp;utm_content=cald_general</v>
      </c>
    </row>
    <row r="2004" customFormat="false" ht="15" hidden="false" customHeight="false" outlineLevel="0" collapsed="false">
      <c r="A2004" s="10" t="s">
        <v>95</v>
      </c>
      <c r="B2004" s="10" t="str">
        <f aca="false">INDEX('Site-uri'!$B$2:$B$20,MATCH(A2004,'Site-uri'!$A$2:$A$20,0))</f>
        <v>floride-e2.com</v>
      </c>
      <c r="C2004" s="10" t="s">
        <v>131</v>
      </c>
      <c r="D2004" s="10" t="s">
        <v>231</v>
      </c>
      <c r="E2004" s="10" t="str">
        <f aca="false">INDEX(Canale!$C$2:$C$30,MATCH(C2004,Canale!$A$2:$A$30,0))</f>
        <v>newsletter</v>
      </c>
      <c r="F2004" s="10" t="str">
        <f aca="false">INDEX(Canale!$D$2:$D$30,MATCH(C2004,Canale!$A$2:$A$30,0))</f>
        <v>email</v>
      </c>
      <c r="G2004" s="10" t="str">
        <f aca="false">INDEX('Site-uri'!$C$2:$C$20,MATCH(A2004,'Site-uri'!$A$2:$A$20,0))</f>
        <v>/</v>
      </c>
      <c r="H2004" s="10" t="str">
        <f aca="false">Config!$B$3</f>
        <v>2610_ff_lansare</v>
      </c>
      <c r="I2004" s="10" t="str">
        <f aca="false">D2004&amp;"_"&amp;Config!$B$4</f>
        <v>fierbinte_general</v>
      </c>
      <c r="J2004" s="10" t="str">
        <f aca="false">"https://"&amp;B2004&amp;G2004&amp;"?utm_source="&amp;E2004&amp;"&amp;utm_medium="&amp;F2004&amp;"&amp;utm_campaign="&amp;H2004&amp;"&amp;utm_content="&amp;I2004</f>
        <v>https://floride-e2.com/?utm_source=newsletter&amp;utm_medium=email&amp;utm_campaign=2610_ff_lansare&amp;utm_content=fierbinte_general</v>
      </c>
    </row>
    <row r="2005" customFormat="false" ht="15" hidden="false" customHeight="false" outlineLevel="0" collapsed="false">
      <c r="A2005" s="10" t="s">
        <v>95</v>
      </c>
      <c r="B2005" s="10" t="str">
        <f aca="false">INDEX('Site-uri'!$B$2:$B$20,MATCH(A2005,'Site-uri'!$A$2:$A$20,0))</f>
        <v>floride-e2.com</v>
      </c>
      <c r="C2005" s="10" t="s">
        <v>131</v>
      </c>
      <c r="D2005" s="10" t="s">
        <v>237</v>
      </c>
      <c r="E2005" s="10" t="str">
        <f aca="false">INDEX(Canale!$C$2:$C$30,MATCH(C2005,Canale!$A$2:$A$30,0))</f>
        <v>newsletter</v>
      </c>
      <c r="F2005" s="10" t="str">
        <f aca="false">INDEX(Canale!$D$2:$D$30,MATCH(C2005,Canale!$A$2:$A$30,0))</f>
        <v>email</v>
      </c>
      <c r="G2005" s="10" t="str">
        <f aca="false">INDEX('Site-uri'!$C$2:$C$20,MATCH(A2005,'Site-uri'!$A$2:$A$20,0))</f>
        <v>/</v>
      </c>
      <c r="H2005" s="10" t="str">
        <f aca="false">Config!$B$3</f>
        <v>2610_ff_lansare</v>
      </c>
      <c r="I2005" s="10" t="str">
        <f aca="false">D2005&amp;"_"&amp;Config!$B$4</f>
        <v>client_general</v>
      </c>
      <c r="J2005" s="10" t="str">
        <f aca="false">"https://"&amp;B2005&amp;G2005&amp;"?utm_source="&amp;E2005&amp;"&amp;utm_medium="&amp;F2005&amp;"&amp;utm_campaign="&amp;H2005&amp;"&amp;utm_content="&amp;I2005</f>
        <v>https://floride-e2.com/?utm_source=newsletter&amp;utm_medium=email&amp;utm_campaign=2610_ff_lansare&amp;utm_content=client_general</v>
      </c>
    </row>
    <row r="2006" customFormat="false" ht="15" hidden="false" customHeight="false" outlineLevel="0" collapsed="false">
      <c r="A2006" s="10" t="s">
        <v>95</v>
      </c>
      <c r="B2006" s="10" t="str">
        <f aca="false">INDEX('Site-uri'!$B$2:$B$20,MATCH(A2006,'Site-uri'!$A$2:$A$20,0))</f>
        <v>floride-e2.com</v>
      </c>
      <c r="C2006" s="10" t="s">
        <v>134</v>
      </c>
      <c r="D2006" s="10" t="s">
        <v>219</v>
      </c>
      <c r="E2006" s="10" t="str">
        <f aca="false">INDEX(Canale!$C$2:$C$30,MATCH(C2006,Canale!$A$2:$A$30,0))</f>
        <v>email_signature</v>
      </c>
      <c r="F2006" s="10" t="str">
        <f aca="false">INDEX(Canale!$D$2:$D$30,MATCH(C2006,Canale!$A$2:$A$30,0))</f>
        <v>email</v>
      </c>
      <c r="G2006" s="10" t="str">
        <f aca="false">INDEX('Site-uri'!$C$2:$C$20,MATCH(A2006,'Site-uri'!$A$2:$A$20,0))</f>
        <v>/</v>
      </c>
      <c r="H2006" s="10" t="str">
        <f aca="false">Config!$B$3</f>
        <v>2610_ff_lansare</v>
      </c>
      <c r="I2006" s="10" t="str">
        <f aca="false">D2006&amp;"_"&amp;Config!$B$4</f>
        <v>rece_general</v>
      </c>
      <c r="J2006" s="10" t="str">
        <f aca="false">"https://"&amp;B2006&amp;G2006&amp;"?utm_source="&amp;E2006&amp;"&amp;utm_medium="&amp;F2006&amp;"&amp;utm_campaign="&amp;H2006&amp;"&amp;utm_content="&amp;I2006</f>
        <v>https://floride-e2.com/?utm_source=email_signature&amp;utm_medium=email&amp;utm_campaign=2610_ff_lansare&amp;utm_content=rece_general</v>
      </c>
    </row>
    <row r="2007" customFormat="false" ht="15" hidden="false" customHeight="false" outlineLevel="0" collapsed="false">
      <c r="A2007" s="10" t="s">
        <v>95</v>
      </c>
      <c r="B2007" s="10" t="str">
        <f aca="false">INDEX('Site-uri'!$B$2:$B$20,MATCH(A2007,'Site-uri'!$A$2:$A$20,0))</f>
        <v>floride-e2.com</v>
      </c>
      <c r="C2007" s="10" t="s">
        <v>134</v>
      </c>
      <c r="D2007" s="10" t="s">
        <v>225</v>
      </c>
      <c r="E2007" s="10" t="str">
        <f aca="false">INDEX(Canale!$C$2:$C$30,MATCH(C2007,Canale!$A$2:$A$30,0))</f>
        <v>email_signature</v>
      </c>
      <c r="F2007" s="10" t="str">
        <f aca="false">INDEX(Canale!$D$2:$D$30,MATCH(C2007,Canale!$A$2:$A$30,0))</f>
        <v>email</v>
      </c>
      <c r="G2007" s="10" t="str">
        <f aca="false">INDEX('Site-uri'!$C$2:$C$20,MATCH(A2007,'Site-uri'!$A$2:$A$20,0))</f>
        <v>/</v>
      </c>
      <c r="H2007" s="10" t="str">
        <f aca="false">Config!$B$3</f>
        <v>2610_ff_lansare</v>
      </c>
      <c r="I2007" s="10" t="str">
        <f aca="false">D2007&amp;"_"&amp;Config!$B$4</f>
        <v>cald_general</v>
      </c>
      <c r="J2007" s="10" t="str">
        <f aca="false">"https://"&amp;B2007&amp;G2007&amp;"?utm_source="&amp;E2007&amp;"&amp;utm_medium="&amp;F2007&amp;"&amp;utm_campaign="&amp;H2007&amp;"&amp;utm_content="&amp;I2007</f>
        <v>https://floride-e2.com/?utm_source=email_signature&amp;utm_medium=email&amp;utm_campaign=2610_ff_lansare&amp;utm_content=cald_general</v>
      </c>
    </row>
    <row r="2008" customFormat="false" ht="15" hidden="false" customHeight="false" outlineLevel="0" collapsed="false">
      <c r="A2008" s="10" t="s">
        <v>95</v>
      </c>
      <c r="B2008" s="10" t="str">
        <f aca="false">INDEX('Site-uri'!$B$2:$B$20,MATCH(A2008,'Site-uri'!$A$2:$A$20,0))</f>
        <v>floride-e2.com</v>
      </c>
      <c r="C2008" s="10" t="s">
        <v>134</v>
      </c>
      <c r="D2008" s="10" t="s">
        <v>231</v>
      </c>
      <c r="E2008" s="10" t="str">
        <f aca="false">INDEX(Canale!$C$2:$C$30,MATCH(C2008,Canale!$A$2:$A$30,0))</f>
        <v>email_signature</v>
      </c>
      <c r="F2008" s="10" t="str">
        <f aca="false">INDEX(Canale!$D$2:$D$30,MATCH(C2008,Canale!$A$2:$A$30,0))</f>
        <v>email</v>
      </c>
      <c r="G2008" s="10" t="str">
        <f aca="false">INDEX('Site-uri'!$C$2:$C$20,MATCH(A2008,'Site-uri'!$A$2:$A$20,0))</f>
        <v>/</v>
      </c>
      <c r="H2008" s="10" t="str">
        <f aca="false">Config!$B$3</f>
        <v>2610_ff_lansare</v>
      </c>
      <c r="I2008" s="10" t="str">
        <f aca="false">D2008&amp;"_"&amp;Config!$B$4</f>
        <v>fierbinte_general</v>
      </c>
      <c r="J2008" s="10" t="str">
        <f aca="false">"https://"&amp;B2008&amp;G2008&amp;"?utm_source="&amp;E2008&amp;"&amp;utm_medium="&amp;F2008&amp;"&amp;utm_campaign="&amp;H2008&amp;"&amp;utm_content="&amp;I2008</f>
        <v>https://floride-e2.com/?utm_source=email_signature&amp;utm_medium=email&amp;utm_campaign=2610_ff_lansare&amp;utm_content=fierbinte_general</v>
      </c>
    </row>
    <row r="2009" customFormat="false" ht="15" hidden="false" customHeight="false" outlineLevel="0" collapsed="false">
      <c r="A2009" s="10" t="s">
        <v>95</v>
      </c>
      <c r="B2009" s="10" t="str">
        <f aca="false">INDEX('Site-uri'!$B$2:$B$20,MATCH(A2009,'Site-uri'!$A$2:$A$20,0))</f>
        <v>floride-e2.com</v>
      </c>
      <c r="C2009" s="10" t="s">
        <v>134</v>
      </c>
      <c r="D2009" s="10" t="s">
        <v>237</v>
      </c>
      <c r="E2009" s="10" t="str">
        <f aca="false">INDEX(Canale!$C$2:$C$30,MATCH(C2009,Canale!$A$2:$A$30,0))</f>
        <v>email_signature</v>
      </c>
      <c r="F2009" s="10" t="str">
        <f aca="false">INDEX(Canale!$D$2:$D$30,MATCH(C2009,Canale!$A$2:$A$30,0))</f>
        <v>email</v>
      </c>
      <c r="G2009" s="10" t="str">
        <f aca="false">INDEX('Site-uri'!$C$2:$C$20,MATCH(A2009,'Site-uri'!$A$2:$A$20,0))</f>
        <v>/</v>
      </c>
      <c r="H2009" s="10" t="str">
        <f aca="false">Config!$B$3</f>
        <v>2610_ff_lansare</v>
      </c>
      <c r="I2009" s="10" t="str">
        <f aca="false">D2009&amp;"_"&amp;Config!$B$4</f>
        <v>client_general</v>
      </c>
      <c r="J2009" s="10" t="str">
        <f aca="false">"https://"&amp;B2009&amp;G2009&amp;"?utm_source="&amp;E2009&amp;"&amp;utm_medium="&amp;F2009&amp;"&amp;utm_campaign="&amp;H2009&amp;"&amp;utm_content="&amp;I2009</f>
        <v>https://floride-e2.com/?utm_source=email_signature&amp;utm_medium=email&amp;utm_campaign=2610_ff_lansare&amp;utm_content=client_general</v>
      </c>
    </row>
    <row r="2010" customFormat="false" ht="15" hidden="false" customHeight="false" outlineLevel="0" collapsed="false">
      <c r="A2010" s="10" t="s">
        <v>95</v>
      </c>
      <c r="B2010" s="10" t="str">
        <f aca="false">INDEX('Site-uri'!$B$2:$B$20,MATCH(A2010,'Site-uri'!$A$2:$A$20,0))</f>
        <v>floride-e2.com</v>
      </c>
      <c r="C2010" s="10" t="s">
        <v>137</v>
      </c>
      <c r="D2010" s="10" t="s">
        <v>219</v>
      </c>
      <c r="E2010" s="10" t="str">
        <f aca="false">INDEX(Canale!$C$2:$C$30,MATCH(C2010,Canale!$A$2:$A$30,0))</f>
        <v>whatsapp</v>
      </c>
      <c r="F2010" s="10" t="str">
        <f aca="false">INDEX(Canale!$D$2:$D$30,MATCH(C2010,Canale!$A$2:$A$30,0))</f>
        <v>dm</v>
      </c>
      <c r="G2010" s="10" t="str">
        <f aca="false">INDEX('Site-uri'!$C$2:$C$20,MATCH(A2010,'Site-uri'!$A$2:$A$20,0))</f>
        <v>/</v>
      </c>
      <c r="H2010" s="10" t="str">
        <f aca="false">Config!$B$3</f>
        <v>2610_ff_lansare</v>
      </c>
      <c r="I2010" s="10" t="str">
        <f aca="false">D2010&amp;"_"&amp;Config!$B$4</f>
        <v>rece_general</v>
      </c>
      <c r="J2010" s="10" t="str">
        <f aca="false">"https://"&amp;B2010&amp;G2010&amp;"?utm_source="&amp;E2010&amp;"&amp;utm_medium="&amp;F2010&amp;"&amp;utm_campaign="&amp;H2010&amp;"&amp;utm_content="&amp;I2010</f>
        <v>https://floride-e2.com/?utm_source=whatsapp&amp;utm_medium=dm&amp;utm_campaign=2610_ff_lansare&amp;utm_content=rece_general</v>
      </c>
    </row>
    <row r="2011" customFormat="false" ht="15" hidden="false" customHeight="false" outlineLevel="0" collapsed="false">
      <c r="A2011" s="10" t="s">
        <v>95</v>
      </c>
      <c r="B2011" s="10" t="str">
        <f aca="false">INDEX('Site-uri'!$B$2:$B$20,MATCH(A2011,'Site-uri'!$A$2:$A$20,0))</f>
        <v>floride-e2.com</v>
      </c>
      <c r="C2011" s="10" t="s">
        <v>137</v>
      </c>
      <c r="D2011" s="10" t="s">
        <v>225</v>
      </c>
      <c r="E2011" s="10" t="str">
        <f aca="false">INDEX(Canale!$C$2:$C$30,MATCH(C2011,Canale!$A$2:$A$30,0))</f>
        <v>whatsapp</v>
      </c>
      <c r="F2011" s="10" t="str">
        <f aca="false">INDEX(Canale!$D$2:$D$30,MATCH(C2011,Canale!$A$2:$A$30,0))</f>
        <v>dm</v>
      </c>
      <c r="G2011" s="10" t="str">
        <f aca="false">INDEX('Site-uri'!$C$2:$C$20,MATCH(A2011,'Site-uri'!$A$2:$A$20,0))</f>
        <v>/</v>
      </c>
      <c r="H2011" s="10" t="str">
        <f aca="false">Config!$B$3</f>
        <v>2610_ff_lansare</v>
      </c>
      <c r="I2011" s="10" t="str">
        <f aca="false">D2011&amp;"_"&amp;Config!$B$4</f>
        <v>cald_general</v>
      </c>
      <c r="J2011" s="10" t="str">
        <f aca="false">"https://"&amp;B2011&amp;G2011&amp;"?utm_source="&amp;E2011&amp;"&amp;utm_medium="&amp;F2011&amp;"&amp;utm_campaign="&amp;H2011&amp;"&amp;utm_content="&amp;I2011</f>
        <v>https://floride-e2.com/?utm_source=whatsapp&amp;utm_medium=dm&amp;utm_campaign=2610_ff_lansare&amp;utm_content=cald_general</v>
      </c>
    </row>
    <row r="2012" customFormat="false" ht="15" hidden="false" customHeight="false" outlineLevel="0" collapsed="false">
      <c r="A2012" s="10" t="s">
        <v>95</v>
      </c>
      <c r="B2012" s="10" t="str">
        <f aca="false">INDEX('Site-uri'!$B$2:$B$20,MATCH(A2012,'Site-uri'!$A$2:$A$20,0))</f>
        <v>floride-e2.com</v>
      </c>
      <c r="C2012" s="10" t="s">
        <v>137</v>
      </c>
      <c r="D2012" s="10" t="s">
        <v>231</v>
      </c>
      <c r="E2012" s="10" t="str">
        <f aca="false">INDEX(Canale!$C$2:$C$30,MATCH(C2012,Canale!$A$2:$A$30,0))</f>
        <v>whatsapp</v>
      </c>
      <c r="F2012" s="10" t="str">
        <f aca="false">INDEX(Canale!$D$2:$D$30,MATCH(C2012,Canale!$A$2:$A$30,0))</f>
        <v>dm</v>
      </c>
      <c r="G2012" s="10" t="str">
        <f aca="false">INDEX('Site-uri'!$C$2:$C$20,MATCH(A2012,'Site-uri'!$A$2:$A$20,0))</f>
        <v>/</v>
      </c>
      <c r="H2012" s="10" t="str">
        <f aca="false">Config!$B$3</f>
        <v>2610_ff_lansare</v>
      </c>
      <c r="I2012" s="10" t="str">
        <f aca="false">D2012&amp;"_"&amp;Config!$B$4</f>
        <v>fierbinte_general</v>
      </c>
      <c r="J2012" s="10" t="str">
        <f aca="false">"https://"&amp;B2012&amp;G2012&amp;"?utm_source="&amp;E2012&amp;"&amp;utm_medium="&amp;F2012&amp;"&amp;utm_campaign="&amp;H2012&amp;"&amp;utm_content="&amp;I2012</f>
        <v>https://floride-e2.com/?utm_source=whatsapp&amp;utm_medium=dm&amp;utm_campaign=2610_ff_lansare&amp;utm_content=fierbinte_general</v>
      </c>
    </row>
    <row r="2013" customFormat="false" ht="15" hidden="false" customHeight="false" outlineLevel="0" collapsed="false">
      <c r="A2013" s="10" t="s">
        <v>95</v>
      </c>
      <c r="B2013" s="10" t="str">
        <f aca="false">INDEX('Site-uri'!$B$2:$B$20,MATCH(A2013,'Site-uri'!$A$2:$A$20,0))</f>
        <v>floride-e2.com</v>
      </c>
      <c r="C2013" s="10" t="s">
        <v>137</v>
      </c>
      <c r="D2013" s="10" t="s">
        <v>237</v>
      </c>
      <c r="E2013" s="10" t="str">
        <f aca="false">INDEX(Canale!$C$2:$C$30,MATCH(C2013,Canale!$A$2:$A$30,0))</f>
        <v>whatsapp</v>
      </c>
      <c r="F2013" s="10" t="str">
        <f aca="false">INDEX(Canale!$D$2:$D$30,MATCH(C2013,Canale!$A$2:$A$30,0))</f>
        <v>dm</v>
      </c>
      <c r="G2013" s="10" t="str">
        <f aca="false">INDEX('Site-uri'!$C$2:$C$20,MATCH(A2013,'Site-uri'!$A$2:$A$20,0))</f>
        <v>/</v>
      </c>
      <c r="H2013" s="10" t="str">
        <f aca="false">Config!$B$3</f>
        <v>2610_ff_lansare</v>
      </c>
      <c r="I2013" s="10" t="str">
        <f aca="false">D2013&amp;"_"&amp;Config!$B$4</f>
        <v>client_general</v>
      </c>
      <c r="J2013" s="10" t="str">
        <f aca="false">"https://"&amp;B2013&amp;G2013&amp;"?utm_source="&amp;E2013&amp;"&amp;utm_medium="&amp;F2013&amp;"&amp;utm_campaign="&amp;H2013&amp;"&amp;utm_content="&amp;I2013</f>
        <v>https://floride-e2.com/?utm_source=whatsapp&amp;utm_medium=dm&amp;utm_campaign=2610_ff_lansare&amp;utm_content=client_general</v>
      </c>
    </row>
    <row r="2014" customFormat="false" ht="15" hidden="false" customHeight="false" outlineLevel="0" collapsed="false">
      <c r="A2014" s="10" t="s">
        <v>95</v>
      </c>
      <c r="B2014" s="10" t="str">
        <f aca="false">INDEX('Site-uri'!$B$2:$B$20,MATCH(A2014,'Site-uri'!$A$2:$A$20,0))</f>
        <v>floride-e2.com</v>
      </c>
      <c r="C2014" s="10" t="s">
        <v>141</v>
      </c>
      <c r="D2014" s="10" t="s">
        <v>219</v>
      </c>
      <c r="E2014" s="10" t="str">
        <f aca="false">INDEX(Canale!$C$2:$C$30,MATCH(C2014,Canale!$A$2:$A$30,0))</f>
        <v>google</v>
      </c>
      <c r="F2014" s="10" t="str">
        <f aca="false">INDEX(Canale!$D$2:$D$30,MATCH(C2014,Canale!$A$2:$A$30,0))</f>
        <v>cpc</v>
      </c>
      <c r="G2014" s="10" t="str">
        <f aca="false">INDEX('Site-uri'!$C$2:$C$20,MATCH(A2014,'Site-uri'!$A$2:$A$20,0))</f>
        <v>/</v>
      </c>
      <c r="H2014" s="10" t="str">
        <f aca="false">Config!$B$3</f>
        <v>2610_ff_lansare</v>
      </c>
      <c r="I2014" s="10" t="str">
        <f aca="false">D2014&amp;"_"&amp;Config!$B$4</f>
        <v>rece_general</v>
      </c>
      <c r="J2014" s="10" t="str">
        <f aca="false">"https://"&amp;B2014&amp;G2014&amp;"?utm_source="&amp;E2014&amp;"&amp;utm_medium="&amp;F2014&amp;"&amp;utm_campaign="&amp;H2014&amp;"&amp;utm_content="&amp;I2014</f>
        <v>https://floride-e2.com/?utm_source=google&amp;utm_medium=cpc&amp;utm_campaign=2610_ff_lansare&amp;utm_content=rece_general</v>
      </c>
    </row>
    <row r="2015" customFormat="false" ht="15" hidden="false" customHeight="false" outlineLevel="0" collapsed="false">
      <c r="A2015" s="10" t="s">
        <v>95</v>
      </c>
      <c r="B2015" s="10" t="str">
        <f aca="false">INDEX('Site-uri'!$B$2:$B$20,MATCH(A2015,'Site-uri'!$A$2:$A$20,0))</f>
        <v>floride-e2.com</v>
      </c>
      <c r="C2015" s="10" t="s">
        <v>141</v>
      </c>
      <c r="D2015" s="10" t="s">
        <v>225</v>
      </c>
      <c r="E2015" s="10" t="str">
        <f aca="false">INDEX(Canale!$C$2:$C$30,MATCH(C2015,Canale!$A$2:$A$30,0))</f>
        <v>google</v>
      </c>
      <c r="F2015" s="10" t="str">
        <f aca="false">INDEX(Canale!$D$2:$D$30,MATCH(C2015,Canale!$A$2:$A$30,0))</f>
        <v>cpc</v>
      </c>
      <c r="G2015" s="10" t="str">
        <f aca="false">INDEX('Site-uri'!$C$2:$C$20,MATCH(A2015,'Site-uri'!$A$2:$A$20,0))</f>
        <v>/</v>
      </c>
      <c r="H2015" s="10" t="str">
        <f aca="false">Config!$B$3</f>
        <v>2610_ff_lansare</v>
      </c>
      <c r="I2015" s="10" t="str">
        <f aca="false">D2015&amp;"_"&amp;Config!$B$4</f>
        <v>cald_general</v>
      </c>
      <c r="J2015" s="10" t="str">
        <f aca="false">"https://"&amp;B2015&amp;G2015&amp;"?utm_source="&amp;E2015&amp;"&amp;utm_medium="&amp;F2015&amp;"&amp;utm_campaign="&amp;H2015&amp;"&amp;utm_content="&amp;I2015</f>
        <v>https://floride-e2.com/?utm_source=google&amp;utm_medium=cpc&amp;utm_campaign=2610_ff_lansare&amp;utm_content=cald_general</v>
      </c>
    </row>
    <row r="2016" customFormat="false" ht="15" hidden="false" customHeight="false" outlineLevel="0" collapsed="false">
      <c r="A2016" s="10" t="s">
        <v>95</v>
      </c>
      <c r="B2016" s="10" t="str">
        <f aca="false">INDEX('Site-uri'!$B$2:$B$20,MATCH(A2016,'Site-uri'!$A$2:$A$20,0))</f>
        <v>floride-e2.com</v>
      </c>
      <c r="C2016" s="10" t="s">
        <v>141</v>
      </c>
      <c r="D2016" s="10" t="s">
        <v>231</v>
      </c>
      <c r="E2016" s="10" t="str">
        <f aca="false">INDEX(Canale!$C$2:$C$30,MATCH(C2016,Canale!$A$2:$A$30,0))</f>
        <v>google</v>
      </c>
      <c r="F2016" s="10" t="str">
        <f aca="false">INDEX(Canale!$D$2:$D$30,MATCH(C2016,Canale!$A$2:$A$30,0))</f>
        <v>cpc</v>
      </c>
      <c r="G2016" s="10" t="str">
        <f aca="false">INDEX('Site-uri'!$C$2:$C$20,MATCH(A2016,'Site-uri'!$A$2:$A$20,0))</f>
        <v>/</v>
      </c>
      <c r="H2016" s="10" t="str">
        <f aca="false">Config!$B$3</f>
        <v>2610_ff_lansare</v>
      </c>
      <c r="I2016" s="10" t="str">
        <f aca="false">D2016&amp;"_"&amp;Config!$B$4</f>
        <v>fierbinte_general</v>
      </c>
      <c r="J2016" s="10" t="str">
        <f aca="false">"https://"&amp;B2016&amp;G2016&amp;"?utm_source="&amp;E2016&amp;"&amp;utm_medium="&amp;F2016&amp;"&amp;utm_campaign="&amp;H2016&amp;"&amp;utm_content="&amp;I2016</f>
        <v>https://floride-e2.com/?utm_source=google&amp;utm_medium=cpc&amp;utm_campaign=2610_ff_lansare&amp;utm_content=fierbinte_general</v>
      </c>
    </row>
    <row r="2017" customFormat="false" ht="15" hidden="false" customHeight="false" outlineLevel="0" collapsed="false">
      <c r="A2017" s="10" t="s">
        <v>95</v>
      </c>
      <c r="B2017" s="10" t="str">
        <f aca="false">INDEX('Site-uri'!$B$2:$B$20,MATCH(A2017,'Site-uri'!$A$2:$A$20,0))</f>
        <v>floride-e2.com</v>
      </c>
      <c r="C2017" s="10" t="s">
        <v>141</v>
      </c>
      <c r="D2017" s="10" t="s">
        <v>237</v>
      </c>
      <c r="E2017" s="10" t="str">
        <f aca="false">INDEX(Canale!$C$2:$C$30,MATCH(C2017,Canale!$A$2:$A$30,0))</f>
        <v>google</v>
      </c>
      <c r="F2017" s="10" t="str">
        <f aca="false">INDEX(Canale!$D$2:$D$30,MATCH(C2017,Canale!$A$2:$A$30,0))</f>
        <v>cpc</v>
      </c>
      <c r="G2017" s="10" t="str">
        <f aca="false">INDEX('Site-uri'!$C$2:$C$20,MATCH(A2017,'Site-uri'!$A$2:$A$20,0))</f>
        <v>/</v>
      </c>
      <c r="H2017" s="10" t="str">
        <f aca="false">Config!$B$3</f>
        <v>2610_ff_lansare</v>
      </c>
      <c r="I2017" s="10" t="str">
        <f aca="false">D2017&amp;"_"&amp;Config!$B$4</f>
        <v>client_general</v>
      </c>
      <c r="J2017" s="10" t="str">
        <f aca="false">"https://"&amp;B2017&amp;G2017&amp;"?utm_source="&amp;E2017&amp;"&amp;utm_medium="&amp;F2017&amp;"&amp;utm_campaign="&amp;H2017&amp;"&amp;utm_content="&amp;I2017</f>
        <v>https://floride-e2.com/?utm_source=google&amp;utm_medium=cpc&amp;utm_campaign=2610_ff_lansare&amp;utm_content=client_general</v>
      </c>
    </row>
    <row r="2018" customFormat="false" ht="15" hidden="false" customHeight="false" outlineLevel="0" collapsed="false">
      <c r="A2018" s="10" t="s">
        <v>95</v>
      </c>
      <c r="B2018" s="10" t="str">
        <f aca="false">INDEX('Site-uri'!$B$2:$B$20,MATCH(A2018,'Site-uri'!$A$2:$A$20,0))</f>
        <v>floride-e2.com</v>
      </c>
      <c r="C2018" s="10" t="s">
        <v>146</v>
      </c>
      <c r="D2018" s="10" t="s">
        <v>219</v>
      </c>
      <c r="E2018" s="10" t="str">
        <f aca="false">INDEX(Canale!$C$2:$C$30,MATCH(C2018,Canale!$A$2:$A$30,0))</f>
        <v>bing</v>
      </c>
      <c r="F2018" s="10" t="str">
        <f aca="false">INDEX(Canale!$D$2:$D$30,MATCH(C2018,Canale!$A$2:$A$30,0))</f>
        <v>cpc</v>
      </c>
      <c r="G2018" s="10" t="str">
        <f aca="false">INDEX('Site-uri'!$C$2:$C$20,MATCH(A2018,'Site-uri'!$A$2:$A$20,0))</f>
        <v>/</v>
      </c>
      <c r="H2018" s="10" t="str">
        <f aca="false">Config!$B$3</f>
        <v>2610_ff_lansare</v>
      </c>
      <c r="I2018" s="10" t="str">
        <f aca="false">D2018&amp;"_"&amp;Config!$B$4</f>
        <v>rece_general</v>
      </c>
      <c r="J2018" s="10" t="str">
        <f aca="false">"https://"&amp;B2018&amp;G2018&amp;"?utm_source="&amp;E2018&amp;"&amp;utm_medium="&amp;F2018&amp;"&amp;utm_campaign="&amp;H2018&amp;"&amp;utm_content="&amp;I2018</f>
        <v>https://floride-e2.com/?utm_source=bing&amp;utm_medium=cpc&amp;utm_campaign=2610_ff_lansare&amp;utm_content=rece_general</v>
      </c>
    </row>
    <row r="2019" customFormat="false" ht="15" hidden="false" customHeight="false" outlineLevel="0" collapsed="false">
      <c r="A2019" s="10" t="s">
        <v>95</v>
      </c>
      <c r="B2019" s="10" t="str">
        <f aca="false">INDEX('Site-uri'!$B$2:$B$20,MATCH(A2019,'Site-uri'!$A$2:$A$20,0))</f>
        <v>floride-e2.com</v>
      </c>
      <c r="C2019" s="10" t="s">
        <v>146</v>
      </c>
      <c r="D2019" s="10" t="s">
        <v>225</v>
      </c>
      <c r="E2019" s="10" t="str">
        <f aca="false">INDEX(Canale!$C$2:$C$30,MATCH(C2019,Canale!$A$2:$A$30,0))</f>
        <v>bing</v>
      </c>
      <c r="F2019" s="10" t="str">
        <f aca="false">INDEX(Canale!$D$2:$D$30,MATCH(C2019,Canale!$A$2:$A$30,0))</f>
        <v>cpc</v>
      </c>
      <c r="G2019" s="10" t="str">
        <f aca="false">INDEX('Site-uri'!$C$2:$C$20,MATCH(A2019,'Site-uri'!$A$2:$A$20,0))</f>
        <v>/</v>
      </c>
      <c r="H2019" s="10" t="str">
        <f aca="false">Config!$B$3</f>
        <v>2610_ff_lansare</v>
      </c>
      <c r="I2019" s="10" t="str">
        <f aca="false">D2019&amp;"_"&amp;Config!$B$4</f>
        <v>cald_general</v>
      </c>
      <c r="J2019" s="10" t="str">
        <f aca="false">"https://"&amp;B2019&amp;G2019&amp;"?utm_source="&amp;E2019&amp;"&amp;utm_medium="&amp;F2019&amp;"&amp;utm_campaign="&amp;H2019&amp;"&amp;utm_content="&amp;I2019</f>
        <v>https://floride-e2.com/?utm_source=bing&amp;utm_medium=cpc&amp;utm_campaign=2610_ff_lansare&amp;utm_content=cald_general</v>
      </c>
    </row>
    <row r="2020" customFormat="false" ht="15" hidden="false" customHeight="false" outlineLevel="0" collapsed="false">
      <c r="A2020" s="10" t="s">
        <v>95</v>
      </c>
      <c r="B2020" s="10" t="str">
        <f aca="false">INDEX('Site-uri'!$B$2:$B$20,MATCH(A2020,'Site-uri'!$A$2:$A$20,0))</f>
        <v>floride-e2.com</v>
      </c>
      <c r="C2020" s="10" t="s">
        <v>146</v>
      </c>
      <c r="D2020" s="10" t="s">
        <v>231</v>
      </c>
      <c r="E2020" s="10" t="str">
        <f aca="false">INDEX(Canale!$C$2:$C$30,MATCH(C2020,Canale!$A$2:$A$30,0))</f>
        <v>bing</v>
      </c>
      <c r="F2020" s="10" t="str">
        <f aca="false">INDEX(Canale!$D$2:$D$30,MATCH(C2020,Canale!$A$2:$A$30,0))</f>
        <v>cpc</v>
      </c>
      <c r="G2020" s="10" t="str">
        <f aca="false">INDEX('Site-uri'!$C$2:$C$20,MATCH(A2020,'Site-uri'!$A$2:$A$20,0))</f>
        <v>/</v>
      </c>
      <c r="H2020" s="10" t="str">
        <f aca="false">Config!$B$3</f>
        <v>2610_ff_lansare</v>
      </c>
      <c r="I2020" s="10" t="str">
        <f aca="false">D2020&amp;"_"&amp;Config!$B$4</f>
        <v>fierbinte_general</v>
      </c>
      <c r="J2020" s="10" t="str">
        <f aca="false">"https://"&amp;B2020&amp;G2020&amp;"?utm_source="&amp;E2020&amp;"&amp;utm_medium="&amp;F2020&amp;"&amp;utm_campaign="&amp;H2020&amp;"&amp;utm_content="&amp;I2020</f>
        <v>https://floride-e2.com/?utm_source=bing&amp;utm_medium=cpc&amp;utm_campaign=2610_ff_lansare&amp;utm_content=fierbinte_general</v>
      </c>
    </row>
    <row r="2021" customFormat="false" ht="15" hidden="false" customHeight="false" outlineLevel="0" collapsed="false">
      <c r="A2021" s="10" t="s">
        <v>95</v>
      </c>
      <c r="B2021" s="10" t="str">
        <f aca="false">INDEX('Site-uri'!$B$2:$B$20,MATCH(A2021,'Site-uri'!$A$2:$A$20,0))</f>
        <v>floride-e2.com</v>
      </c>
      <c r="C2021" s="10" t="s">
        <v>146</v>
      </c>
      <c r="D2021" s="10" t="s">
        <v>237</v>
      </c>
      <c r="E2021" s="10" t="str">
        <f aca="false">INDEX(Canale!$C$2:$C$30,MATCH(C2021,Canale!$A$2:$A$30,0))</f>
        <v>bing</v>
      </c>
      <c r="F2021" s="10" t="str">
        <f aca="false">INDEX(Canale!$D$2:$D$30,MATCH(C2021,Canale!$A$2:$A$30,0))</f>
        <v>cpc</v>
      </c>
      <c r="G2021" s="10" t="str">
        <f aca="false">INDEX('Site-uri'!$C$2:$C$20,MATCH(A2021,'Site-uri'!$A$2:$A$20,0))</f>
        <v>/</v>
      </c>
      <c r="H2021" s="10" t="str">
        <f aca="false">Config!$B$3</f>
        <v>2610_ff_lansare</v>
      </c>
      <c r="I2021" s="10" t="str">
        <f aca="false">D2021&amp;"_"&amp;Config!$B$4</f>
        <v>client_general</v>
      </c>
      <c r="J2021" s="10" t="str">
        <f aca="false">"https://"&amp;B2021&amp;G2021&amp;"?utm_source="&amp;E2021&amp;"&amp;utm_medium="&amp;F2021&amp;"&amp;utm_campaign="&amp;H2021&amp;"&amp;utm_content="&amp;I2021</f>
        <v>https://floride-e2.com/?utm_source=bing&amp;utm_medium=cpc&amp;utm_campaign=2610_ff_lansare&amp;utm_content=client_general</v>
      </c>
    </row>
    <row r="2022" customFormat="false" ht="15" hidden="false" customHeight="false" outlineLevel="0" collapsed="false">
      <c r="A2022" s="10" t="s">
        <v>95</v>
      </c>
      <c r="B2022" s="10" t="str">
        <f aca="false">INDEX('Site-uri'!$B$2:$B$20,MATCH(A2022,'Site-uri'!$A$2:$A$20,0))</f>
        <v>floride-e2.com</v>
      </c>
      <c r="C2022" s="10" t="s">
        <v>149</v>
      </c>
      <c r="D2022" s="10" t="s">
        <v>219</v>
      </c>
      <c r="E2022" s="10" t="str">
        <f aca="false">INDEX(Canale!$C$2:$C$30,MATCH(C2022,Canale!$A$2:$A$30,0))</f>
        <v>facebook</v>
      </c>
      <c r="F2022" s="10" t="str">
        <f aca="false">INDEX(Canale!$D$2:$D$30,MATCH(C2022,Canale!$A$2:$A$30,0))</f>
        <v>social</v>
      </c>
      <c r="G2022" s="10" t="str">
        <f aca="false">INDEX('Site-uri'!$C$2:$C$20,MATCH(A2022,'Site-uri'!$A$2:$A$20,0))</f>
        <v>/</v>
      </c>
      <c r="H2022" s="10" t="str">
        <f aca="false">Config!$B$3</f>
        <v>2610_ff_lansare</v>
      </c>
      <c r="I2022" s="10" t="str">
        <f aca="false">D2022&amp;"_"&amp;Config!$B$4</f>
        <v>rece_general</v>
      </c>
      <c r="J2022" s="10" t="str">
        <f aca="false">"https://"&amp;B2022&amp;G2022&amp;"?utm_source="&amp;E2022&amp;"&amp;utm_medium="&amp;F2022&amp;"&amp;utm_campaign="&amp;H2022&amp;"&amp;utm_content="&amp;I2022</f>
        <v>https://floride-e2.com/?utm_source=facebook&amp;utm_medium=social&amp;utm_campaign=2610_ff_lansare&amp;utm_content=rece_general</v>
      </c>
    </row>
    <row r="2023" customFormat="false" ht="15" hidden="false" customHeight="false" outlineLevel="0" collapsed="false">
      <c r="A2023" s="10" t="s">
        <v>95</v>
      </c>
      <c r="B2023" s="10" t="str">
        <f aca="false">INDEX('Site-uri'!$B$2:$B$20,MATCH(A2023,'Site-uri'!$A$2:$A$20,0))</f>
        <v>floride-e2.com</v>
      </c>
      <c r="C2023" s="10" t="s">
        <v>149</v>
      </c>
      <c r="D2023" s="10" t="s">
        <v>225</v>
      </c>
      <c r="E2023" s="10" t="str">
        <f aca="false">INDEX(Canale!$C$2:$C$30,MATCH(C2023,Canale!$A$2:$A$30,0))</f>
        <v>facebook</v>
      </c>
      <c r="F2023" s="10" t="str">
        <f aca="false">INDEX(Canale!$D$2:$D$30,MATCH(C2023,Canale!$A$2:$A$30,0))</f>
        <v>social</v>
      </c>
      <c r="G2023" s="10" t="str">
        <f aca="false">INDEX('Site-uri'!$C$2:$C$20,MATCH(A2023,'Site-uri'!$A$2:$A$20,0))</f>
        <v>/</v>
      </c>
      <c r="H2023" s="10" t="str">
        <f aca="false">Config!$B$3</f>
        <v>2610_ff_lansare</v>
      </c>
      <c r="I2023" s="10" t="str">
        <f aca="false">D2023&amp;"_"&amp;Config!$B$4</f>
        <v>cald_general</v>
      </c>
      <c r="J2023" s="10" t="str">
        <f aca="false">"https://"&amp;B2023&amp;G2023&amp;"?utm_source="&amp;E2023&amp;"&amp;utm_medium="&amp;F2023&amp;"&amp;utm_campaign="&amp;H2023&amp;"&amp;utm_content="&amp;I2023</f>
        <v>https://floride-e2.com/?utm_source=facebook&amp;utm_medium=social&amp;utm_campaign=2610_ff_lansare&amp;utm_content=cald_general</v>
      </c>
    </row>
    <row r="2024" customFormat="false" ht="15" hidden="false" customHeight="false" outlineLevel="0" collapsed="false">
      <c r="A2024" s="10" t="s">
        <v>95</v>
      </c>
      <c r="B2024" s="10" t="str">
        <f aca="false">INDEX('Site-uri'!$B$2:$B$20,MATCH(A2024,'Site-uri'!$A$2:$A$20,0))</f>
        <v>floride-e2.com</v>
      </c>
      <c r="C2024" s="10" t="s">
        <v>149</v>
      </c>
      <c r="D2024" s="10" t="s">
        <v>231</v>
      </c>
      <c r="E2024" s="10" t="str">
        <f aca="false">INDEX(Canale!$C$2:$C$30,MATCH(C2024,Canale!$A$2:$A$30,0))</f>
        <v>facebook</v>
      </c>
      <c r="F2024" s="10" t="str">
        <f aca="false">INDEX(Canale!$D$2:$D$30,MATCH(C2024,Canale!$A$2:$A$30,0))</f>
        <v>social</v>
      </c>
      <c r="G2024" s="10" t="str">
        <f aca="false">INDEX('Site-uri'!$C$2:$C$20,MATCH(A2024,'Site-uri'!$A$2:$A$20,0))</f>
        <v>/</v>
      </c>
      <c r="H2024" s="10" t="str">
        <f aca="false">Config!$B$3</f>
        <v>2610_ff_lansare</v>
      </c>
      <c r="I2024" s="10" t="str">
        <f aca="false">D2024&amp;"_"&amp;Config!$B$4</f>
        <v>fierbinte_general</v>
      </c>
      <c r="J2024" s="10" t="str">
        <f aca="false">"https://"&amp;B2024&amp;G2024&amp;"?utm_source="&amp;E2024&amp;"&amp;utm_medium="&amp;F2024&amp;"&amp;utm_campaign="&amp;H2024&amp;"&amp;utm_content="&amp;I2024</f>
        <v>https://floride-e2.com/?utm_source=facebook&amp;utm_medium=social&amp;utm_campaign=2610_ff_lansare&amp;utm_content=fierbinte_general</v>
      </c>
    </row>
    <row r="2025" customFormat="false" ht="15" hidden="false" customHeight="false" outlineLevel="0" collapsed="false">
      <c r="A2025" s="10" t="s">
        <v>95</v>
      </c>
      <c r="B2025" s="10" t="str">
        <f aca="false">INDEX('Site-uri'!$B$2:$B$20,MATCH(A2025,'Site-uri'!$A$2:$A$20,0))</f>
        <v>floride-e2.com</v>
      </c>
      <c r="C2025" s="10" t="s">
        <v>149</v>
      </c>
      <c r="D2025" s="10" t="s">
        <v>237</v>
      </c>
      <c r="E2025" s="10" t="str">
        <f aca="false">INDEX(Canale!$C$2:$C$30,MATCH(C2025,Canale!$A$2:$A$30,0))</f>
        <v>facebook</v>
      </c>
      <c r="F2025" s="10" t="str">
        <f aca="false">INDEX(Canale!$D$2:$D$30,MATCH(C2025,Canale!$A$2:$A$30,0))</f>
        <v>social</v>
      </c>
      <c r="G2025" s="10" t="str">
        <f aca="false">INDEX('Site-uri'!$C$2:$C$20,MATCH(A2025,'Site-uri'!$A$2:$A$20,0))</f>
        <v>/</v>
      </c>
      <c r="H2025" s="10" t="str">
        <f aca="false">Config!$B$3</f>
        <v>2610_ff_lansare</v>
      </c>
      <c r="I2025" s="10" t="str">
        <f aca="false">D2025&amp;"_"&amp;Config!$B$4</f>
        <v>client_general</v>
      </c>
      <c r="J2025" s="10" t="str">
        <f aca="false">"https://"&amp;B2025&amp;G2025&amp;"?utm_source="&amp;E2025&amp;"&amp;utm_medium="&amp;F2025&amp;"&amp;utm_campaign="&amp;H2025&amp;"&amp;utm_content="&amp;I2025</f>
        <v>https://floride-e2.com/?utm_source=facebook&amp;utm_medium=social&amp;utm_campaign=2610_ff_lansare&amp;utm_content=client_general</v>
      </c>
    </row>
    <row r="2026" customFormat="false" ht="15" hidden="false" customHeight="false" outlineLevel="0" collapsed="false">
      <c r="A2026" s="10" t="s">
        <v>95</v>
      </c>
      <c r="B2026" s="10" t="str">
        <f aca="false">INDEX('Site-uri'!$B$2:$B$20,MATCH(A2026,'Site-uri'!$A$2:$A$20,0))</f>
        <v>floride-e2.com</v>
      </c>
      <c r="C2026" s="10" t="s">
        <v>153</v>
      </c>
      <c r="D2026" s="10" t="s">
        <v>219</v>
      </c>
      <c r="E2026" s="10" t="str">
        <f aca="false">INDEX(Canale!$C$2:$C$30,MATCH(C2026,Canale!$A$2:$A$30,0))</f>
        <v>x</v>
      </c>
      <c r="F2026" s="10" t="str">
        <f aca="false">INDEX(Canale!$D$2:$D$30,MATCH(C2026,Canale!$A$2:$A$30,0))</f>
        <v>social</v>
      </c>
      <c r="G2026" s="10" t="str">
        <f aca="false">INDEX('Site-uri'!$C$2:$C$20,MATCH(A2026,'Site-uri'!$A$2:$A$20,0))</f>
        <v>/</v>
      </c>
      <c r="H2026" s="10" t="str">
        <f aca="false">Config!$B$3</f>
        <v>2610_ff_lansare</v>
      </c>
      <c r="I2026" s="10" t="str">
        <f aca="false">D2026&amp;"_"&amp;Config!$B$4</f>
        <v>rece_general</v>
      </c>
      <c r="J2026" s="10" t="str">
        <f aca="false">"https://"&amp;B2026&amp;G2026&amp;"?utm_source="&amp;E2026&amp;"&amp;utm_medium="&amp;F2026&amp;"&amp;utm_campaign="&amp;H2026&amp;"&amp;utm_content="&amp;I2026</f>
        <v>https://floride-e2.com/?utm_source=x&amp;utm_medium=social&amp;utm_campaign=2610_ff_lansare&amp;utm_content=rece_general</v>
      </c>
    </row>
    <row r="2027" customFormat="false" ht="15" hidden="false" customHeight="false" outlineLevel="0" collapsed="false">
      <c r="A2027" s="10" t="s">
        <v>95</v>
      </c>
      <c r="B2027" s="10" t="str">
        <f aca="false">INDEX('Site-uri'!$B$2:$B$20,MATCH(A2027,'Site-uri'!$A$2:$A$20,0))</f>
        <v>floride-e2.com</v>
      </c>
      <c r="C2027" s="10" t="s">
        <v>153</v>
      </c>
      <c r="D2027" s="10" t="s">
        <v>225</v>
      </c>
      <c r="E2027" s="10" t="str">
        <f aca="false">INDEX(Canale!$C$2:$C$30,MATCH(C2027,Canale!$A$2:$A$30,0))</f>
        <v>x</v>
      </c>
      <c r="F2027" s="10" t="str">
        <f aca="false">INDEX(Canale!$D$2:$D$30,MATCH(C2027,Canale!$A$2:$A$30,0))</f>
        <v>social</v>
      </c>
      <c r="G2027" s="10" t="str">
        <f aca="false">INDEX('Site-uri'!$C$2:$C$20,MATCH(A2027,'Site-uri'!$A$2:$A$20,0))</f>
        <v>/</v>
      </c>
      <c r="H2027" s="10" t="str">
        <f aca="false">Config!$B$3</f>
        <v>2610_ff_lansare</v>
      </c>
      <c r="I2027" s="10" t="str">
        <f aca="false">D2027&amp;"_"&amp;Config!$B$4</f>
        <v>cald_general</v>
      </c>
      <c r="J2027" s="10" t="str">
        <f aca="false">"https://"&amp;B2027&amp;G2027&amp;"?utm_source="&amp;E2027&amp;"&amp;utm_medium="&amp;F2027&amp;"&amp;utm_campaign="&amp;H2027&amp;"&amp;utm_content="&amp;I2027</f>
        <v>https://floride-e2.com/?utm_source=x&amp;utm_medium=social&amp;utm_campaign=2610_ff_lansare&amp;utm_content=cald_general</v>
      </c>
    </row>
    <row r="2028" customFormat="false" ht="15" hidden="false" customHeight="false" outlineLevel="0" collapsed="false">
      <c r="A2028" s="10" t="s">
        <v>95</v>
      </c>
      <c r="B2028" s="10" t="str">
        <f aca="false">INDEX('Site-uri'!$B$2:$B$20,MATCH(A2028,'Site-uri'!$A$2:$A$20,0))</f>
        <v>floride-e2.com</v>
      </c>
      <c r="C2028" s="10" t="s">
        <v>153</v>
      </c>
      <c r="D2028" s="10" t="s">
        <v>231</v>
      </c>
      <c r="E2028" s="10" t="str">
        <f aca="false">INDEX(Canale!$C$2:$C$30,MATCH(C2028,Canale!$A$2:$A$30,0))</f>
        <v>x</v>
      </c>
      <c r="F2028" s="10" t="str">
        <f aca="false">INDEX(Canale!$D$2:$D$30,MATCH(C2028,Canale!$A$2:$A$30,0))</f>
        <v>social</v>
      </c>
      <c r="G2028" s="10" t="str">
        <f aca="false">INDEX('Site-uri'!$C$2:$C$20,MATCH(A2028,'Site-uri'!$A$2:$A$20,0))</f>
        <v>/</v>
      </c>
      <c r="H2028" s="10" t="str">
        <f aca="false">Config!$B$3</f>
        <v>2610_ff_lansare</v>
      </c>
      <c r="I2028" s="10" t="str">
        <f aca="false">D2028&amp;"_"&amp;Config!$B$4</f>
        <v>fierbinte_general</v>
      </c>
      <c r="J2028" s="10" t="str">
        <f aca="false">"https://"&amp;B2028&amp;G2028&amp;"?utm_source="&amp;E2028&amp;"&amp;utm_medium="&amp;F2028&amp;"&amp;utm_campaign="&amp;H2028&amp;"&amp;utm_content="&amp;I2028</f>
        <v>https://floride-e2.com/?utm_source=x&amp;utm_medium=social&amp;utm_campaign=2610_ff_lansare&amp;utm_content=fierbinte_general</v>
      </c>
    </row>
    <row r="2029" customFormat="false" ht="15" hidden="false" customHeight="false" outlineLevel="0" collapsed="false">
      <c r="A2029" s="10" t="s">
        <v>95</v>
      </c>
      <c r="B2029" s="10" t="str">
        <f aca="false">INDEX('Site-uri'!$B$2:$B$20,MATCH(A2029,'Site-uri'!$A$2:$A$20,0))</f>
        <v>floride-e2.com</v>
      </c>
      <c r="C2029" s="10" t="s">
        <v>153</v>
      </c>
      <c r="D2029" s="10" t="s">
        <v>237</v>
      </c>
      <c r="E2029" s="10" t="str">
        <f aca="false">INDEX(Canale!$C$2:$C$30,MATCH(C2029,Canale!$A$2:$A$30,0))</f>
        <v>x</v>
      </c>
      <c r="F2029" s="10" t="str">
        <f aca="false">INDEX(Canale!$D$2:$D$30,MATCH(C2029,Canale!$A$2:$A$30,0))</f>
        <v>social</v>
      </c>
      <c r="G2029" s="10" t="str">
        <f aca="false">INDEX('Site-uri'!$C$2:$C$20,MATCH(A2029,'Site-uri'!$A$2:$A$20,0))</f>
        <v>/</v>
      </c>
      <c r="H2029" s="10" t="str">
        <f aca="false">Config!$B$3</f>
        <v>2610_ff_lansare</v>
      </c>
      <c r="I2029" s="10" t="str">
        <f aca="false">D2029&amp;"_"&amp;Config!$B$4</f>
        <v>client_general</v>
      </c>
      <c r="J2029" s="10" t="str">
        <f aca="false">"https://"&amp;B2029&amp;G2029&amp;"?utm_source="&amp;E2029&amp;"&amp;utm_medium="&amp;F2029&amp;"&amp;utm_campaign="&amp;H2029&amp;"&amp;utm_content="&amp;I2029</f>
        <v>https://floride-e2.com/?utm_source=x&amp;utm_medium=social&amp;utm_campaign=2610_ff_lansare&amp;utm_content=client_general</v>
      </c>
    </row>
    <row r="2030" customFormat="false" ht="15" hidden="false" customHeight="false" outlineLevel="0" collapsed="false">
      <c r="A2030" s="10" t="s">
        <v>95</v>
      </c>
      <c r="B2030" s="10" t="str">
        <f aca="false">INDEX('Site-uri'!$B$2:$B$20,MATCH(A2030,'Site-uri'!$A$2:$A$20,0))</f>
        <v>floride-e2.com</v>
      </c>
      <c r="C2030" s="10" t="s">
        <v>155</v>
      </c>
      <c r="D2030" s="10" t="s">
        <v>219</v>
      </c>
      <c r="E2030" s="10" t="str">
        <f aca="false">INDEX(Canale!$C$2:$C$30,MATCH(C2030,Canale!$A$2:$A$30,0))</f>
        <v>youtube</v>
      </c>
      <c r="F2030" s="10" t="str">
        <f aca="false">INDEX(Canale!$D$2:$D$30,MATCH(C2030,Canale!$A$2:$A$30,0))</f>
        <v>video</v>
      </c>
      <c r="G2030" s="10" t="str">
        <f aca="false">INDEX('Site-uri'!$C$2:$C$20,MATCH(A2030,'Site-uri'!$A$2:$A$20,0))</f>
        <v>/</v>
      </c>
      <c r="H2030" s="10" t="str">
        <f aca="false">Config!$B$3</f>
        <v>2610_ff_lansare</v>
      </c>
      <c r="I2030" s="10" t="str">
        <f aca="false">D2030&amp;"_"&amp;Config!$B$4</f>
        <v>rece_general</v>
      </c>
      <c r="J2030" s="10" t="str">
        <f aca="false">"https://"&amp;B2030&amp;G2030&amp;"?utm_source="&amp;E2030&amp;"&amp;utm_medium="&amp;F2030&amp;"&amp;utm_campaign="&amp;H2030&amp;"&amp;utm_content="&amp;I2030</f>
        <v>https://floride-e2.com/?utm_source=youtube&amp;utm_medium=video&amp;utm_campaign=2610_ff_lansare&amp;utm_content=rece_general</v>
      </c>
    </row>
    <row r="2031" customFormat="false" ht="15" hidden="false" customHeight="false" outlineLevel="0" collapsed="false">
      <c r="A2031" s="10" t="s">
        <v>95</v>
      </c>
      <c r="B2031" s="10" t="str">
        <f aca="false">INDEX('Site-uri'!$B$2:$B$20,MATCH(A2031,'Site-uri'!$A$2:$A$20,0))</f>
        <v>floride-e2.com</v>
      </c>
      <c r="C2031" s="10" t="s">
        <v>155</v>
      </c>
      <c r="D2031" s="10" t="s">
        <v>225</v>
      </c>
      <c r="E2031" s="10" t="str">
        <f aca="false">INDEX(Canale!$C$2:$C$30,MATCH(C2031,Canale!$A$2:$A$30,0))</f>
        <v>youtube</v>
      </c>
      <c r="F2031" s="10" t="str">
        <f aca="false">INDEX(Canale!$D$2:$D$30,MATCH(C2031,Canale!$A$2:$A$30,0))</f>
        <v>video</v>
      </c>
      <c r="G2031" s="10" t="str">
        <f aca="false">INDEX('Site-uri'!$C$2:$C$20,MATCH(A2031,'Site-uri'!$A$2:$A$20,0))</f>
        <v>/</v>
      </c>
      <c r="H2031" s="10" t="str">
        <f aca="false">Config!$B$3</f>
        <v>2610_ff_lansare</v>
      </c>
      <c r="I2031" s="10" t="str">
        <f aca="false">D2031&amp;"_"&amp;Config!$B$4</f>
        <v>cald_general</v>
      </c>
      <c r="J2031" s="10" t="str">
        <f aca="false">"https://"&amp;B2031&amp;G2031&amp;"?utm_source="&amp;E2031&amp;"&amp;utm_medium="&amp;F2031&amp;"&amp;utm_campaign="&amp;H2031&amp;"&amp;utm_content="&amp;I2031</f>
        <v>https://floride-e2.com/?utm_source=youtube&amp;utm_medium=video&amp;utm_campaign=2610_ff_lansare&amp;utm_content=cald_general</v>
      </c>
    </row>
    <row r="2032" customFormat="false" ht="15" hidden="false" customHeight="false" outlineLevel="0" collapsed="false">
      <c r="A2032" s="10" t="s">
        <v>95</v>
      </c>
      <c r="B2032" s="10" t="str">
        <f aca="false">INDEX('Site-uri'!$B$2:$B$20,MATCH(A2032,'Site-uri'!$A$2:$A$20,0))</f>
        <v>floride-e2.com</v>
      </c>
      <c r="C2032" s="10" t="s">
        <v>155</v>
      </c>
      <c r="D2032" s="10" t="s">
        <v>231</v>
      </c>
      <c r="E2032" s="10" t="str">
        <f aca="false">INDEX(Canale!$C$2:$C$30,MATCH(C2032,Canale!$A$2:$A$30,0))</f>
        <v>youtube</v>
      </c>
      <c r="F2032" s="10" t="str">
        <f aca="false">INDEX(Canale!$D$2:$D$30,MATCH(C2032,Canale!$A$2:$A$30,0))</f>
        <v>video</v>
      </c>
      <c r="G2032" s="10" t="str">
        <f aca="false">INDEX('Site-uri'!$C$2:$C$20,MATCH(A2032,'Site-uri'!$A$2:$A$20,0))</f>
        <v>/</v>
      </c>
      <c r="H2032" s="10" t="str">
        <f aca="false">Config!$B$3</f>
        <v>2610_ff_lansare</v>
      </c>
      <c r="I2032" s="10" t="str">
        <f aca="false">D2032&amp;"_"&amp;Config!$B$4</f>
        <v>fierbinte_general</v>
      </c>
      <c r="J2032" s="10" t="str">
        <f aca="false">"https://"&amp;B2032&amp;G2032&amp;"?utm_source="&amp;E2032&amp;"&amp;utm_medium="&amp;F2032&amp;"&amp;utm_campaign="&amp;H2032&amp;"&amp;utm_content="&amp;I2032</f>
        <v>https://floride-e2.com/?utm_source=youtube&amp;utm_medium=video&amp;utm_campaign=2610_ff_lansare&amp;utm_content=fierbinte_general</v>
      </c>
    </row>
    <row r="2033" customFormat="false" ht="15" hidden="false" customHeight="false" outlineLevel="0" collapsed="false">
      <c r="A2033" s="10" t="s">
        <v>95</v>
      </c>
      <c r="B2033" s="10" t="str">
        <f aca="false">INDEX('Site-uri'!$B$2:$B$20,MATCH(A2033,'Site-uri'!$A$2:$A$20,0))</f>
        <v>floride-e2.com</v>
      </c>
      <c r="C2033" s="10" t="s">
        <v>155</v>
      </c>
      <c r="D2033" s="10" t="s">
        <v>237</v>
      </c>
      <c r="E2033" s="10" t="str">
        <f aca="false">INDEX(Canale!$C$2:$C$30,MATCH(C2033,Canale!$A$2:$A$30,0))</f>
        <v>youtube</v>
      </c>
      <c r="F2033" s="10" t="str">
        <f aca="false">INDEX(Canale!$D$2:$D$30,MATCH(C2033,Canale!$A$2:$A$30,0))</f>
        <v>video</v>
      </c>
      <c r="G2033" s="10" t="str">
        <f aca="false">INDEX('Site-uri'!$C$2:$C$20,MATCH(A2033,'Site-uri'!$A$2:$A$20,0))</f>
        <v>/</v>
      </c>
      <c r="H2033" s="10" t="str">
        <f aca="false">Config!$B$3</f>
        <v>2610_ff_lansare</v>
      </c>
      <c r="I2033" s="10" t="str">
        <f aca="false">D2033&amp;"_"&amp;Config!$B$4</f>
        <v>client_general</v>
      </c>
      <c r="J2033" s="10" t="str">
        <f aca="false">"https://"&amp;B2033&amp;G2033&amp;"?utm_source="&amp;E2033&amp;"&amp;utm_medium="&amp;F2033&amp;"&amp;utm_campaign="&amp;H2033&amp;"&amp;utm_content="&amp;I2033</f>
        <v>https://floride-e2.com/?utm_source=youtube&amp;utm_medium=video&amp;utm_campaign=2610_ff_lansare&amp;utm_content=client_general</v>
      </c>
    </row>
    <row r="2034" customFormat="false" ht="15" hidden="false" customHeight="false" outlineLevel="0" collapsed="false">
      <c r="A2034" s="10" t="s">
        <v>95</v>
      </c>
      <c r="B2034" s="10" t="str">
        <f aca="false">INDEX('Site-uri'!$B$2:$B$20,MATCH(A2034,'Site-uri'!$A$2:$A$20,0))</f>
        <v>floride-e2.com</v>
      </c>
      <c r="C2034" s="10" t="s">
        <v>160</v>
      </c>
      <c r="D2034" s="10" t="s">
        <v>219</v>
      </c>
      <c r="E2034" s="10" t="str">
        <f aca="false">INDEX(Canale!$C$2:$C$30,MATCH(C2034,Canale!$A$2:$A$30,0))</f>
        <v>medium</v>
      </c>
      <c r="F2034" s="10" t="str">
        <f aca="false">INDEX(Canale!$D$2:$D$30,MATCH(C2034,Canale!$A$2:$A$30,0))</f>
        <v>content</v>
      </c>
      <c r="G2034" s="10" t="str">
        <f aca="false">INDEX('Site-uri'!$C$2:$C$20,MATCH(A2034,'Site-uri'!$A$2:$A$20,0))</f>
        <v>/</v>
      </c>
      <c r="H2034" s="10" t="str">
        <f aca="false">Config!$B$3</f>
        <v>2610_ff_lansare</v>
      </c>
      <c r="I2034" s="10" t="str">
        <f aca="false">D2034&amp;"_"&amp;Config!$B$4</f>
        <v>rece_general</v>
      </c>
      <c r="J2034" s="10" t="str">
        <f aca="false">"https://"&amp;B2034&amp;G2034&amp;"?utm_source="&amp;E2034&amp;"&amp;utm_medium="&amp;F2034&amp;"&amp;utm_campaign="&amp;H2034&amp;"&amp;utm_content="&amp;I2034</f>
        <v>https://floride-e2.com/?utm_source=medium&amp;utm_medium=content&amp;utm_campaign=2610_ff_lansare&amp;utm_content=rece_general</v>
      </c>
    </row>
    <row r="2035" customFormat="false" ht="15" hidden="false" customHeight="false" outlineLevel="0" collapsed="false">
      <c r="A2035" s="10" t="s">
        <v>95</v>
      </c>
      <c r="B2035" s="10" t="str">
        <f aca="false">INDEX('Site-uri'!$B$2:$B$20,MATCH(A2035,'Site-uri'!$A$2:$A$20,0))</f>
        <v>floride-e2.com</v>
      </c>
      <c r="C2035" s="10" t="s">
        <v>160</v>
      </c>
      <c r="D2035" s="10" t="s">
        <v>225</v>
      </c>
      <c r="E2035" s="10" t="str">
        <f aca="false">INDEX(Canale!$C$2:$C$30,MATCH(C2035,Canale!$A$2:$A$30,0))</f>
        <v>medium</v>
      </c>
      <c r="F2035" s="10" t="str">
        <f aca="false">INDEX(Canale!$D$2:$D$30,MATCH(C2035,Canale!$A$2:$A$30,0))</f>
        <v>content</v>
      </c>
      <c r="G2035" s="10" t="str">
        <f aca="false">INDEX('Site-uri'!$C$2:$C$20,MATCH(A2035,'Site-uri'!$A$2:$A$20,0))</f>
        <v>/</v>
      </c>
      <c r="H2035" s="10" t="str">
        <f aca="false">Config!$B$3</f>
        <v>2610_ff_lansare</v>
      </c>
      <c r="I2035" s="10" t="str">
        <f aca="false">D2035&amp;"_"&amp;Config!$B$4</f>
        <v>cald_general</v>
      </c>
      <c r="J2035" s="10" t="str">
        <f aca="false">"https://"&amp;B2035&amp;G2035&amp;"?utm_source="&amp;E2035&amp;"&amp;utm_medium="&amp;F2035&amp;"&amp;utm_campaign="&amp;H2035&amp;"&amp;utm_content="&amp;I2035</f>
        <v>https://floride-e2.com/?utm_source=medium&amp;utm_medium=content&amp;utm_campaign=2610_ff_lansare&amp;utm_content=cald_general</v>
      </c>
    </row>
    <row r="2036" customFormat="false" ht="15" hidden="false" customHeight="false" outlineLevel="0" collapsed="false">
      <c r="A2036" s="10" t="s">
        <v>95</v>
      </c>
      <c r="B2036" s="10" t="str">
        <f aca="false">INDEX('Site-uri'!$B$2:$B$20,MATCH(A2036,'Site-uri'!$A$2:$A$20,0))</f>
        <v>floride-e2.com</v>
      </c>
      <c r="C2036" s="10" t="s">
        <v>160</v>
      </c>
      <c r="D2036" s="10" t="s">
        <v>231</v>
      </c>
      <c r="E2036" s="10" t="str">
        <f aca="false">INDEX(Canale!$C$2:$C$30,MATCH(C2036,Canale!$A$2:$A$30,0))</f>
        <v>medium</v>
      </c>
      <c r="F2036" s="10" t="str">
        <f aca="false">INDEX(Canale!$D$2:$D$30,MATCH(C2036,Canale!$A$2:$A$30,0))</f>
        <v>content</v>
      </c>
      <c r="G2036" s="10" t="str">
        <f aca="false">INDEX('Site-uri'!$C$2:$C$20,MATCH(A2036,'Site-uri'!$A$2:$A$20,0))</f>
        <v>/</v>
      </c>
      <c r="H2036" s="10" t="str">
        <f aca="false">Config!$B$3</f>
        <v>2610_ff_lansare</v>
      </c>
      <c r="I2036" s="10" t="str">
        <f aca="false">D2036&amp;"_"&amp;Config!$B$4</f>
        <v>fierbinte_general</v>
      </c>
      <c r="J2036" s="10" t="str">
        <f aca="false">"https://"&amp;B2036&amp;G2036&amp;"?utm_source="&amp;E2036&amp;"&amp;utm_medium="&amp;F2036&amp;"&amp;utm_campaign="&amp;H2036&amp;"&amp;utm_content="&amp;I2036</f>
        <v>https://floride-e2.com/?utm_source=medium&amp;utm_medium=content&amp;utm_campaign=2610_ff_lansare&amp;utm_content=fierbinte_general</v>
      </c>
    </row>
    <row r="2037" customFormat="false" ht="15" hidden="false" customHeight="false" outlineLevel="0" collapsed="false">
      <c r="A2037" s="10" t="s">
        <v>95</v>
      </c>
      <c r="B2037" s="10" t="str">
        <f aca="false">INDEX('Site-uri'!$B$2:$B$20,MATCH(A2037,'Site-uri'!$A$2:$A$20,0))</f>
        <v>floride-e2.com</v>
      </c>
      <c r="C2037" s="10" t="s">
        <v>160</v>
      </c>
      <c r="D2037" s="10" t="s">
        <v>237</v>
      </c>
      <c r="E2037" s="10" t="str">
        <f aca="false">INDEX(Canale!$C$2:$C$30,MATCH(C2037,Canale!$A$2:$A$30,0))</f>
        <v>medium</v>
      </c>
      <c r="F2037" s="10" t="str">
        <f aca="false">INDEX(Canale!$D$2:$D$30,MATCH(C2037,Canale!$A$2:$A$30,0))</f>
        <v>content</v>
      </c>
      <c r="G2037" s="10" t="str">
        <f aca="false">INDEX('Site-uri'!$C$2:$C$20,MATCH(A2037,'Site-uri'!$A$2:$A$20,0))</f>
        <v>/</v>
      </c>
      <c r="H2037" s="10" t="str">
        <f aca="false">Config!$B$3</f>
        <v>2610_ff_lansare</v>
      </c>
      <c r="I2037" s="10" t="str">
        <f aca="false">D2037&amp;"_"&amp;Config!$B$4</f>
        <v>client_general</v>
      </c>
      <c r="J2037" s="10" t="str">
        <f aca="false">"https://"&amp;B2037&amp;G2037&amp;"?utm_source="&amp;E2037&amp;"&amp;utm_medium="&amp;F2037&amp;"&amp;utm_campaign="&amp;H2037&amp;"&amp;utm_content="&amp;I2037</f>
        <v>https://floride-e2.com/?utm_source=medium&amp;utm_medium=content&amp;utm_campaign=2610_ff_lansare&amp;utm_content=client_general</v>
      </c>
    </row>
    <row r="2038" customFormat="false" ht="15" hidden="false" customHeight="false" outlineLevel="0" collapsed="false">
      <c r="A2038" s="10" t="s">
        <v>95</v>
      </c>
      <c r="B2038" s="10" t="str">
        <f aca="false">INDEX('Site-uri'!$B$2:$B$20,MATCH(A2038,'Site-uri'!$A$2:$A$20,0))</f>
        <v>floride-e2.com</v>
      </c>
      <c r="C2038" s="10" t="s">
        <v>165</v>
      </c>
      <c r="D2038" s="10" t="s">
        <v>219</v>
      </c>
      <c r="E2038" s="10" t="str">
        <f aca="false">INDEX(Canale!$C$2:$C$30,MATCH(C2038,Canale!$A$2:$A$30,0))</f>
        <v>crunchbase</v>
      </c>
      <c r="F2038" s="10" t="str">
        <f aca="false">INDEX(Canale!$D$2:$D$30,MATCH(C2038,Canale!$A$2:$A$30,0))</f>
        <v>referral</v>
      </c>
      <c r="G2038" s="10" t="str">
        <f aca="false">INDEX('Site-uri'!$C$2:$C$20,MATCH(A2038,'Site-uri'!$A$2:$A$20,0))</f>
        <v>/</v>
      </c>
      <c r="H2038" s="10" t="str">
        <f aca="false">Config!$B$3</f>
        <v>2610_ff_lansare</v>
      </c>
      <c r="I2038" s="10" t="str">
        <f aca="false">D2038&amp;"_"&amp;Config!$B$4</f>
        <v>rece_general</v>
      </c>
      <c r="J2038" s="10" t="str">
        <f aca="false">"https://"&amp;B2038&amp;G2038&amp;"?utm_source="&amp;E2038&amp;"&amp;utm_medium="&amp;F2038&amp;"&amp;utm_campaign="&amp;H2038&amp;"&amp;utm_content="&amp;I2038</f>
        <v>https://floride-e2.com/?utm_source=crunchbase&amp;utm_medium=referral&amp;utm_campaign=2610_ff_lansare&amp;utm_content=rece_general</v>
      </c>
    </row>
    <row r="2039" customFormat="false" ht="15" hidden="false" customHeight="false" outlineLevel="0" collapsed="false">
      <c r="A2039" s="10" t="s">
        <v>95</v>
      </c>
      <c r="B2039" s="10" t="str">
        <f aca="false">INDEX('Site-uri'!$B$2:$B$20,MATCH(A2039,'Site-uri'!$A$2:$A$20,0))</f>
        <v>floride-e2.com</v>
      </c>
      <c r="C2039" s="10" t="s">
        <v>165</v>
      </c>
      <c r="D2039" s="10" t="s">
        <v>225</v>
      </c>
      <c r="E2039" s="10" t="str">
        <f aca="false">INDEX(Canale!$C$2:$C$30,MATCH(C2039,Canale!$A$2:$A$30,0))</f>
        <v>crunchbase</v>
      </c>
      <c r="F2039" s="10" t="str">
        <f aca="false">INDEX(Canale!$D$2:$D$30,MATCH(C2039,Canale!$A$2:$A$30,0))</f>
        <v>referral</v>
      </c>
      <c r="G2039" s="10" t="str">
        <f aca="false">INDEX('Site-uri'!$C$2:$C$20,MATCH(A2039,'Site-uri'!$A$2:$A$20,0))</f>
        <v>/</v>
      </c>
      <c r="H2039" s="10" t="str">
        <f aca="false">Config!$B$3</f>
        <v>2610_ff_lansare</v>
      </c>
      <c r="I2039" s="10" t="str">
        <f aca="false">D2039&amp;"_"&amp;Config!$B$4</f>
        <v>cald_general</v>
      </c>
      <c r="J2039" s="10" t="str">
        <f aca="false">"https://"&amp;B2039&amp;G2039&amp;"?utm_source="&amp;E2039&amp;"&amp;utm_medium="&amp;F2039&amp;"&amp;utm_campaign="&amp;H2039&amp;"&amp;utm_content="&amp;I2039</f>
        <v>https://floride-e2.com/?utm_source=crunchbase&amp;utm_medium=referral&amp;utm_campaign=2610_ff_lansare&amp;utm_content=cald_general</v>
      </c>
    </row>
    <row r="2040" customFormat="false" ht="15" hidden="false" customHeight="false" outlineLevel="0" collapsed="false">
      <c r="A2040" s="10" t="s">
        <v>95</v>
      </c>
      <c r="B2040" s="10" t="str">
        <f aca="false">INDEX('Site-uri'!$B$2:$B$20,MATCH(A2040,'Site-uri'!$A$2:$A$20,0))</f>
        <v>floride-e2.com</v>
      </c>
      <c r="C2040" s="10" t="s">
        <v>165</v>
      </c>
      <c r="D2040" s="10" t="s">
        <v>231</v>
      </c>
      <c r="E2040" s="10" t="str">
        <f aca="false">INDEX(Canale!$C$2:$C$30,MATCH(C2040,Canale!$A$2:$A$30,0))</f>
        <v>crunchbase</v>
      </c>
      <c r="F2040" s="10" t="str">
        <f aca="false">INDEX(Canale!$D$2:$D$30,MATCH(C2040,Canale!$A$2:$A$30,0))</f>
        <v>referral</v>
      </c>
      <c r="G2040" s="10" t="str">
        <f aca="false">INDEX('Site-uri'!$C$2:$C$20,MATCH(A2040,'Site-uri'!$A$2:$A$20,0))</f>
        <v>/</v>
      </c>
      <c r="H2040" s="10" t="str">
        <f aca="false">Config!$B$3</f>
        <v>2610_ff_lansare</v>
      </c>
      <c r="I2040" s="10" t="str">
        <f aca="false">D2040&amp;"_"&amp;Config!$B$4</f>
        <v>fierbinte_general</v>
      </c>
      <c r="J2040" s="10" t="str">
        <f aca="false">"https://"&amp;B2040&amp;G2040&amp;"?utm_source="&amp;E2040&amp;"&amp;utm_medium="&amp;F2040&amp;"&amp;utm_campaign="&amp;H2040&amp;"&amp;utm_content="&amp;I2040</f>
        <v>https://floride-e2.com/?utm_source=crunchbase&amp;utm_medium=referral&amp;utm_campaign=2610_ff_lansare&amp;utm_content=fierbinte_general</v>
      </c>
    </row>
    <row r="2041" customFormat="false" ht="15" hidden="false" customHeight="false" outlineLevel="0" collapsed="false">
      <c r="A2041" s="10" t="s">
        <v>95</v>
      </c>
      <c r="B2041" s="10" t="str">
        <f aca="false">INDEX('Site-uri'!$B$2:$B$20,MATCH(A2041,'Site-uri'!$A$2:$A$20,0))</f>
        <v>floride-e2.com</v>
      </c>
      <c r="C2041" s="10" t="s">
        <v>165</v>
      </c>
      <c r="D2041" s="10" t="s">
        <v>237</v>
      </c>
      <c r="E2041" s="10" t="str">
        <f aca="false">INDEX(Canale!$C$2:$C$30,MATCH(C2041,Canale!$A$2:$A$30,0))</f>
        <v>crunchbase</v>
      </c>
      <c r="F2041" s="10" t="str">
        <f aca="false">INDEX(Canale!$D$2:$D$30,MATCH(C2041,Canale!$A$2:$A$30,0))</f>
        <v>referral</v>
      </c>
      <c r="G2041" s="10" t="str">
        <f aca="false">INDEX('Site-uri'!$C$2:$C$20,MATCH(A2041,'Site-uri'!$A$2:$A$20,0))</f>
        <v>/</v>
      </c>
      <c r="H2041" s="10" t="str">
        <f aca="false">Config!$B$3</f>
        <v>2610_ff_lansare</v>
      </c>
      <c r="I2041" s="10" t="str">
        <f aca="false">D2041&amp;"_"&amp;Config!$B$4</f>
        <v>client_general</v>
      </c>
      <c r="J2041" s="10" t="str">
        <f aca="false">"https://"&amp;B2041&amp;G2041&amp;"?utm_source="&amp;E2041&amp;"&amp;utm_medium="&amp;F2041&amp;"&amp;utm_campaign="&amp;H2041&amp;"&amp;utm_content="&amp;I2041</f>
        <v>https://floride-e2.com/?utm_source=crunchbase&amp;utm_medium=referral&amp;utm_campaign=2610_ff_lansare&amp;utm_content=client_general</v>
      </c>
    </row>
    <row r="2042" customFormat="false" ht="15" hidden="false" customHeight="false" outlineLevel="0" collapsed="false">
      <c r="A2042" s="10" t="s">
        <v>95</v>
      </c>
      <c r="B2042" s="10" t="str">
        <f aca="false">INDEX('Site-uri'!$B$2:$B$20,MATCH(A2042,'Site-uri'!$A$2:$A$20,0))</f>
        <v>floride-e2.com</v>
      </c>
      <c r="C2042" s="10" t="s">
        <v>170</v>
      </c>
      <c r="D2042" s="10" t="s">
        <v>219</v>
      </c>
      <c r="E2042" s="10" t="str">
        <f aca="false">INDEX(Canale!$C$2:$C$30,MATCH(C2042,Canale!$A$2:$A$30,0))</f>
        <v>zenodo</v>
      </c>
      <c r="F2042" s="10" t="str">
        <f aca="false">INDEX(Canale!$D$2:$D$30,MATCH(C2042,Canale!$A$2:$A$30,0))</f>
        <v>referral</v>
      </c>
      <c r="G2042" s="10" t="str">
        <f aca="false">INDEX('Site-uri'!$C$2:$C$20,MATCH(A2042,'Site-uri'!$A$2:$A$20,0))</f>
        <v>/</v>
      </c>
      <c r="H2042" s="10" t="str">
        <f aca="false">Config!$B$3</f>
        <v>2610_ff_lansare</v>
      </c>
      <c r="I2042" s="10" t="str">
        <f aca="false">D2042&amp;"_"&amp;Config!$B$4</f>
        <v>rece_general</v>
      </c>
      <c r="J2042" s="10" t="str">
        <f aca="false">"https://"&amp;B2042&amp;G2042&amp;"?utm_source="&amp;E2042&amp;"&amp;utm_medium="&amp;F2042&amp;"&amp;utm_campaign="&amp;H2042&amp;"&amp;utm_content="&amp;I2042</f>
        <v>https://floride-e2.com/?utm_source=zenodo&amp;utm_medium=referral&amp;utm_campaign=2610_ff_lansare&amp;utm_content=rece_general</v>
      </c>
    </row>
    <row r="2043" customFormat="false" ht="15" hidden="false" customHeight="false" outlineLevel="0" collapsed="false">
      <c r="A2043" s="10" t="s">
        <v>95</v>
      </c>
      <c r="B2043" s="10" t="str">
        <f aca="false">INDEX('Site-uri'!$B$2:$B$20,MATCH(A2043,'Site-uri'!$A$2:$A$20,0))</f>
        <v>floride-e2.com</v>
      </c>
      <c r="C2043" s="10" t="s">
        <v>170</v>
      </c>
      <c r="D2043" s="10" t="s">
        <v>225</v>
      </c>
      <c r="E2043" s="10" t="str">
        <f aca="false">INDEX(Canale!$C$2:$C$30,MATCH(C2043,Canale!$A$2:$A$30,0))</f>
        <v>zenodo</v>
      </c>
      <c r="F2043" s="10" t="str">
        <f aca="false">INDEX(Canale!$D$2:$D$30,MATCH(C2043,Canale!$A$2:$A$30,0))</f>
        <v>referral</v>
      </c>
      <c r="G2043" s="10" t="str">
        <f aca="false">INDEX('Site-uri'!$C$2:$C$20,MATCH(A2043,'Site-uri'!$A$2:$A$20,0))</f>
        <v>/</v>
      </c>
      <c r="H2043" s="10" t="str">
        <f aca="false">Config!$B$3</f>
        <v>2610_ff_lansare</v>
      </c>
      <c r="I2043" s="10" t="str">
        <f aca="false">D2043&amp;"_"&amp;Config!$B$4</f>
        <v>cald_general</v>
      </c>
      <c r="J2043" s="10" t="str">
        <f aca="false">"https://"&amp;B2043&amp;G2043&amp;"?utm_source="&amp;E2043&amp;"&amp;utm_medium="&amp;F2043&amp;"&amp;utm_campaign="&amp;H2043&amp;"&amp;utm_content="&amp;I2043</f>
        <v>https://floride-e2.com/?utm_source=zenodo&amp;utm_medium=referral&amp;utm_campaign=2610_ff_lansare&amp;utm_content=cald_general</v>
      </c>
    </row>
    <row r="2044" customFormat="false" ht="15" hidden="false" customHeight="false" outlineLevel="0" collapsed="false">
      <c r="A2044" s="10" t="s">
        <v>95</v>
      </c>
      <c r="B2044" s="10" t="str">
        <f aca="false">INDEX('Site-uri'!$B$2:$B$20,MATCH(A2044,'Site-uri'!$A$2:$A$20,0))</f>
        <v>floride-e2.com</v>
      </c>
      <c r="C2044" s="10" t="s">
        <v>170</v>
      </c>
      <c r="D2044" s="10" t="s">
        <v>231</v>
      </c>
      <c r="E2044" s="10" t="str">
        <f aca="false">INDEX(Canale!$C$2:$C$30,MATCH(C2044,Canale!$A$2:$A$30,0))</f>
        <v>zenodo</v>
      </c>
      <c r="F2044" s="10" t="str">
        <f aca="false">INDEX(Canale!$D$2:$D$30,MATCH(C2044,Canale!$A$2:$A$30,0))</f>
        <v>referral</v>
      </c>
      <c r="G2044" s="10" t="str">
        <f aca="false">INDEX('Site-uri'!$C$2:$C$20,MATCH(A2044,'Site-uri'!$A$2:$A$20,0))</f>
        <v>/</v>
      </c>
      <c r="H2044" s="10" t="str">
        <f aca="false">Config!$B$3</f>
        <v>2610_ff_lansare</v>
      </c>
      <c r="I2044" s="10" t="str">
        <f aca="false">D2044&amp;"_"&amp;Config!$B$4</f>
        <v>fierbinte_general</v>
      </c>
      <c r="J2044" s="10" t="str">
        <f aca="false">"https://"&amp;B2044&amp;G2044&amp;"?utm_source="&amp;E2044&amp;"&amp;utm_medium="&amp;F2044&amp;"&amp;utm_campaign="&amp;H2044&amp;"&amp;utm_content="&amp;I2044</f>
        <v>https://floride-e2.com/?utm_source=zenodo&amp;utm_medium=referral&amp;utm_campaign=2610_ff_lansare&amp;utm_content=fierbinte_general</v>
      </c>
    </row>
    <row r="2045" customFormat="false" ht="15" hidden="false" customHeight="false" outlineLevel="0" collapsed="false">
      <c r="A2045" s="10" t="s">
        <v>95</v>
      </c>
      <c r="B2045" s="10" t="str">
        <f aca="false">INDEX('Site-uri'!$B$2:$B$20,MATCH(A2045,'Site-uri'!$A$2:$A$20,0))</f>
        <v>floride-e2.com</v>
      </c>
      <c r="C2045" s="10" t="s">
        <v>170</v>
      </c>
      <c r="D2045" s="10" t="s">
        <v>237</v>
      </c>
      <c r="E2045" s="10" t="str">
        <f aca="false">INDEX(Canale!$C$2:$C$30,MATCH(C2045,Canale!$A$2:$A$30,0))</f>
        <v>zenodo</v>
      </c>
      <c r="F2045" s="10" t="str">
        <f aca="false">INDEX(Canale!$D$2:$D$30,MATCH(C2045,Canale!$A$2:$A$30,0))</f>
        <v>referral</v>
      </c>
      <c r="G2045" s="10" t="str">
        <f aca="false">INDEX('Site-uri'!$C$2:$C$20,MATCH(A2045,'Site-uri'!$A$2:$A$20,0))</f>
        <v>/</v>
      </c>
      <c r="H2045" s="10" t="str">
        <f aca="false">Config!$B$3</f>
        <v>2610_ff_lansare</v>
      </c>
      <c r="I2045" s="10" t="str">
        <f aca="false">D2045&amp;"_"&amp;Config!$B$4</f>
        <v>client_general</v>
      </c>
      <c r="J2045" s="10" t="str">
        <f aca="false">"https://"&amp;B2045&amp;G2045&amp;"?utm_source="&amp;E2045&amp;"&amp;utm_medium="&amp;F2045&amp;"&amp;utm_campaign="&amp;H2045&amp;"&amp;utm_content="&amp;I2045</f>
        <v>https://floride-e2.com/?utm_source=zenodo&amp;utm_medium=referral&amp;utm_campaign=2610_ff_lansare&amp;utm_content=client_general</v>
      </c>
    </row>
    <row r="2046" customFormat="false" ht="15" hidden="false" customHeight="false" outlineLevel="0" collapsed="false">
      <c r="A2046" s="10" t="s">
        <v>95</v>
      </c>
      <c r="B2046" s="10" t="str">
        <f aca="false">INDEX('Site-uri'!$B$2:$B$20,MATCH(A2046,'Site-uri'!$A$2:$A$20,0))</f>
        <v>floride-e2.com</v>
      </c>
      <c r="C2046" s="10" t="s">
        <v>173</v>
      </c>
      <c r="D2046" s="10" t="s">
        <v>219</v>
      </c>
      <c r="E2046" s="10" t="str">
        <f aca="false">INDEX(Canale!$C$2:$C$30,MATCH(C2046,Canale!$A$2:$A$30,0))</f>
        <v>orcid</v>
      </c>
      <c r="F2046" s="10" t="str">
        <f aca="false">INDEX(Canale!$D$2:$D$30,MATCH(C2046,Canale!$A$2:$A$30,0))</f>
        <v>referral</v>
      </c>
      <c r="G2046" s="10" t="str">
        <f aca="false">INDEX('Site-uri'!$C$2:$C$20,MATCH(A2046,'Site-uri'!$A$2:$A$20,0))</f>
        <v>/</v>
      </c>
      <c r="H2046" s="10" t="str">
        <f aca="false">Config!$B$3</f>
        <v>2610_ff_lansare</v>
      </c>
      <c r="I2046" s="10" t="str">
        <f aca="false">D2046&amp;"_"&amp;Config!$B$4</f>
        <v>rece_general</v>
      </c>
      <c r="J2046" s="10" t="str">
        <f aca="false">"https://"&amp;B2046&amp;G2046&amp;"?utm_source="&amp;E2046&amp;"&amp;utm_medium="&amp;F2046&amp;"&amp;utm_campaign="&amp;H2046&amp;"&amp;utm_content="&amp;I2046</f>
        <v>https://floride-e2.com/?utm_source=orcid&amp;utm_medium=referral&amp;utm_campaign=2610_ff_lansare&amp;utm_content=rece_general</v>
      </c>
    </row>
    <row r="2047" customFormat="false" ht="15" hidden="false" customHeight="false" outlineLevel="0" collapsed="false">
      <c r="A2047" s="10" t="s">
        <v>95</v>
      </c>
      <c r="B2047" s="10" t="str">
        <f aca="false">INDEX('Site-uri'!$B$2:$B$20,MATCH(A2047,'Site-uri'!$A$2:$A$20,0))</f>
        <v>floride-e2.com</v>
      </c>
      <c r="C2047" s="10" t="s">
        <v>173</v>
      </c>
      <c r="D2047" s="10" t="s">
        <v>225</v>
      </c>
      <c r="E2047" s="10" t="str">
        <f aca="false">INDEX(Canale!$C$2:$C$30,MATCH(C2047,Canale!$A$2:$A$30,0))</f>
        <v>orcid</v>
      </c>
      <c r="F2047" s="10" t="str">
        <f aca="false">INDEX(Canale!$D$2:$D$30,MATCH(C2047,Canale!$A$2:$A$30,0))</f>
        <v>referral</v>
      </c>
      <c r="G2047" s="10" t="str">
        <f aca="false">INDEX('Site-uri'!$C$2:$C$20,MATCH(A2047,'Site-uri'!$A$2:$A$20,0))</f>
        <v>/</v>
      </c>
      <c r="H2047" s="10" t="str">
        <f aca="false">Config!$B$3</f>
        <v>2610_ff_lansare</v>
      </c>
      <c r="I2047" s="10" t="str">
        <f aca="false">D2047&amp;"_"&amp;Config!$B$4</f>
        <v>cald_general</v>
      </c>
      <c r="J2047" s="10" t="str">
        <f aca="false">"https://"&amp;B2047&amp;G2047&amp;"?utm_source="&amp;E2047&amp;"&amp;utm_medium="&amp;F2047&amp;"&amp;utm_campaign="&amp;H2047&amp;"&amp;utm_content="&amp;I2047</f>
        <v>https://floride-e2.com/?utm_source=orcid&amp;utm_medium=referral&amp;utm_campaign=2610_ff_lansare&amp;utm_content=cald_general</v>
      </c>
    </row>
    <row r="2048" customFormat="false" ht="15" hidden="false" customHeight="false" outlineLevel="0" collapsed="false">
      <c r="A2048" s="10" t="s">
        <v>95</v>
      </c>
      <c r="B2048" s="10" t="str">
        <f aca="false">INDEX('Site-uri'!$B$2:$B$20,MATCH(A2048,'Site-uri'!$A$2:$A$20,0))</f>
        <v>floride-e2.com</v>
      </c>
      <c r="C2048" s="10" t="s">
        <v>173</v>
      </c>
      <c r="D2048" s="10" t="s">
        <v>231</v>
      </c>
      <c r="E2048" s="10" t="str">
        <f aca="false">INDEX(Canale!$C$2:$C$30,MATCH(C2048,Canale!$A$2:$A$30,0))</f>
        <v>orcid</v>
      </c>
      <c r="F2048" s="10" t="str">
        <f aca="false">INDEX(Canale!$D$2:$D$30,MATCH(C2048,Canale!$A$2:$A$30,0))</f>
        <v>referral</v>
      </c>
      <c r="G2048" s="10" t="str">
        <f aca="false">INDEX('Site-uri'!$C$2:$C$20,MATCH(A2048,'Site-uri'!$A$2:$A$20,0))</f>
        <v>/</v>
      </c>
      <c r="H2048" s="10" t="str">
        <f aca="false">Config!$B$3</f>
        <v>2610_ff_lansare</v>
      </c>
      <c r="I2048" s="10" t="str">
        <f aca="false">D2048&amp;"_"&amp;Config!$B$4</f>
        <v>fierbinte_general</v>
      </c>
      <c r="J2048" s="10" t="str">
        <f aca="false">"https://"&amp;B2048&amp;G2048&amp;"?utm_source="&amp;E2048&amp;"&amp;utm_medium="&amp;F2048&amp;"&amp;utm_campaign="&amp;H2048&amp;"&amp;utm_content="&amp;I2048</f>
        <v>https://floride-e2.com/?utm_source=orcid&amp;utm_medium=referral&amp;utm_campaign=2610_ff_lansare&amp;utm_content=fierbinte_general</v>
      </c>
    </row>
    <row r="2049" customFormat="false" ht="15" hidden="false" customHeight="false" outlineLevel="0" collapsed="false">
      <c r="A2049" s="10" t="s">
        <v>95</v>
      </c>
      <c r="B2049" s="10" t="str">
        <f aca="false">INDEX('Site-uri'!$B$2:$B$20,MATCH(A2049,'Site-uri'!$A$2:$A$20,0))</f>
        <v>floride-e2.com</v>
      </c>
      <c r="C2049" s="10" t="s">
        <v>173</v>
      </c>
      <c r="D2049" s="10" t="s">
        <v>237</v>
      </c>
      <c r="E2049" s="10" t="str">
        <f aca="false">INDEX(Canale!$C$2:$C$30,MATCH(C2049,Canale!$A$2:$A$30,0))</f>
        <v>orcid</v>
      </c>
      <c r="F2049" s="10" t="str">
        <f aca="false">INDEX(Canale!$D$2:$D$30,MATCH(C2049,Canale!$A$2:$A$30,0))</f>
        <v>referral</v>
      </c>
      <c r="G2049" s="10" t="str">
        <f aca="false">INDEX('Site-uri'!$C$2:$C$20,MATCH(A2049,'Site-uri'!$A$2:$A$20,0))</f>
        <v>/</v>
      </c>
      <c r="H2049" s="10" t="str">
        <f aca="false">Config!$B$3</f>
        <v>2610_ff_lansare</v>
      </c>
      <c r="I2049" s="10" t="str">
        <f aca="false">D2049&amp;"_"&amp;Config!$B$4</f>
        <v>client_general</v>
      </c>
      <c r="J2049" s="10" t="str">
        <f aca="false">"https://"&amp;B2049&amp;G2049&amp;"?utm_source="&amp;E2049&amp;"&amp;utm_medium="&amp;F2049&amp;"&amp;utm_campaign="&amp;H2049&amp;"&amp;utm_content="&amp;I2049</f>
        <v>https://floride-e2.com/?utm_source=orcid&amp;utm_medium=referral&amp;utm_campaign=2610_ff_lansare&amp;utm_content=client_general</v>
      </c>
    </row>
    <row r="2050" customFormat="false" ht="15" hidden="false" customHeight="false" outlineLevel="0" collapsed="false">
      <c r="A2050" s="10" t="s">
        <v>95</v>
      </c>
      <c r="B2050" s="10" t="str">
        <f aca="false">INDEX('Site-uri'!$B$2:$B$20,MATCH(A2050,'Site-uri'!$A$2:$A$20,0))</f>
        <v>floride-e2.com</v>
      </c>
      <c r="C2050" s="10" t="s">
        <v>176</v>
      </c>
      <c r="D2050" s="10" t="s">
        <v>219</v>
      </c>
      <c r="E2050" s="10" t="str">
        <f aca="false">INDEX(Canale!$C$2:$C$30,MATCH(C2050,Canale!$A$2:$A$30,0))</f>
        <v>github</v>
      </c>
      <c r="F2050" s="10" t="str">
        <f aca="false">INDEX(Canale!$D$2:$D$30,MATCH(C2050,Canale!$A$2:$A$30,0))</f>
        <v>referral</v>
      </c>
      <c r="G2050" s="10" t="str">
        <f aca="false">INDEX('Site-uri'!$C$2:$C$20,MATCH(A2050,'Site-uri'!$A$2:$A$20,0))</f>
        <v>/</v>
      </c>
      <c r="H2050" s="10" t="str">
        <f aca="false">Config!$B$3</f>
        <v>2610_ff_lansare</v>
      </c>
      <c r="I2050" s="10" t="str">
        <f aca="false">D2050&amp;"_"&amp;Config!$B$4</f>
        <v>rece_general</v>
      </c>
      <c r="J2050" s="10" t="str">
        <f aca="false">"https://"&amp;B2050&amp;G2050&amp;"?utm_source="&amp;E2050&amp;"&amp;utm_medium="&amp;F2050&amp;"&amp;utm_campaign="&amp;H2050&amp;"&amp;utm_content="&amp;I2050</f>
        <v>https://floride-e2.com/?utm_source=github&amp;utm_medium=referral&amp;utm_campaign=2610_ff_lansare&amp;utm_content=rece_general</v>
      </c>
    </row>
    <row r="2051" customFormat="false" ht="15" hidden="false" customHeight="false" outlineLevel="0" collapsed="false">
      <c r="A2051" s="10" t="s">
        <v>95</v>
      </c>
      <c r="B2051" s="10" t="str">
        <f aca="false">INDEX('Site-uri'!$B$2:$B$20,MATCH(A2051,'Site-uri'!$A$2:$A$20,0))</f>
        <v>floride-e2.com</v>
      </c>
      <c r="C2051" s="10" t="s">
        <v>176</v>
      </c>
      <c r="D2051" s="10" t="s">
        <v>225</v>
      </c>
      <c r="E2051" s="10" t="str">
        <f aca="false">INDEX(Canale!$C$2:$C$30,MATCH(C2051,Canale!$A$2:$A$30,0))</f>
        <v>github</v>
      </c>
      <c r="F2051" s="10" t="str">
        <f aca="false">INDEX(Canale!$D$2:$D$30,MATCH(C2051,Canale!$A$2:$A$30,0))</f>
        <v>referral</v>
      </c>
      <c r="G2051" s="10" t="str">
        <f aca="false">INDEX('Site-uri'!$C$2:$C$20,MATCH(A2051,'Site-uri'!$A$2:$A$20,0))</f>
        <v>/</v>
      </c>
      <c r="H2051" s="10" t="str">
        <f aca="false">Config!$B$3</f>
        <v>2610_ff_lansare</v>
      </c>
      <c r="I2051" s="10" t="str">
        <f aca="false">D2051&amp;"_"&amp;Config!$B$4</f>
        <v>cald_general</v>
      </c>
      <c r="J2051" s="10" t="str">
        <f aca="false">"https://"&amp;B2051&amp;G2051&amp;"?utm_source="&amp;E2051&amp;"&amp;utm_medium="&amp;F2051&amp;"&amp;utm_campaign="&amp;H2051&amp;"&amp;utm_content="&amp;I2051</f>
        <v>https://floride-e2.com/?utm_source=github&amp;utm_medium=referral&amp;utm_campaign=2610_ff_lansare&amp;utm_content=cald_general</v>
      </c>
    </row>
    <row r="2052" customFormat="false" ht="15" hidden="false" customHeight="false" outlineLevel="0" collapsed="false">
      <c r="A2052" s="10" t="s">
        <v>95</v>
      </c>
      <c r="B2052" s="10" t="str">
        <f aca="false">INDEX('Site-uri'!$B$2:$B$20,MATCH(A2052,'Site-uri'!$A$2:$A$20,0))</f>
        <v>floride-e2.com</v>
      </c>
      <c r="C2052" s="10" t="s">
        <v>176</v>
      </c>
      <c r="D2052" s="10" t="s">
        <v>231</v>
      </c>
      <c r="E2052" s="10" t="str">
        <f aca="false">INDEX(Canale!$C$2:$C$30,MATCH(C2052,Canale!$A$2:$A$30,0))</f>
        <v>github</v>
      </c>
      <c r="F2052" s="10" t="str">
        <f aca="false">INDEX(Canale!$D$2:$D$30,MATCH(C2052,Canale!$A$2:$A$30,0))</f>
        <v>referral</v>
      </c>
      <c r="G2052" s="10" t="str">
        <f aca="false">INDEX('Site-uri'!$C$2:$C$20,MATCH(A2052,'Site-uri'!$A$2:$A$20,0))</f>
        <v>/</v>
      </c>
      <c r="H2052" s="10" t="str">
        <f aca="false">Config!$B$3</f>
        <v>2610_ff_lansare</v>
      </c>
      <c r="I2052" s="10" t="str">
        <f aca="false">D2052&amp;"_"&amp;Config!$B$4</f>
        <v>fierbinte_general</v>
      </c>
      <c r="J2052" s="10" t="str">
        <f aca="false">"https://"&amp;B2052&amp;G2052&amp;"?utm_source="&amp;E2052&amp;"&amp;utm_medium="&amp;F2052&amp;"&amp;utm_campaign="&amp;H2052&amp;"&amp;utm_content="&amp;I2052</f>
        <v>https://floride-e2.com/?utm_source=github&amp;utm_medium=referral&amp;utm_campaign=2610_ff_lansare&amp;utm_content=fierbinte_general</v>
      </c>
    </row>
    <row r="2053" customFormat="false" ht="15" hidden="false" customHeight="false" outlineLevel="0" collapsed="false">
      <c r="A2053" s="10" t="s">
        <v>95</v>
      </c>
      <c r="B2053" s="10" t="str">
        <f aca="false">INDEX('Site-uri'!$B$2:$B$20,MATCH(A2053,'Site-uri'!$A$2:$A$20,0))</f>
        <v>floride-e2.com</v>
      </c>
      <c r="C2053" s="10" t="s">
        <v>176</v>
      </c>
      <c r="D2053" s="10" t="s">
        <v>237</v>
      </c>
      <c r="E2053" s="10" t="str">
        <f aca="false">INDEX(Canale!$C$2:$C$30,MATCH(C2053,Canale!$A$2:$A$30,0))</f>
        <v>github</v>
      </c>
      <c r="F2053" s="10" t="str">
        <f aca="false">INDEX(Canale!$D$2:$D$30,MATCH(C2053,Canale!$A$2:$A$30,0))</f>
        <v>referral</v>
      </c>
      <c r="G2053" s="10" t="str">
        <f aca="false">INDEX('Site-uri'!$C$2:$C$20,MATCH(A2053,'Site-uri'!$A$2:$A$20,0))</f>
        <v>/</v>
      </c>
      <c r="H2053" s="10" t="str">
        <f aca="false">Config!$B$3</f>
        <v>2610_ff_lansare</v>
      </c>
      <c r="I2053" s="10" t="str">
        <f aca="false">D2053&amp;"_"&amp;Config!$B$4</f>
        <v>client_general</v>
      </c>
      <c r="J2053" s="10" t="str">
        <f aca="false">"https://"&amp;B2053&amp;G2053&amp;"?utm_source="&amp;E2053&amp;"&amp;utm_medium="&amp;F2053&amp;"&amp;utm_campaign="&amp;H2053&amp;"&amp;utm_content="&amp;I2053</f>
        <v>https://floride-e2.com/?utm_source=github&amp;utm_medium=referral&amp;utm_campaign=2610_ff_lansare&amp;utm_content=client_general</v>
      </c>
    </row>
    <row r="2054" customFormat="false" ht="15" hidden="false" customHeight="false" outlineLevel="0" collapsed="false">
      <c r="A2054" s="10" t="s">
        <v>95</v>
      </c>
      <c r="B2054" s="10" t="str">
        <f aca="false">INDEX('Site-uri'!$B$2:$B$20,MATCH(A2054,'Site-uri'!$A$2:$A$20,0))</f>
        <v>floride-e2.com</v>
      </c>
      <c r="C2054" s="10" t="s">
        <v>179</v>
      </c>
      <c r="D2054" s="10" t="s">
        <v>219</v>
      </c>
      <c r="E2054" s="10" t="str">
        <f aca="false">INDEX(Canale!$C$2:$C$30,MATCH(C2054,Canale!$A$2:$A$30,0))</f>
        <v>kdp_book</v>
      </c>
      <c r="F2054" s="10" t="str">
        <f aca="false">INDEX(Canale!$D$2:$D$30,MATCH(C2054,Canale!$A$2:$A$30,0))</f>
        <v>book</v>
      </c>
      <c r="G2054" s="10" t="str">
        <f aca="false">INDEX('Site-uri'!$C$2:$C$20,MATCH(A2054,'Site-uri'!$A$2:$A$20,0))</f>
        <v>/</v>
      </c>
      <c r="H2054" s="10" t="str">
        <f aca="false">Config!$B$3</f>
        <v>2610_ff_lansare</v>
      </c>
      <c r="I2054" s="10" t="str">
        <f aca="false">D2054&amp;"_"&amp;Config!$B$4</f>
        <v>rece_general</v>
      </c>
      <c r="J2054" s="10" t="str">
        <f aca="false">"https://"&amp;B2054&amp;G2054&amp;"?utm_source="&amp;E2054&amp;"&amp;utm_medium="&amp;F2054&amp;"&amp;utm_campaign="&amp;H2054&amp;"&amp;utm_content="&amp;I2054</f>
        <v>https://floride-e2.com/?utm_source=kdp_book&amp;utm_medium=book&amp;utm_campaign=2610_ff_lansare&amp;utm_content=rece_general</v>
      </c>
    </row>
    <row r="2055" customFormat="false" ht="15" hidden="false" customHeight="false" outlineLevel="0" collapsed="false">
      <c r="A2055" s="10" t="s">
        <v>95</v>
      </c>
      <c r="B2055" s="10" t="str">
        <f aca="false">INDEX('Site-uri'!$B$2:$B$20,MATCH(A2055,'Site-uri'!$A$2:$A$20,0))</f>
        <v>floride-e2.com</v>
      </c>
      <c r="C2055" s="10" t="s">
        <v>179</v>
      </c>
      <c r="D2055" s="10" t="s">
        <v>225</v>
      </c>
      <c r="E2055" s="10" t="str">
        <f aca="false">INDEX(Canale!$C$2:$C$30,MATCH(C2055,Canale!$A$2:$A$30,0))</f>
        <v>kdp_book</v>
      </c>
      <c r="F2055" s="10" t="str">
        <f aca="false">INDEX(Canale!$D$2:$D$30,MATCH(C2055,Canale!$A$2:$A$30,0))</f>
        <v>book</v>
      </c>
      <c r="G2055" s="10" t="str">
        <f aca="false">INDEX('Site-uri'!$C$2:$C$20,MATCH(A2055,'Site-uri'!$A$2:$A$20,0))</f>
        <v>/</v>
      </c>
      <c r="H2055" s="10" t="str">
        <f aca="false">Config!$B$3</f>
        <v>2610_ff_lansare</v>
      </c>
      <c r="I2055" s="10" t="str">
        <f aca="false">D2055&amp;"_"&amp;Config!$B$4</f>
        <v>cald_general</v>
      </c>
      <c r="J2055" s="10" t="str">
        <f aca="false">"https://"&amp;B2055&amp;G2055&amp;"?utm_source="&amp;E2055&amp;"&amp;utm_medium="&amp;F2055&amp;"&amp;utm_campaign="&amp;H2055&amp;"&amp;utm_content="&amp;I2055</f>
        <v>https://floride-e2.com/?utm_source=kdp_book&amp;utm_medium=book&amp;utm_campaign=2610_ff_lansare&amp;utm_content=cald_general</v>
      </c>
    </row>
    <row r="2056" customFormat="false" ht="15" hidden="false" customHeight="false" outlineLevel="0" collapsed="false">
      <c r="A2056" s="10" t="s">
        <v>95</v>
      </c>
      <c r="B2056" s="10" t="str">
        <f aca="false">INDEX('Site-uri'!$B$2:$B$20,MATCH(A2056,'Site-uri'!$A$2:$A$20,0))</f>
        <v>floride-e2.com</v>
      </c>
      <c r="C2056" s="10" t="s">
        <v>179</v>
      </c>
      <c r="D2056" s="10" t="s">
        <v>231</v>
      </c>
      <c r="E2056" s="10" t="str">
        <f aca="false">INDEX(Canale!$C$2:$C$30,MATCH(C2056,Canale!$A$2:$A$30,0))</f>
        <v>kdp_book</v>
      </c>
      <c r="F2056" s="10" t="str">
        <f aca="false">INDEX(Canale!$D$2:$D$30,MATCH(C2056,Canale!$A$2:$A$30,0))</f>
        <v>book</v>
      </c>
      <c r="G2056" s="10" t="str">
        <f aca="false">INDEX('Site-uri'!$C$2:$C$20,MATCH(A2056,'Site-uri'!$A$2:$A$20,0))</f>
        <v>/</v>
      </c>
      <c r="H2056" s="10" t="str">
        <f aca="false">Config!$B$3</f>
        <v>2610_ff_lansare</v>
      </c>
      <c r="I2056" s="10" t="str">
        <f aca="false">D2056&amp;"_"&amp;Config!$B$4</f>
        <v>fierbinte_general</v>
      </c>
      <c r="J2056" s="10" t="str">
        <f aca="false">"https://"&amp;B2056&amp;G2056&amp;"?utm_source="&amp;E2056&amp;"&amp;utm_medium="&amp;F2056&amp;"&amp;utm_campaign="&amp;H2056&amp;"&amp;utm_content="&amp;I2056</f>
        <v>https://floride-e2.com/?utm_source=kdp_book&amp;utm_medium=book&amp;utm_campaign=2610_ff_lansare&amp;utm_content=fierbinte_general</v>
      </c>
    </row>
    <row r="2057" customFormat="false" ht="15" hidden="false" customHeight="false" outlineLevel="0" collapsed="false">
      <c r="A2057" s="10" t="s">
        <v>95</v>
      </c>
      <c r="B2057" s="10" t="str">
        <f aca="false">INDEX('Site-uri'!$B$2:$B$20,MATCH(A2057,'Site-uri'!$A$2:$A$20,0))</f>
        <v>floride-e2.com</v>
      </c>
      <c r="C2057" s="10" t="s">
        <v>179</v>
      </c>
      <c r="D2057" s="10" t="s">
        <v>237</v>
      </c>
      <c r="E2057" s="10" t="str">
        <f aca="false">INDEX(Canale!$C$2:$C$30,MATCH(C2057,Canale!$A$2:$A$30,0))</f>
        <v>kdp_book</v>
      </c>
      <c r="F2057" s="10" t="str">
        <f aca="false">INDEX(Canale!$D$2:$D$30,MATCH(C2057,Canale!$A$2:$A$30,0))</f>
        <v>book</v>
      </c>
      <c r="G2057" s="10" t="str">
        <f aca="false">INDEX('Site-uri'!$C$2:$C$20,MATCH(A2057,'Site-uri'!$A$2:$A$20,0))</f>
        <v>/</v>
      </c>
      <c r="H2057" s="10" t="str">
        <f aca="false">Config!$B$3</f>
        <v>2610_ff_lansare</v>
      </c>
      <c r="I2057" s="10" t="str">
        <f aca="false">D2057&amp;"_"&amp;Config!$B$4</f>
        <v>client_general</v>
      </c>
      <c r="J2057" s="10" t="str">
        <f aca="false">"https://"&amp;B2057&amp;G2057&amp;"?utm_source="&amp;E2057&amp;"&amp;utm_medium="&amp;F2057&amp;"&amp;utm_campaign="&amp;H2057&amp;"&amp;utm_content="&amp;I2057</f>
        <v>https://floride-e2.com/?utm_source=kdp_book&amp;utm_medium=book&amp;utm_campaign=2610_ff_lansare&amp;utm_content=client_general</v>
      </c>
    </row>
    <row r="2058" customFormat="false" ht="15" hidden="false" customHeight="false" outlineLevel="0" collapsed="false">
      <c r="A2058" s="10" t="s">
        <v>95</v>
      </c>
      <c r="B2058" s="10" t="str">
        <f aca="false">INDEX('Site-uri'!$B$2:$B$20,MATCH(A2058,'Site-uri'!$A$2:$A$20,0))</f>
        <v>floride-e2.com</v>
      </c>
      <c r="C2058" s="10" t="s">
        <v>184</v>
      </c>
      <c r="D2058" s="10" t="s">
        <v>219</v>
      </c>
      <c r="E2058" s="10" t="str">
        <f aca="false">INDEX(Canale!$C$2:$C$30,MATCH(C2058,Canale!$A$2:$A$30,0))</f>
        <v>udemy</v>
      </c>
      <c r="F2058" s="10" t="str">
        <f aca="false">INDEX(Canale!$D$2:$D$30,MATCH(C2058,Canale!$A$2:$A$30,0))</f>
        <v>course</v>
      </c>
      <c r="G2058" s="10" t="str">
        <f aca="false">INDEX('Site-uri'!$C$2:$C$20,MATCH(A2058,'Site-uri'!$A$2:$A$20,0))</f>
        <v>/</v>
      </c>
      <c r="H2058" s="10" t="str">
        <f aca="false">Config!$B$3</f>
        <v>2610_ff_lansare</v>
      </c>
      <c r="I2058" s="10" t="str">
        <f aca="false">D2058&amp;"_"&amp;Config!$B$4</f>
        <v>rece_general</v>
      </c>
      <c r="J2058" s="10" t="str">
        <f aca="false">"https://"&amp;B2058&amp;G2058&amp;"?utm_source="&amp;E2058&amp;"&amp;utm_medium="&amp;F2058&amp;"&amp;utm_campaign="&amp;H2058&amp;"&amp;utm_content="&amp;I2058</f>
        <v>https://floride-e2.com/?utm_source=udemy&amp;utm_medium=course&amp;utm_campaign=2610_ff_lansare&amp;utm_content=rece_general</v>
      </c>
    </row>
    <row r="2059" customFormat="false" ht="15" hidden="false" customHeight="false" outlineLevel="0" collapsed="false">
      <c r="A2059" s="10" t="s">
        <v>95</v>
      </c>
      <c r="B2059" s="10" t="str">
        <f aca="false">INDEX('Site-uri'!$B$2:$B$20,MATCH(A2059,'Site-uri'!$A$2:$A$20,0))</f>
        <v>floride-e2.com</v>
      </c>
      <c r="C2059" s="10" t="s">
        <v>184</v>
      </c>
      <c r="D2059" s="10" t="s">
        <v>225</v>
      </c>
      <c r="E2059" s="10" t="str">
        <f aca="false">INDEX(Canale!$C$2:$C$30,MATCH(C2059,Canale!$A$2:$A$30,0))</f>
        <v>udemy</v>
      </c>
      <c r="F2059" s="10" t="str">
        <f aca="false">INDEX(Canale!$D$2:$D$30,MATCH(C2059,Canale!$A$2:$A$30,0))</f>
        <v>course</v>
      </c>
      <c r="G2059" s="10" t="str">
        <f aca="false">INDEX('Site-uri'!$C$2:$C$20,MATCH(A2059,'Site-uri'!$A$2:$A$20,0))</f>
        <v>/</v>
      </c>
      <c r="H2059" s="10" t="str">
        <f aca="false">Config!$B$3</f>
        <v>2610_ff_lansare</v>
      </c>
      <c r="I2059" s="10" t="str">
        <f aca="false">D2059&amp;"_"&amp;Config!$B$4</f>
        <v>cald_general</v>
      </c>
      <c r="J2059" s="10" t="str">
        <f aca="false">"https://"&amp;B2059&amp;G2059&amp;"?utm_source="&amp;E2059&amp;"&amp;utm_medium="&amp;F2059&amp;"&amp;utm_campaign="&amp;H2059&amp;"&amp;utm_content="&amp;I2059</f>
        <v>https://floride-e2.com/?utm_source=udemy&amp;utm_medium=course&amp;utm_campaign=2610_ff_lansare&amp;utm_content=cald_general</v>
      </c>
    </row>
    <row r="2060" customFormat="false" ht="15" hidden="false" customHeight="false" outlineLevel="0" collapsed="false">
      <c r="A2060" s="10" t="s">
        <v>95</v>
      </c>
      <c r="B2060" s="10" t="str">
        <f aca="false">INDEX('Site-uri'!$B$2:$B$20,MATCH(A2060,'Site-uri'!$A$2:$A$20,0))</f>
        <v>floride-e2.com</v>
      </c>
      <c r="C2060" s="10" t="s">
        <v>184</v>
      </c>
      <c r="D2060" s="10" t="s">
        <v>231</v>
      </c>
      <c r="E2060" s="10" t="str">
        <f aca="false">INDEX(Canale!$C$2:$C$30,MATCH(C2060,Canale!$A$2:$A$30,0))</f>
        <v>udemy</v>
      </c>
      <c r="F2060" s="10" t="str">
        <f aca="false">INDEX(Canale!$D$2:$D$30,MATCH(C2060,Canale!$A$2:$A$30,0))</f>
        <v>course</v>
      </c>
      <c r="G2060" s="10" t="str">
        <f aca="false">INDEX('Site-uri'!$C$2:$C$20,MATCH(A2060,'Site-uri'!$A$2:$A$20,0))</f>
        <v>/</v>
      </c>
      <c r="H2060" s="10" t="str">
        <f aca="false">Config!$B$3</f>
        <v>2610_ff_lansare</v>
      </c>
      <c r="I2060" s="10" t="str">
        <f aca="false">D2060&amp;"_"&amp;Config!$B$4</f>
        <v>fierbinte_general</v>
      </c>
      <c r="J2060" s="10" t="str">
        <f aca="false">"https://"&amp;B2060&amp;G2060&amp;"?utm_source="&amp;E2060&amp;"&amp;utm_medium="&amp;F2060&amp;"&amp;utm_campaign="&amp;H2060&amp;"&amp;utm_content="&amp;I2060</f>
        <v>https://floride-e2.com/?utm_source=udemy&amp;utm_medium=course&amp;utm_campaign=2610_ff_lansare&amp;utm_content=fierbinte_general</v>
      </c>
    </row>
    <row r="2061" customFormat="false" ht="15" hidden="false" customHeight="false" outlineLevel="0" collapsed="false">
      <c r="A2061" s="10" t="s">
        <v>95</v>
      </c>
      <c r="B2061" s="10" t="str">
        <f aca="false">INDEX('Site-uri'!$B$2:$B$20,MATCH(A2061,'Site-uri'!$A$2:$A$20,0))</f>
        <v>floride-e2.com</v>
      </c>
      <c r="C2061" s="10" t="s">
        <v>184</v>
      </c>
      <c r="D2061" s="10" t="s">
        <v>237</v>
      </c>
      <c r="E2061" s="10" t="str">
        <f aca="false">INDEX(Canale!$C$2:$C$30,MATCH(C2061,Canale!$A$2:$A$30,0))</f>
        <v>udemy</v>
      </c>
      <c r="F2061" s="10" t="str">
        <f aca="false">INDEX(Canale!$D$2:$D$30,MATCH(C2061,Canale!$A$2:$A$30,0))</f>
        <v>course</v>
      </c>
      <c r="G2061" s="10" t="str">
        <f aca="false">INDEX('Site-uri'!$C$2:$C$20,MATCH(A2061,'Site-uri'!$A$2:$A$20,0))</f>
        <v>/</v>
      </c>
      <c r="H2061" s="10" t="str">
        <f aca="false">Config!$B$3</f>
        <v>2610_ff_lansare</v>
      </c>
      <c r="I2061" s="10" t="str">
        <f aca="false">D2061&amp;"_"&amp;Config!$B$4</f>
        <v>client_general</v>
      </c>
      <c r="J2061" s="10" t="str">
        <f aca="false">"https://"&amp;B2061&amp;G2061&amp;"?utm_source="&amp;E2061&amp;"&amp;utm_medium="&amp;F2061&amp;"&amp;utm_campaign="&amp;H2061&amp;"&amp;utm_content="&amp;I2061</f>
        <v>https://floride-e2.com/?utm_source=udemy&amp;utm_medium=course&amp;utm_campaign=2610_ff_lansare&amp;utm_content=client_general</v>
      </c>
    </row>
    <row r="2062" customFormat="false" ht="15" hidden="false" customHeight="false" outlineLevel="0" collapsed="false">
      <c r="A2062" s="10" t="s">
        <v>95</v>
      </c>
      <c r="B2062" s="10" t="str">
        <f aca="false">INDEX('Site-uri'!$B$2:$B$20,MATCH(A2062,'Site-uri'!$A$2:$A$20,0))</f>
        <v>floride-e2.com</v>
      </c>
      <c r="C2062" s="10" t="s">
        <v>187</v>
      </c>
      <c r="D2062" s="10" t="s">
        <v>219</v>
      </c>
      <c r="E2062" s="10" t="str">
        <f aca="false">INDEX(Canale!$C$2:$C$30,MATCH(C2062,Canale!$A$2:$A$30,0))</f>
        <v>directory</v>
      </c>
      <c r="F2062" s="10" t="str">
        <f aca="false">INDEX(Canale!$D$2:$D$30,MATCH(C2062,Canale!$A$2:$A$30,0))</f>
        <v>referral</v>
      </c>
      <c r="G2062" s="10" t="str">
        <f aca="false">INDEX('Site-uri'!$C$2:$C$20,MATCH(A2062,'Site-uri'!$A$2:$A$20,0))</f>
        <v>/</v>
      </c>
      <c r="H2062" s="10" t="str">
        <f aca="false">Config!$B$3</f>
        <v>2610_ff_lansare</v>
      </c>
      <c r="I2062" s="10" t="str">
        <f aca="false">D2062&amp;"_"&amp;Config!$B$4</f>
        <v>rece_general</v>
      </c>
      <c r="J2062" s="10" t="str">
        <f aca="false">"https://"&amp;B2062&amp;G2062&amp;"?utm_source="&amp;E2062&amp;"&amp;utm_medium="&amp;F2062&amp;"&amp;utm_campaign="&amp;H2062&amp;"&amp;utm_content="&amp;I2062</f>
        <v>https://floride-e2.com/?utm_source=directory&amp;utm_medium=referral&amp;utm_campaign=2610_ff_lansare&amp;utm_content=rece_general</v>
      </c>
    </row>
    <row r="2063" customFormat="false" ht="15" hidden="false" customHeight="false" outlineLevel="0" collapsed="false">
      <c r="A2063" s="10" t="s">
        <v>95</v>
      </c>
      <c r="B2063" s="10" t="str">
        <f aca="false">INDEX('Site-uri'!$B$2:$B$20,MATCH(A2063,'Site-uri'!$A$2:$A$20,0))</f>
        <v>floride-e2.com</v>
      </c>
      <c r="C2063" s="10" t="s">
        <v>187</v>
      </c>
      <c r="D2063" s="10" t="s">
        <v>225</v>
      </c>
      <c r="E2063" s="10" t="str">
        <f aca="false">INDEX(Canale!$C$2:$C$30,MATCH(C2063,Canale!$A$2:$A$30,0))</f>
        <v>directory</v>
      </c>
      <c r="F2063" s="10" t="str">
        <f aca="false">INDEX(Canale!$D$2:$D$30,MATCH(C2063,Canale!$A$2:$A$30,0))</f>
        <v>referral</v>
      </c>
      <c r="G2063" s="10" t="str">
        <f aca="false">INDEX('Site-uri'!$C$2:$C$20,MATCH(A2063,'Site-uri'!$A$2:$A$20,0))</f>
        <v>/</v>
      </c>
      <c r="H2063" s="10" t="str">
        <f aca="false">Config!$B$3</f>
        <v>2610_ff_lansare</v>
      </c>
      <c r="I2063" s="10" t="str">
        <f aca="false">D2063&amp;"_"&amp;Config!$B$4</f>
        <v>cald_general</v>
      </c>
      <c r="J2063" s="10" t="str">
        <f aca="false">"https://"&amp;B2063&amp;G2063&amp;"?utm_source="&amp;E2063&amp;"&amp;utm_medium="&amp;F2063&amp;"&amp;utm_campaign="&amp;H2063&amp;"&amp;utm_content="&amp;I2063</f>
        <v>https://floride-e2.com/?utm_source=directory&amp;utm_medium=referral&amp;utm_campaign=2610_ff_lansare&amp;utm_content=cald_general</v>
      </c>
    </row>
    <row r="2064" customFormat="false" ht="15" hidden="false" customHeight="false" outlineLevel="0" collapsed="false">
      <c r="A2064" s="10" t="s">
        <v>95</v>
      </c>
      <c r="B2064" s="10" t="str">
        <f aca="false">INDEX('Site-uri'!$B$2:$B$20,MATCH(A2064,'Site-uri'!$A$2:$A$20,0))</f>
        <v>floride-e2.com</v>
      </c>
      <c r="C2064" s="10" t="s">
        <v>187</v>
      </c>
      <c r="D2064" s="10" t="s">
        <v>231</v>
      </c>
      <c r="E2064" s="10" t="str">
        <f aca="false">INDEX(Canale!$C$2:$C$30,MATCH(C2064,Canale!$A$2:$A$30,0))</f>
        <v>directory</v>
      </c>
      <c r="F2064" s="10" t="str">
        <f aca="false">INDEX(Canale!$D$2:$D$30,MATCH(C2064,Canale!$A$2:$A$30,0))</f>
        <v>referral</v>
      </c>
      <c r="G2064" s="10" t="str">
        <f aca="false">INDEX('Site-uri'!$C$2:$C$20,MATCH(A2064,'Site-uri'!$A$2:$A$20,0))</f>
        <v>/</v>
      </c>
      <c r="H2064" s="10" t="str">
        <f aca="false">Config!$B$3</f>
        <v>2610_ff_lansare</v>
      </c>
      <c r="I2064" s="10" t="str">
        <f aca="false">D2064&amp;"_"&amp;Config!$B$4</f>
        <v>fierbinte_general</v>
      </c>
      <c r="J2064" s="10" t="str">
        <f aca="false">"https://"&amp;B2064&amp;G2064&amp;"?utm_source="&amp;E2064&amp;"&amp;utm_medium="&amp;F2064&amp;"&amp;utm_campaign="&amp;H2064&amp;"&amp;utm_content="&amp;I2064</f>
        <v>https://floride-e2.com/?utm_source=directory&amp;utm_medium=referral&amp;utm_campaign=2610_ff_lansare&amp;utm_content=fierbinte_general</v>
      </c>
    </row>
    <row r="2065" customFormat="false" ht="15" hidden="false" customHeight="false" outlineLevel="0" collapsed="false">
      <c r="A2065" s="10" t="s">
        <v>95</v>
      </c>
      <c r="B2065" s="10" t="str">
        <f aca="false">INDEX('Site-uri'!$B$2:$B$20,MATCH(A2065,'Site-uri'!$A$2:$A$20,0))</f>
        <v>floride-e2.com</v>
      </c>
      <c r="C2065" s="10" t="s">
        <v>187</v>
      </c>
      <c r="D2065" s="10" t="s">
        <v>237</v>
      </c>
      <c r="E2065" s="10" t="str">
        <f aca="false">INDEX(Canale!$C$2:$C$30,MATCH(C2065,Canale!$A$2:$A$30,0))</f>
        <v>directory</v>
      </c>
      <c r="F2065" s="10" t="str">
        <f aca="false">INDEX(Canale!$D$2:$D$30,MATCH(C2065,Canale!$A$2:$A$30,0))</f>
        <v>referral</v>
      </c>
      <c r="G2065" s="10" t="str">
        <f aca="false">INDEX('Site-uri'!$C$2:$C$20,MATCH(A2065,'Site-uri'!$A$2:$A$20,0))</f>
        <v>/</v>
      </c>
      <c r="H2065" s="10" t="str">
        <f aca="false">Config!$B$3</f>
        <v>2610_ff_lansare</v>
      </c>
      <c r="I2065" s="10" t="str">
        <f aca="false">D2065&amp;"_"&amp;Config!$B$4</f>
        <v>client_general</v>
      </c>
      <c r="J2065" s="10" t="str">
        <f aca="false">"https://"&amp;B2065&amp;G2065&amp;"?utm_source="&amp;E2065&amp;"&amp;utm_medium="&amp;F2065&amp;"&amp;utm_campaign="&amp;H2065&amp;"&amp;utm_content="&amp;I2065</f>
        <v>https://floride-e2.com/?utm_source=directory&amp;utm_medium=referral&amp;utm_campaign=2610_ff_lansare&amp;utm_content=client_general</v>
      </c>
    </row>
    <row r="2066" customFormat="false" ht="15" hidden="false" customHeight="false" outlineLevel="0" collapsed="false">
      <c r="A2066" s="10" t="s">
        <v>95</v>
      </c>
      <c r="B2066" s="10" t="str">
        <f aca="false">INDEX('Site-uri'!$B$2:$B$20,MATCH(A2066,'Site-uri'!$A$2:$A$20,0))</f>
        <v>floride-e2.com</v>
      </c>
      <c r="C2066" s="10" t="s">
        <v>191</v>
      </c>
      <c r="D2066" s="10" t="s">
        <v>219</v>
      </c>
      <c r="E2066" s="10" t="str">
        <f aca="false">INDEX(Canale!$C$2:$C$30,MATCH(C2066,Canale!$A$2:$A$30,0))</f>
        <v>partner</v>
      </c>
      <c r="F2066" s="10" t="str">
        <f aca="false">INDEX(Canale!$D$2:$D$30,MATCH(C2066,Canale!$A$2:$A$30,0))</f>
        <v>partner</v>
      </c>
      <c r="G2066" s="10" t="str">
        <f aca="false">INDEX('Site-uri'!$C$2:$C$20,MATCH(A2066,'Site-uri'!$A$2:$A$20,0))</f>
        <v>/</v>
      </c>
      <c r="H2066" s="10" t="str">
        <f aca="false">Config!$B$3</f>
        <v>2610_ff_lansare</v>
      </c>
      <c r="I2066" s="10" t="str">
        <f aca="false">D2066&amp;"_"&amp;Config!$B$4</f>
        <v>rece_general</v>
      </c>
      <c r="J2066" s="10" t="str">
        <f aca="false">"https://"&amp;B2066&amp;G2066&amp;"?utm_source="&amp;E2066&amp;"&amp;utm_medium="&amp;F2066&amp;"&amp;utm_campaign="&amp;H2066&amp;"&amp;utm_content="&amp;I2066</f>
        <v>https://floride-e2.com/?utm_source=partner&amp;utm_medium=partner&amp;utm_campaign=2610_ff_lansare&amp;utm_content=rece_general</v>
      </c>
    </row>
    <row r="2067" customFormat="false" ht="15" hidden="false" customHeight="false" outlineLevel="0" collapsed="false">
      <c r="A2067" s="10" t="s">
        <v>95</v>
      </c>
      <c r="B2067" s="10" t="str">
        <f aca="false">INDEX('Site-uri'!$B$2:$B$20,MATCH(A2067,'Site-uri'!$A$2:$A$20,0))</f>
        <v>floride-e2.com</v>
      </c>
      <c r="C2067" s="10" t="s">
        <v>191</v>
      </c>
      <c r="D2067" s="10" t="s">
        <v>225</v>
      </c>
      <c r="E2067" s="10" t="str">
        <f aca="false">INDEX(Canale!$C$2:$C$30,MATCH(C2067,Canale!$A$2:$A$30,0))</f>
        <v>partner</v>
      </c>
      <c r="F2067" s="10" t="str">
        <f aca="false">INDEX(Canale!$D$2:$D$30,MATCH(C2067,Canale!$A$2:$A$30,0))</f>
        <v>partner</v>
      </c>
      <c r="G2067" s="10" t="str">
        <f aca="false">INDEX('Site-uri'!$C$2:$C$20,MATCH(A2067,'Site-uri'!$A$2:$A$20,0))</f>
        <v>/</v>
      </c>
      <c r="H2067" s="10" t="str">
        <f aca="false">Config!$B$3</f>
        <v>2610_ff_lansare</v>
      </c>
      <c r="I2067" s="10" t="str">
        <f aca="false">D2067&amp;"_"&amp;Config!$B$4</f>
        <v>cald_general</v>
      </c>
      <c r="J2067" s="10" t="str">
        <f aca="false">"https://"&amp;B2067&amp;G2067&amp;"?utm_source="&amp;E2067&amp;"&amp;utm_medium="&amp;F2067&amp;"&amp;utm_campaign="&amp;H2067&amp;"&amp;utm_content="&amp;I2067</f>
        <v>https://floride-e2.com/?utm_source=partner&amp;utm_medium=partner&amp;utm_campaign=2610_ff_lansare&amp;utm_content=cald_general</v>
      </c>
    </row>
    <row r="2068" customFormat="false" ht="15" hidden="false" customHeight="false" outlineLevel="0" collapsed="false">
      <c r="A2068" s="10" t="s">
        <v>95</v>
      </c>
      <c r="B2068" s="10" t="str">
        <f aca="false">INDEX('Site-uri'!$B$2:$B$20,MATCH(A2068,'Site-uri'!$A$2:$A$20,0))</f>
        <v>floride-e2.com</v>
      </c>
      <c r="C2068" s="10" t="s">
        <v>191</v>
      </c>
      <c r="D2068" s="10" t="s">
        <v>231</v>
      </c>
      <c r="E2068" s="10" t="str">
        <f aca="false">INDEX(Canale!$C$2:$C$30,MATCH(C2068,Canale!$A$2:$A$30,0))</f>
        <v>partner</v>
      </c>
      <c r="F2068" s="10" t="str">
        <f aca="false">INDEX(Canale!$D$2:$D$30,MATCH(C2068,Canale!$A$2:$A$30,0))</f>
        <v>partner</v>
      </c>
      <c r="G2068" s="10" t="str">
        <f aca="false">INDEX('Site-uri'!$C$2:$C$20,MATCH(A2068,'Site-uri'!$A$2:$A$20,0))</f>
        <v>/</v>
      </c>
      <c r="H2068" s="10" t="str">
        <f aca="false">Config!$B$3</f>
        <v>2610_ff_lansare</v>
      </c>
      <c r="I2068" s="10" t="str">
        <f aca="false">D2068&amp;"_"&amp;Config!$B$4</f>
        <v>fierbinte_general</v>
      </c>
      <c r="J2068" s="10" t="str">
        <f aca="false">"https://"&amp;B2068&amp;G2068&amp;"?utm_source="&amp;E2068&amp;"&amp;utm_medium="&amp;F2068&amp;"&amp;utm_campaign="&amp;H2068&amp;"&amp;utm_content="&amp;I2068</f>
        <v>https://floride-e2.com/?utm_source=partner&amp;utm_medium=partner&amp;utm_campaign=2610_ff_lansare&amp;utm_content=fierbinte_general</v>
      </c>
    </row>
    <row r="2069" customFormat="false" ht="15" hidden="false" customHeight="false" outlineLevel="0" collapsed="false">
      <c r="A2069" s="10" t="s">
        <v>95</v>
      </c>
      <c r="B2069" s="10" t="str">
        <f aca="false">INDEX('Site-uri'!$B$2:$B$20,MATCH(A2069,'Site-uri'!$A$2:$A$20,0))</f>
        <v>floride-e2.com</v>
      </c>
      <c r="C2069" s="10" t="s">
        <v>191</v>
      </c>
      <c r="D2069" s="10" t="s">
        <v>237</v>
      </c>
      <c r="E2069" s="10" t="str">
        <f aca="false">INDEX(Canale!$C$2:$C$30,MATCH(C2069,Canale!$A$2:$A$30,0))</f>
        <v>partner</v>
      </c>
      <c r="F2069" s="10" t="str">
        <f aca="false">INDEX(Canale!$D$2:$D$30,MATCH(C2069,Canale!$A$2:$A$30,0))</f>
        <v>partner</v>
      </c>
      <c r="G2069" s="10" t="str">
        <f aca="false">INDEX('Site-uri'!$C$2:$C$20,MATCH(A2069,'Site-uri'!$A$2:$A$20,0))</f>
        <v>/</v>
      </c>
      <c r="H2069" s="10" t="str">
        <f aca="false">Config!$B$3</f>
        <v>2610_ff_lansare</v>
      </c>
      <c r="I2069" s="10" t="str">
        <f aca="false">D2069&amp;"_"&amp;Config!$B$4</f>
        <v>client_general</v>
      </c>
      <c r="J2069" s="10" t="str">
        <f aca="false">"https://"&amp;B2069&amp;G2069&amp;"?utm_source="&amp;E2069&amp;"&amp;utm_medium="&amp;F2069&amp;"&amp;utm_campaign="&amp;H2069&amp;"&amp;utm_content="&amp;I2069</f>
        <v>https://floride-e2.com/?utm_source=partner&amp;utm_medium=partner&amp;utm_campaign=2610_ff_lansare&amp;utm_content=client_general</v>
      </c>
    </row>
    <row r="2070" customFormat="false" ht="15" hidden="false" customHeight="false" outlineLevel="0" collapsed="false">
      <c r="A2070" s="10" t="s">
        <v>95</v>
      </c>
      <c r="B2070" s="10" t="str">
        <f aca="false">INDEX('Site-uri'!$B$2:$B$20,MATCH(A2070,'Site-uri'!$A$2:$A$20,0))</f>
        <v>floride-e2.com</v>
      </c>
      <c r="C2070" s="10" t="s">
        <v>193</v>
      </c>
      <c r="D2070" s="10" t="s">
        <v>219</v>
      </c>
      <c r="E2070" s="10" t="str">
        <f aca="false">INDEX(Canale!$C$2:$C$30,MATCH(C2070,Canale!$A$2:$A$30,0))</f>
        <v>pdf_proposal</v>
      </c>
      <c r="F2070" s="10" t="str">
        <f aca="false">INDEX(Canale!$D$2:$D$30,MATCH(C2070,Canale!$A$2:$A$30,0))</f>
        <v>document</v>
      </c>
      <c r="G2070" s="10" t="str">
        <f aca="false">INDEX('Site-uri'!$C$2:$C$20,MATCH(A2070,'Site-uri'!$A$2:$A$20,0))</f>
        <v>/</v>
      </c>
      <c r="H2070" s="10" t="str">
        <f aca="false">Config!$B$3</f>
        <v>2610_ff_lansare</v>
      </c>
      <c r="I2070" s="10" t="str">
        <f aca="false">D2070&amp;"_"&amp;Config!$B$4</f>
        <v>rece_general</v>
      </c>
      <c r="J2070" s="10" t="str">
        <f aca="false">"https://"&amp;B2070&amp;G2070&amp;"?utm_source="&amp;E2070&amp;"&amp;utm_medium="&amp;F2070&amp;"&amp;utm_campaign="&amp;H2070&amp;"&amp;utm_content="&amp;I2070</f>
        <v>https://floride-e2.com/?utm_source=pdf_proposal&amp;utm_medium=document&amp;utm_campaign=2610_ff_lansare&amp;utm_content=rece_general</v>
      </c>
    </row>
    <row r="2071" customFormat="false" ht="15" hidden="false" customHeight="false" outlineLevel="0" collapsed="false">
      <c r="A2071" s="10" t="s">
        <v>95</v>
      </c>
      <c r="B2071" s="10" t="str">
        <f aca="false">INDEX('Site-uri'!$B$2:$B$20,MATCH(A2071,'Site-uri'!$A$2:$A$20,0))</f>
        <v>floride-e2.com</v>
      </c>
      <c r="C2071" s="10" t="s">
        <v>193</v>
      </c>
      <c r="D2071" s="10" t="s">
        <v>225</v>
      </c>
      <c r="E2071" s="10" t="str">
        <f aca="false">INDEX(Canale!$C$2:$C$30,MATCH(C2071,Canale!$A$2:$A$30,0))</f>
        <v>pdf_proposal</v>
      </c>
      <c r="F2071" s="10" t="str">
        <f aca="false">INDEX(Canale!$D$2:$D$30,MATCH(C2071,Canale!$A$2:$A$30,0))</f>
        <v>document</v>
      </c>
      <c r="G2071" s="10" t="str">
        <f aca="false">INDEX('Site-uri'!$C$2:$C$20,MATCH(A2071,'Site-uri'!$A$2:$A$20,0))</f>
        <v>/</v>
      </c>
      <c r="H2071" s="10" t="str">
        <f aca="false">Config!$B$3</f>
        <v>2610_ff_lansare</v>
      </c>
      <c r="I2071" s="10" t="str">
        <f aca="false">D2071&amp;"_"&amp;Config!$B$4</f>
        <v>cald_general</v>
      </c>
      <c r="J2071" s="10" t="str">
        <f aca="false">"https://"&amp;B2071&amp;G2071&amp;"?utm_source="&amp;E2071&amp;"&amp;utm_medium="&amp;F2071&amp;"&amp;utm_campaign="&amp;H2071&amp;"&amp;utm_content="&amp;I2071</f>
        <v>https://floride-e2.com/?utm_source=pdf_proposal&amp;utm_medium=document&amp;utm_campaign=2610_ff_lansare&amp;utm_content=cald_general</v>
      </c>
    </row>
    <row r="2072" customFormat="false" ht="15" hidden="false" customHeight="false" outlineLevel="0" collapsed="false">
      <c r="A2072" s="10" t="s">
        <v>95</v>
      </c>
      <c r="B2072" s="10" t="str">
        <f aca="false">INDEX('Site-uri'!$B$2:$B$20,MATCH(A2072,'Site-uri'!$A$2:$A$20,0))</f>
        <v>floride-e2.com</v>
      </c>
      <c r="C2072" s="10" t="s">
        <v>193</v>
      </c>
      <c r="D2072" s="10" t="s">
        <v>231</v>
      </c>
      <c r="E2072" s="10" t="str">
        <f aca="false">INDEX(Canale!$C$2:$C$30,MATCH(C2072,Canale!$A$2:$A$30,0))</f>
        <v>pdf_proposal</v>
      </c>
      <c r="F2072" s="10" t="str">
        <f aca="false">INDEX(Canale!$D$2:$D$30,MATCH(C2072,Canale!$A$2:$A$30,0))</f>
        <v>document</v>
      </c>
      <c r="G2072" s="10" t="str">
        <f aca="false">INDEX('Site-uri'!$C$2:$C$20,MATCH(A2072,'Site-uri'!$A$2:$A$20,0))</f>
        <v>/</v>
      </c>
      <c r="H2072" s="10" t="str">
        <f aca="false">Config!$B$3</f>
        <v>2610_ff_lansare</v>
      </c>
      <c r="I2072" s="10" t="str">
        <f aca="false">D2072&amp;"_"&amp;Config!$B$4</f>
        <v>fierbinte_general</v>
      </c>
      <c r="J2072" s="10" t="str">
        <f aca="false">"https://"&amp;B2072&amp;G2072&amp;"?utm_source="&amp;E2072&amp;"&amp;utm_medium="&amp;F2072&amp;"&amp;utm_campaign="&amp;H2072&amp;"&amp;utm_content="&amp;I2072</f>
        <v>https://floride-e2.com/?utm_source=pdf_proposal&amp;utm_medium=document&amp;utm_campaign=2610_ff_lansare&amp;utm_content=fierbinte_general</v>
      </c>
    </row>
    <row r="2073" customFormat="false" ht="15" hidden="false" customHeight="false" outlineLevel="0" collapsed="false">
      <c r="A2073" s="10" t="s">
        <v>95</v>
      </c>
      <c r="B2073" s="10" t="str">
        <f aca="false">INDEX('Site-uri'!$B$2:$B$20,MATCH(A2073,'Site-uri'!$A$2:$A$20,0))</f>
        <v>floride-e2.com</v>
      </c>
      <c r="C2073" s="10" t="s">
        <v>193</v>
      </c>
      <c r="D2073" s="10" t="s">
        <v>237</v>
      </c>
      <c r="E2073" s="10" t="str">
        <f aca="false">INDEX(Canale!$C$2:$C$30,MATCH(C2073,Canale!$A$2:$A$30,0))</f>
        <v>pdf_proposal</v>
      </c>
      <c r="F2073" s="10" t="str">
        <f aca="false">INDEX(Canale!$D$2:$D$30,MATCH(C2073,Canale!$A$2:$A$30,0))</f>
        <v>document</v>
      </c>
      <c r="G2073" s="10" t="str">
        <f aca="false">INDEX('Site-uri'!$C$2:$C$20,MATCH(A2073,'Site-uri'!$A$2:$A$20,0))</f>
        <v>/</v>
      </c>
      <c r="H2073" s="10" t="str">
        <f aca="false">Config!$B$3</f>
        <v>2610_ff_lansare</v>
      </c>
      <c r="I2073" s="10" t="str">
        <f aca="false">D2073&amp;"_"&amp;Config!$B$4</f>
        <v>client_general</v>
      </c>
      <c r="J2073" s="10" t="str">
        <f aca="false">"https://"&amp;B2073&amp;G2073&amp;"?utm_source="&amp;E2073&amp;"&amp;utm_medium="&amp;F2073&amp;"&amp;utm_campaign="&amp;H2073&amp;"&amp;utm_content="&amp;I2073</f>
        <v>https://floride-e2.com/?utm_source=pdf_proposal&amp;utm_medium=document&amp;utm_campaign=2610_ff_lansare&amp;utm_content=client_general</v>
      </c>
    </row>
    <row r="2074" customFormat="false" ht="15" hidden="false" customHeight="false" outlineLevel="0" collapsed="false">
      <c r="A2074" s="10" t="s">
        <v>95</v>
      </c>
      <c r="B2074" s="10" t="str">
        <f aca="false">INDEX('Site-uri'!$B$2:$B$20,MATCH(A2074,'Site-uri'!$A$2:$A$20,0))</f>
        <v>floride-e2.com</v>
      </c>
      <c r="C2074" s="10" t="s">
        <v>198</v>
      </c>
      <c r="D2074" s="10" t="s">
        <v>219</v>
      </c>
      <c r="E2074" s="10" t="str">
        <f aca="false">INDEX(Canale!$C$2:$C$30,MATCH(C2074,Canale!$A$2:$A$30,0))</f>
        <v>qr_print</v>
      </c>
      <c r="F2074" s="10" t="str">
        <f aca="false">INDEX(Canale!$D$2:$D$30,MATCH(C2074,Canale!$A$2:$A$30,0))</f>
        <v>qr</v>
      </c>
      <c r="G2074" s="10" t="str">
        <f aca="false">INDEX('Site-uri'!$C$2:$C$20,MATCH(A2074,'Site-uri'!$A$2:$A$20,0))</f>
        <v>/</v>
      </c>
      <c r="H2074" s="10" t="str">
        <f aca="false">Config!$B$3</f>
        <v>2610_ff_lansare</v>
      </c>
      <c r="I2074" s="10" t="str">
        <f aca="false">D2074&amp;"_"&amp;Config!$B$4</f>
        <v>rece_general</v>
      </c>
      <c r="J2074" s="10" t="str">
        <f aca="false">"https://"&amp;B2074&amp;G2074&amp;"?utm_source="&amp;E2074&amp;"&amp;utm_medium="&amp;F2074&amp;"&amp;utm_campaign="&amp;H2074&amp;"&amp;utm_content="&amp;I2074</f>
        <v>https://floride-e2.com/?utm_source=qr_print&amp;utm_medium=qr&amp;utm_campaign=2610_ff_lansare&amp;utm_content=rece_general</v>
      </c>
    </row>
    <row r="2075" customFormat="false" ht="15" hidden="false" customHeight="false" outlineLevel="0" collapsed="false">
      <c r="A2075" s="10" t="s">
        <v>95</v>
      </c>
      <c r="B2075" s="10" t="str">
        <f aca="false">INDEX('Site-uri'!$B$2:$B$20,MATCH(A2075,'Site-uri'!$A$2:$A$20,0))</f>
        <v>floride-e2.com</v>
      </c>
      <c r="C2075" s="10" t="s">
        <v>198</v>
      </c>
      <c r="D2075" s="10" t="s">
        <v>225</v>
      </c>
      <c r="E2075" s="10" t="str">
        <f aca="false">INDEX(Canale!$C$2:$C$30,MATCH(C2075,Canale!$A$2:$A$30,0))</f>
        <v>qr_print</v>
      </c>
      <c r="F2075" s="10" t="str">
        <f aca="false">INDEX(Canale!$D$2:$D$30,MATCH(C2075,Canale!$A$2:$A$30,0))</f>
        <v>qr</v>
      </c>
      <c r="G2075" s="10" t="str">
        <f aca="false">INDEX('Site-uri'!$C$2:$C$20,MATCH(A2075,'Site-uri'!$A$2:$A$20,0))</f>
        <v>/</v>
      </c>
      <c r="H2075" s="10" t="str">
        <f aca="false">Config!$B$3</f>
        <v>2610_ff_lansare</v>
      </c>
      <c r="I2075" s="10" t="str">
        <f aca="false">D2075&amp;"_"&amp;Config!$B$4</f>
        <v>cald_general</v>
      </c>
      <c r="J2075" s="10" t="str">
        <f aca="false">"https://"&amp;B2075&amp;G2075&amp;"?utm_source="&amp;E2075&amp;"&amp;utm_medium="&amp;F2075&amp;"&amp;utm_campaign="&amp;H2075&amp;"&amp;utm_content="&amp;I2075</f>
        <v>https://floride-e2.com/?utm_source=qr_print&amp;utm_medium=qr&amp;utm_campaign=2610_ff_lansare&amp;utm_content=cald_general</v>
      </c>
    </row>
    <row r="2076" customFormat="false" ht="15" hidden="false" customHeight="false" outlineLevel="0" collapsed="false">
      <c r="A2076" s="10" t="s">
        <v>95</v>
      </c>
      <c r="B2076" s="10" t="str">
        <f aca="false">INDEX('Site-uri'!$B$2:$B$20,MATCH(A2076,'Site-uri'!$A$2:$A$20,0))</f>
        <v>floride-e2.com</v>
      </c>
      <c r="C2076" s="10" t="s">
        <v>198</v>
      </c>
      <c r="D2076" s="10" t="s">
        <v>231</v>
      </c>
      <c r="E2076" s="10" t="str">
        <f aca="false">INDEX(Canale!$C$2:$C$30,MATCH(C2076,Canale!$A$2:$A$30,0))</f>
        <v>qr_print</v>
      </c>
      <c r="F2076" s="10" t="str">
        <f aca="false">INDEX(Canale!$D$2:$D$30,MATCH(C2076,Canale!$A$2:$A$30,0))</f>
        <v>qr</v>
      </c>
      <c r="G2076" s="10" t="str">
        <f aca="false">INDEX('Site-uri'!$C$2:$C$20,MATCH(A2076,'Site-uri'!$A$2:$A$20,0))</f>
        <v>/</v>
      </c>
      <c r="H2076" s="10" t="str">
        <f aca="false">Config!$B$3</f>
        <v>2610_ff_lansare</v>
      </c>
      <c r="I2076" s="10" t="str">
        <f aca="false">D2076&amp;"_"&amp;Config!$B$4</f>
        <v>fierbinte_general</v>
      </c>
      <c r="J2076" s="10" t="str">
        <f aca="false">"https://"&amp;B2076&amp;G2076&amp;"?utm_source="&amp;E2076&amp;"&amp;utm_medium="&amp;F2076&amp;"&amp;utm_campaign="&amp;H2076&amp;"&amp;utm_content="&amp;I2076</f>
        <v>https://floride-e2.com/?utm_source=qr_print&amp;utm_medium=qr&amp;utm_campaign=2610_ff_lansare&amp;utm_content=fierbinte_general</v>
      </c>
    </row>
    <row r="2077" customFormat="false" ht="15" hidden="false" customHeight="false" outlineLevel="0" collapsed="false">
      <c r="A2077" s="10" t="s">
        <v>95</v>
      </c>
      <c r="B2077" s="10" t="str">
        <f aca="false">INDEX('Site-uri'!$B$2:$B$20,MATCH(A2077,'Site-uri'!$A$2:$A$20,0))</f>
        <v>floride-e2.com</v>
      </c>
      <c r="C2077" s="10" t="s">
        <v>198</v>
      </c>
      <c r="D2077" s="10" t="s">
        <v>237</v>
      </c>
      <c r="E2077" s="10" t="str">
        <f aca="false">INDEX(Canale!$C$2:$C$30,MATCH(C2077,Canale!$A$2:$A$30,0))</f>
        <v>qr_print</v>
      </c>
      <c r="F2077" s="10" t="str">
        <f aca="false">INDEX(Canale!$D$2:$D$30,MATCH(C2077,Canale!$A$2:$A$30,0))</f>
        <v>qr</v>
      </c>
      <c r="G2077" s="10" t="str">
        <f aca="false">INDEX('Site-uri'!$C$2:$C$20,MATCH(A2077,'Site-uri'!$A$2:$A$20,0))</f>
        <v>/</v>
      </c>
      <c r="H2077" s="10" t="str">
        <f aca="false">Config!$B$3</f>
        <v>2610_ff_lansare</v>
      </c>
      <c r="I2077" s="10" t="str">
        <f aca="false">D2077&amp;"_"&amp;Config!$B$4</f>
        <v>client_general</v>
      </c>
      <c r="J2077" s="10" t="str">
        <f aca="false">"https://"&amp;B2077&amp;G2077&amp;"?utm_source="&amp;E2077&amp;"&amp;utm_medium="&amp;F2077&amp;"&amp;utm_campaign="&amp;H2077&amp;"&amp;utm_content="&amp;I2077</f>
        <v>https://floride-e2.com/?utm_source=qr_print&amp;utm_medium=qr&amp;utm_campaign=2610_ff_lansare&amp;utm_content=client_general</v>
      </c>
    </row>
    <row r="2078" customFormat="false" ht="15" hidden="false" customHeight="false" outlineLevel="0" collapsed="false">
      <c r="A2078" s="10" t="s">
        <v>95</v>
      </c>
      <c r="B2078" s="10" t="str">
        <f aca="false">INDEX('Site-uri'!$B$2:$B$20,MATCH(A2078,'Site-uri'!$A$2:$A$20,0))</f>
        <v>floride-e2.com</v>
      </c>
      <c r="C2078" s="10" t="s">
        <v>202</v>
      </c>
      <c r="D2078" s="10" t="s">
        <v>219</v>
      </c>
      <c r="E2078" s="10" t="str">
        <f aca="false">INDEX(Canale!$C$2:$C$30,MATCH(C2078,Canale!$A$2:$A$30,0))</f>
        <v>event</v>
      </c>
      <c r="F2078" s="10" t="str">
        <f aca="false">INDEX(Canale!$D$2:$D$30,MATCH(C2078,Canale!$A$2:$A$30,0))</f>
        <v>event</v>
      </c>
      <c r="G2078" s="10" t="str">
        <f aca="false">INDEX('Site-uri'!$C$2:$C$20,MATCH(A2078,'Site-uri'!$A$2:$A$20,0))</f>
        <v>/</v>
      </c>
      <c r="H2078" s="10" t="str">
        <f aca="false">Config!$B$3</f>
        <v>2610_ff_lansare</v>
      </c>
      <c r="I2078" s="10" t="str">
        <f aca="false">D2078&amp;"_"&amp;Config!$B$4</f>
        <v>rece_general</v>
      </c>
      <c r="J2078" s="10" t="str">
        <f aca="false">"https://"&amp;B2078&amp;G2078&amp;"?utm_source="&amp;E2078&amp;"&amp;utm_medium="&amp;F2078&amp;"&amp;utm_campaign="&amp;H2078&amp;"&amp;utm_content="&amp;I2078</f>
        <v>https://floride-e2.com/?utm_source=event&amp;utm_medium=event&amp;utm_campaign=2610_ff_lansare&amp;utm_content=rece_general</v>
      </c>
    </row>
    <row r="2079" customFormat="false" ht="15" hidden="false" customHeight="false" outlineLevel="0" collapsed="false">
      <c r="A2079" s="10" t="s">
        <v>95</v>
      </c>
      <c r="B2079" s="10" t="str">
        <f aca="false">INDEX('Site-uri'!$B$2:$B$20,MATCH(A2079,'Site-uri'!$A$2:$A$20,0))</f>
        <v>floride-e2.com</v>
      </c>
      <c r="C2079" s="10" t="s">
        <v>202</v>
      </c>
      <c r="D2079" s="10" t="s">
        <v>225</v>
      </c>
      <c r="E2079" s="10" t="str">
        <f aca="false">INDEX(Canale!$C$2:$C$30,MATCH(C2079,Canale!$A$2:$A$30,0))</f>
        <v>event</v>
      </c>
      <c r="F2079" s="10" t="str">
        <f aca="false">INDEX(Canale!$D$2:$D$30,MATCH(C2079,Canale!$A$2:$A$30,0))</f>
        <v>event</v>
      </c>
      <c r="G2079" s="10" t="str">
        <f aca="false">INDEX('Site-uri'!$C$2:$C$20,MATCH(A2079,'Site-uri'!$A$2:$A$20,0))</f>
        <v>/</v>
      </c>
      <c r="H2079" s="10" t="str">
        <f aca="false">Config!$B$3</f>
        <v>2610_ff_lansare</v>
      </c>
      <c r="I2079" s="10" t="str">
        <f aca="false">D2079&amp;"_"&amp;Config!$B$4</f>
        <v>cald_general</v>
      </c>
      <c r="J2079" s="10" t="str">
        <f aca="false">"https://"&amp;B2079&amp;G2079&amp;"?utm_source="&amp;E2079&amp;"&amp;utm_medium="&amp;F2079&amp;"&amp;utm_campaign="&amp;H2079&amp;"&amp;utm_content="&amp;I2079</f>
        <v>https://floride-e2.com/?utm_source=event&amp;utm_medium=event&amp;utm_campaign=2610_ff_lansare&amp;utm_content=cald_general</v>
      </c>
    </row>
    <row r="2080" customFormat="false" ht="15" hidden="false" customHeight="false" outlineLevel="0" collapsed="false">
      <c r="A2080" s="10" t="s">
        <v>95</v>
      </c>
      <c r="B2080" s="10" t="str">
        <f aca="false">INDEX('Site-uri'!$B$2:$B$20,MATCH(A2080,'Site-uri'!$A$2:$A$20,0))</f>
        <v>floride-e2.com</v>
      </c>
      <c r="C2080" s="10" t="s">
        <v>202</v>
      </c>
      <c r="D2080" s="10" t="s">
        <v>231</v>
      </c>
      <c r="E2080" s="10" t="str">
        <f aca="false">INDEX(Canale!$C$2:$C$30,MATCH(C2080,Canale!$A$2:$A$30,0))</f>
        <v>event</v>
      </c>
      <c r="F2080" s="10" t="str">
        <f aca="false">INDEX(Canale!$D$2:$D$30,MATCH(C2080,Canale!$A$2:$A$30,0))</f>
        <v>event</v>
      </c>
      <c r="G2080" s="10" t="str">
        <f aca="false">INDEX('Site-uri'!$C$2:$C$20,MATCH(A2080,'Site-uri'!$A$2:$A$20,0))</f>
        <v>/</v>
      </c>
      <c r="H2080" s="10" t="str">
        <f aca="false">Config!$B$3</f>
        <v>2610_ff_lansare</v>
      </c>
      <c r="I2080" s="10" t="str">
        <f aca="false">D2080&amp;"_"&amp;Config!$B$4</f>
        <v>fierbinte_general</v>
      </c>
      <c r="J2080" s="10" t="str">
        <f aca="false">"https://"&amp;B2080&amp;G2080&amp;"?utm_source="&amp;E2080&amp;"&amp;utm_medium="&amp;F2080&amp;"&amp;utm_campaign="&amp;H2080&amp;"&amp;utm_content="&amp;I2080</f>
        <v>https://floride-e2.com/?utm_source=event&amp;utm_medium=event&amp;utm_campaign=2610_ff_lansare&amp;utm_content=fierbinte_general</v>
      </c>
    </row>
    <row r="2081" customFormat="false" ht="15" hidden="false" customHeight="false" outlineLevel="0" collapsed="false">
      <c r="A2081" s="10" t="s">
        <v>95</v>
      </c>
      <c r="B2081" s="10" t="str">
        <f aca="false">INDEX('Site-uri'!$B$2:$B$20,MATCH(A2081,'Site-uri'!$A$2:$A$20,0))</f>
        <v>floride-e2.com</v>
      </c>
      <c r="C2081" s="10" t="s">
        <v>202</v>
      </c>
      <c r="D2081" s="10" t="s">
        <v>237</v>
      </c>
      <c r="E2081" s="10" t="str">
        <f aca="false">INDEX(Canale!$C$2:$C$30,MATCH(C2081,Canale!$A$2:$A$30,0))</f>
        <v>event</v>
      </c>
      <c r="F2081" s="10" t="str">
        <f aca="false">INDEX(Canale!$D$2:$D$30,MATCH(C2081,Canale!$A$2:$A$30,0))</f>
        <v>event</v>
      </c>
      <c r="G2081" s="10" t="str">
        <f aca="false">INDEX('Site-uri'!$C$2:$C$20,MATCH(A2081,'Site-uri'!$A$2:$A$20,0))</f>
        <v>/</v>
      </c>
      <c r="H2081" s="10" t="str">
        <f aca="false">Config!$B$3</f>
        <v>2610_ff_lansare</v>
      </c>
      <c r="I2081" s="10" t="str">
        <f aca="false">D2081&amp;"_"&amp;Config!$B$4</f>
        <v>client_general</v>
      </c>
      <c r="J2081" s="10" t="str">
        <f aca="false">"https://"&amp;B2081&amp;G2081&amp;"?utm_source="&amp;E2081&amp;"&amp;utm_medium="&amp;F2081&amp;"&amp;utm_campaign="&amp;H2081&amp;"&amp;utm_content="&amp;I2081</f>
        <v>https://floride-e2.com/?utm_source=event&amp;utm_medium=event&amp;utm_campaign=2610_ff_lansare&amp;utm_content=client_general</v>
      </c>
    </row>
    <row r="2082" customFormat="false" ht="15" hidden="false" customHeight="false" outlineLevel="0" collapsed="false">
      <c r="A2082" s="10" t="s">
        <v>95</v>
      </c>
      <c r="B2082" s="10" t="str">
        <f aca="false">INDEX('Site-uri'!$B$2:$B$20,MATCH(A2082,'Site-uri'!$A$2:$A$20,0))</f>
        <v>floride-e2.com</v>
      </c>
      <c r="C2082" s="10" t="s">
        <v>204</v>
      </c>
      <c r="D2082" s="10" t="s">
        <v>219</v>
      </c>
      <c r="E2082" s="10" t="str">
        <f aca="false">INDEX(Canale!$C$2:$C$30,MATCH(C2082,Canale!$A$2:$A$30,0))</f>
        <v>a2a_agent_card</v>
      </c>
      <c r="F2082" s="10" t="str">
        <f aca="false">INDEX(Canale!$D$2:$D$30,MATCH(C2082,Canale!$A$2:$A$30,0))</f>
        <v>agent</v>
      </c>
      <c r="G2082" s="10" t="str">
        <f aca="false">INDEX('Site-uri'!$C$2:$C$20,MATCH(A2082,'Site-uri'!$A$2:$A$20,0))</f>
        <v>/</v>
      </c>
      <c r="H2082" s="10" t="str">
        <f aca="false">Config!$B$3</f>
        <v>2610_ff_lansare</v>
      </c>
      <c r="I2082" s="10" t="str">
        <f aca="false">D2082&amp;"_"&amp;Config!$B$4</f>
        <v>rece_general</v>
      </c>
      <c r="J2082" s="10" t="str">
        <f aca="false">"https://"&amp;B2082&amp;G2082&amp;"?utm_source="&amp;E2082&amp;"&amp;utm_medium="&amp;F2082&amp;"&amp;utm_campaign="&amp;H2082&amp;"&amp;utm_content="&amp;I2082</f>
        <v>https://floride-e2.com/?utm_source=a2a_agent_card&amp;utm_medium=agent&amp;utm_campaign=2610_ff_lansare&amp;utm_content=rece_general</v>
      </c>
    </row>
    <row r="2083" customFormat="false" ht="15" hidden="false" customHeight="false" outlineLevel="0" collapsed="false">
      <c r="A2083" s="10" t="s">
        <v>95</v>
      </c>
      <c r="B2083" s="10" t="str">
        <f aca="false">INDEX('Site-uri'!$B$2:$B$20,MATCH(A2083,'Site-uri'!$A$2:$A$20,0))</f>
        <v>floride-e2.com</v>
      </c>
      <c r="C2083" s="10" t="s">
        <v>204</v>
      </c>
      <c r="D2083" s="10" t="s">
        <v>225</v>
      </c>
      <c r="E2083" s="10" t="str">
        <f aca="false">INDEX(Canale!$C$2:$C$30,MATCH(C2083,Canale!$A$2:$A$30,0))</f>
        <v>a2a_agent_card</v>
      </c>
      <c r="F2083" s="10" t="str">
        <f aca="false">INDEX(Canale!$D$2:$D$30,MATCH(C2083,Canale!$A$2:$A$30,0))</f>
        <v>agent</v>
      </c>
      <c r="G2083" s="10" t="str">
        <f aca="false">INDEX('Site-uri'!$C$2:$C$20,MATCH(A2083,'Site-uri'!$A$2:$A$20,0))</f>
        <v>/</v>
      </c>
      <c r="H2083" s="10" t="str">
        <f aca="false">Config!$B$3</f>
        <v>2610_ff_lansare</v>
      </c>
      <c r="I2083" s="10" t="str">
        <f aca="false">D2083&amp;"_"&amp;Config!$B$4</f>
        <v>cald_general</v>
      </c>
      <c r="J2083" s="10" t="str">
        <f aca="false">"https://"&amp;B2083&amp;G2083&amp;"?utm_source="&amp;E2083&amp;"&amp;utm_medium="&amp;F2083&amp;"&amp;utm_campaign="&amp;H2083&amp;"&amp;utm_content="&amp;I2083</f>
        <v>https://floride-e2.com/?utm_source=a2a_agent_card&amp;utm_medium=agent&amp;utm_campaign=2610_ff_lansare&amp;utm_content=cald_general</v>
      </c>
    </row>
    <row r="2084" customFormat="false" ht="15" hidden="false" customHeight="false" outlineLevel="0" collapsed="false">
      <c r="A2084" s="10" t="s">
        <v>95</v>
      </c>
      <c r="B2084" s="10" t="str">
        <f aca="false">INDEX('Site-uri'!$B$2:$B$20,MATCH(A2084,'Site-uri'!$A$2:$A$20,0))</f>
        <v>floride-e2.com</v>
      </c>
      <c r="C2084" s="10" t="s">
        <v>204</v>
      </c>
      <c r="D2084" s="10" t="s">
        <v>231</v>
      </c>
      <c r="E2084" s="10" t="str">
        <f aca="false">INDEX(Canale!$C$2:$C$30,MATCH(C2084,Canale!$A$2:$A$30,0))</f>
        <v>a2a_agent_card</v>
      </c>
      <c r="F2084" s="10" t="str">
        <f aca="false">INDEX(Canale!$D$2:$D$30,MATCH(C2084,Canale!$A$2:$A$30,0))</f>
        <v>agent</v>
      </c>
      <c r="G2084" s="10" t="str">
        <f aca="false">INDEX('Site-uri'!$C$2:$C$20,MATCH(A2084,'Site-uri'!$A$2:$A$20,0))</f>
        <v>/</v>
      </c>
      <c r="H2084" s="10" t="str">
        <f aca="false">Config!$B$3</f>
        <v>2610_ff_lansare</v>
      </c>
      <c r="I2084" s="10" t="str">
        <f aca="false">D2084&amp;"_"&amp;Config!$B$4</f>
        <v>fierbinte_general</v>
      </c>
      <c r="J2084" s="10" t="str">
        <f aca="false">"https://"&amp;B2084&amp;G2084&amp;"?utm_source="&amp;E2084&amp;"&amp;utm_medium="&amp;F2084&amp;"&amp;utm_campaign="&amp;H2084&amp;"&amp;utm_content="&amp;I2084</f>
        <v>https://floride-e2.com/?utm_source=a2a_agent_card&amp;utm_medium=agent&amp;utm_campaign=2610_ff_lansare&amp;utm_content=fierbinte_general</v>
      </c>
    </row>
    <row r="2085" customFormat="false" ht="15" hidden="false" customHeight="false" outlineLevel="0" collapsed="false">
      <c r="A2085" s="10" t="s">
        <v>95</v>
      </c>
      <c r="B2085" s="10" t="str">
        <f aca="false">INDEX('Site-uri'!$B$2:$B$20,MATCH(A2085,'Site-uri'!$A$2:$A$20,0))</f>
        <v>floride-e2.com</v>
      </c>
      <c r="C2085" s="10" t="s">
        <v>204</v>
      </c>
      <c r="D2085" s="10" t="s">
        <v>237</v>
      </c>
      <c r="E2085" s="10" t="str">
        <f aca="false">INDEX(Canale!$C$2:$C$30,MATCH(C2085,Canale!$A$2:$A$30,0))</f>
        <v>a2a_agent_card</v>
      </c>
      <c r="F2085" s="10" t="str">
        <f aca="false">INDEX(Canale!$D$2:$D$30,MATCH(C2085,Canale!$A$2:$A$30,0))</f>
        <v>agent</v>
      </c>
      <c r="G2085" s="10" t="str">
        <f aca="false">INDEX('Site-uri'!$C$2:$C$20,MATCH(A2085,'Site-uri'!$A$2:$A$20,0))</f>
        <v>/</v>
      </c>
      <c r="H2085" s="10" t="str">
        <f aca="false">Config!$B$3</f>
        <v>2610_ff_lansare</v>
      </c>
      <c r="I2085" s="10" t="str">
        <f aca="false">D2085&amp;"_"&amp;Config!$B$4</f>
        <v>client_general</v>
      </c>
      <c r="J2085" s="10" t="str">
        <f aca="false">"https://"&amp;B2085&amp;G2085&amp;"?utm_source="&amp;E2085&amp;"&amp;utm_medium="&amp;F2085&amp;"&amp;utm_campaign="&amp;H2085&amp;"&amp;utm_content="&amp;I2085</f>
        <v>https://floride-e2.com/?utm_source=a2a_agent_card&amp;utm_medium=agent&amp;utm_campaign=2610_ff_lansare&amp;utm_content=client_general</v>
      </c>
    </row>
    <row r="2086" customFormat="false" ht="15" hidden="false" customHeight="false" outlineLevel="0" collapsed="false">
      <c r="A2086" s="10" t="s">
        <v>95</v>
      </c>
      <c r="B2086" s="10" t="str">
        <f aca="false">INDEX('Site-uri'!$B$2:$B$20,MATCH(A2086,'Site-uri'!$A$2:$A$20,0))</f>
        <v>floride-e2.com</v>
      </c>
      <c r="C2086" s="10" t="s">
        <v>209</v>
      </c>
      <c r="D2086" s="10" t="s">
        <v>219</v>
      </c>
      <c r="E2086" s="10" t="str">
        <f aca="false">INDEX(Canale!$C$2:$C$30,MATCH(C2086,Canale!$A$2:$A$30,0))</f>
        <v>llms_txt</v>
      </c>
      <c r="F2086" s="10" t="str">
        <f aca="false">INDEX(Canale!$D$2:$D$30,MATCH(C2086,Canale!$A$2:$A$30,0))</f>
        <v>ai_web</v>
      </c>
      <c r="G2086" s="10" t="str">
        <f aca="false">INDEX('Site-uri'!$C$2:$C$20,MATCH(A2086,'Site-uri'!$A$2:$A$20,0))</f>
        <v>/</v>
      </c>
      <c r="H2086" s="10" t="str">
        <f aca="false">Config!$B$3</f>
        <v>2610_ff_lansare</v>
      </c>
      <c r="I2086" s="10" t="str">
        <f aca="false">D2086&amp;"_"&amp;Config!$B$4</f>
        <v>rece_general</v>
      </c>
      <c r="J2086" s="10" t="str">
        <f aca="false">"https://"&amp;B2086&amp;G2086&amp;"?utm_source="&amp;E2086&amp;"&amp;utm_medium="&amp;F2086&amp;"&amp;utm_campaign="&amp;H2086&amp;"&amp;utm_content="&amp;I2086</f>
        <v>https://floride-e2.com/?utm_source=llms_txt&amp;utm_medium=ai_web&amp;utm_campaign=2610_ff_lansare&amp;utm_content=rece_general</v>
      </c>
    </row>
    <row r="2087" customFormat="false" ht="15" hidden="false" customHeight="false" outlineLevel="0" collapsed="false">
      <c r="A2087" s="10" t="s">
        <v>95</v>
      </c>
      <c r="B2087" s="10" t="str">
        <f aca="false">INDEX('Site-uri'!$B$2:$B$20,MATCH(A2087,'Site-uri'!$A$2:$A$20,0))</f>
        <v>floride-e2.com</v>
      </c>
      <c r="C2087" s="10" t="s">
        <v>209</v>
      </c>
      <c r="D2087" s="10" t="s">
        <v>225</v>
      </c>
      <c r="E2087" s="10" t="str">
        <f aca="false">INDEX(Canale!$C$2:$C$30,MATCH(C2087,Canale!$A$2:$A$30,0))</f>
        <v>llms_txt</v>
      </c>
      <c r="F2087" s="10" t="str">
        <f aca="false">INDEX(Canale!$D$2:$D$30,MATCH(C2087,Canale!$A$2:$A$30,0))</f>
        <v>ai_web</v>
      </c>
      <c r="G2087" s="10" t="str">
        <f aca="false">INDEX('Site-uri'!$C$2:$C$20,MATCH(A2087,'Site-uri'!$A$2:$A$20,0))</f>
        <v>/</v>
      </c>
      <c r="H2087" s="10" t="str">
        <f aca="false">Config!$B$3</f>
        <v>2610_ff_lansare</v>
      </c>
      <c r="I2087" s="10" t="str">
        <f aca="false">D2087&amp;"_"&amp;Config!$B$4</f>
        <v>cald_general</v>
      </c>
      <c r="J2087" s="10" t="str">
        <f aca="false">"https://"&amp;B2087&amp;G2087&amp;"?utm_source="&amp;E2087&amp;"&amp;utm_medium="&amp;F2087&amp;"&amp;utm_campaign="&amp;H2087&amp;"&amp;utm_content="&amp;I2087</f>
        <v>https://floride-e2.com/?utm_source=llms_txt&amp;utm_medium=ai_web&amp;utm_campaign=2610_ff_lansare&amp;utm_content=cald_general</v>
      </c>
    </row>
    <row r="2088" customFormat="false" ht="15" hidden="false" customHeight="false" outlineLevel="0" collapsed="false">
      <c r="A2088" s="10" t="s">
        <v>95</v>
      </c>
      <c r="B2088" s="10" t="str">
        <f aca="false">INDEX('Site-uri'!$B$2:$B$20,MATCH(A2088,'Site-uri'!$A$2:$A$20,0))</f>
        <v>floride-e2.com</v>
      </c>
      <c r="C2088" s="10" t="s">
        <v>209</v>
      </c>
      <c r="D2088" s="10" t="s">
        <v>231</v>
      </c>
      <c r="E2088" s="10" t="str">
        <f aca="false">INDEX(Canale!$C$2:$C$30,MATCH(C2088,Canale!$A$2:$A$30,0))</f>
        <v>llms_txt</v>
      </c>
      <c r="F2088" s="10" t="str">
        <f aca="false">INDEX(Canale!$D$2:$D$30,MATCH(C2088,Canale!$A$2:$A$30,0))</f>
        <v>ai_web</v>
      </c>
      <c r="G2088" s="10" t="str">
        <f aca="false">INDEX('Site-uri'!$C$2:$C$20,MATCH(A2088,'Site-uri'!$A$2:$A$20,0))</f>
        <v>/</v>
      </c>
      <c r="H2088" s="10" t="str">
        <f aca="false">Config!$B$3</f>
        <v>2610_ff_lansare</v>
      </c>
      <c r="I2088" s="10" t="str">
        <f aca="false">D2088&amp;"_"&amp;Config!$B$4</f>
        <v>fierbinte_general</v>
      </c>
      <c r="J2088" s="10" t="str">
        <f aca="false">"https://"&amp;B2088&amp;G2088&amp;"?utm_source="&amp;E2088&amp;"&amp;utm_medium="&amp;F2088&amp;"&amp;utm_campaign="&amp;H2088&amp;"&amp;utm_content="&amp;I2088</f>
        <v>https://floride-e2.com/?utm_source=llms_txt&amp;utm_medium=ai_web&amp;utm_campaign=2610_ff_lansare&amp;utm_content=fierbinte_general</v>
      </c>
    </row>
    <row r="2089" customFormat="false" ht="15" hidden="false" customHeight="false" outlineLevel="0" collapsed="false">
      <c r="A2089" s="10" t="s">
        <v>95</v>
      </c>
      <c r="B2089" s="10" t="str">
        <f aca="false">INDEX('Site-uri'!$B$2:$B$20,MATCH(A2089,'Site-uri'!$A$2:$A$20,0))</f>
        <v>floride-e2.com</v>
      </c>
      <c r="C2089" s="10" t="s">
        <v>209</v>
      </c>
      <c r="D2089" s="10" t="s">
        <v>237</v>
      </c>
      <c r="E2089" s="10" t="str">
        <f aca="false">INDEX(Canale!$C$2:$C$30,MATCH(C2089,Canale!$A$2:$A$30,0))</f>
        <v>llms_txt</v>
      </c>
      <c r="F2089" s="10" t="str">
        <f aca="false">INDEX(Canale!$D$2:$D$30,MATCH(C2089,Canale!$A$2:$A$30,0))</f>
        <v>ai_web</v>
      </c>
      <c r="G2089" s="10" t="str">
        <f aca="false">INDEX('Site-uri'!$C$2:$C$20,MATCH(A2089,'Site-uri'!$A$2:$A$20,0))</f>
        <v>/</v>
      </c>
      <c r="H2089" s="10" t="str">
        <f aca="false">Config!$B$3</f>
        <v>2610_ff_lansare</v>
      </c>
      <c r="I2089" s="10" t="str">
        <f aca="false">D2089&amp;"_"&amp;Config!$B$4</f>
        <v>client_general</v>
      </c>
      <c r="J2089" s="10" t="str">
        <f aca="false">"https://"&amp;B2089&amp;G2089&amp;"?utm_source="&amp;E2089&amp;"&amp;utm_medium="&amp;F2089&amp;"&amp;utm_campaign="&amp;H2089&amp;"&amp;utm_content="&amp;I2089</f>
        <v>https://floride-e2.com/?utm_source=llms_txt&amp;utm_medium=ai_web&amp;utm_campaign=2610_ff_lansare&amp;utm_content=client_general</v>
      </c>
    </row>
    <row r="2090" customFormat="false" ht="15" hidden="false" customHeight="false" outlineLevel="0" collapsed="false">
      <c r="A2090" s="10" t="s">
        <v>97</v>
      </c>
      <c r="B2090" s="10" t="str">
        <f aca="false">INDEX('Site-uri'!$B$2:$B$20,MATCH(A2090,'Site-uri'!$A$2:$A$20,0))</f>
        <v>ecbtax.com</v>
      </c>
      <c r="C2090" s="10" t="s">
        <v>104</v>
      </c>
      <c r="D2090" s="10" t="s">
        <v>219</v>
      </c>
      <c r="E2090" s="10" t="str">
        <f aca="false">INDEX(Canale!$C$2:$C$30,MATCH(C2090,Canale!$A$2:$A$30,0))</f>
        <v>linkedin_personal</v>
      </c>
      <c r="F2090" s="10" t="str">
        <f aca="false">INDEX(Canale!$D$2:$D$30,MATCH(C2090,Canale!$A$2:$A$30,0))</f>
        <v>social</v>
      </c>
      <c r="G2090" s="10" t="str">
        <f aca="false">INDEX('Site-uri'!$C$2:$C$20,MATCH(A2090,'Site-uri'!$A$2:$A$20,0))</f>
        <v>/</v>
      </c>
      <c r="H2090" s="10" t="str">
        <f aca="false">Config!$B$3</f>
        <v>2610_ff_lansare</v>
      </c>
      <c r="I2090" s="10" t="str">
        <f aca="false">D2090&amp;"_"&amp;Config!$B$4</f>
        <v>rece_general</v>
      </c>
      <c r="J2090" s="10" t="str">
        <f aca="false">"https://"&amp;B2090&amp;G2090&amp;"?utm_source="&amp;E2090&amp;"&amp;utm_medium="&amp;F2090&amp;"&amp;utm_campaign="&amp;H2090&amp;"&amp;utm_content="&amp;I2090</f>
        <v>https://ecbtax.com/?utm_source=linkedin_personal&amp;utm_medium=social&amp;utm_campaign=2610_ff_lansare&amp;utm_content=rece_general</v>
      </c>
    </row>
    <row r="2091" customFormat="false" ht="15" hidden="false" customHeight="false" outlineLevel="0" collapsed="false">
      <c r="A2091" s="10" t="s">
        <v>97</v>
      </c>
      <c r="B2091" s="10" t="str">
        <f aca="false">INDEX('Site-uri'!$B$2:$B$20,MATCH(A2091,'Site-uri'!$A$2:$A$20,0))</f>
        <v>ecbtax.com</v>
      </c>
      <c r="C2091" s="10" t="s">
        <v>104</v>
      </c>
      <c r="D2091" s="10" t="s">
        <v>225</v>
      </c>
      <c r="E2091" s="10" t="str">
        <f aca="false">INDEX(Canale!$C$2:$C$30,MATCH(C2091,Canale!$A$2:$A$30,0))</f>
        <v>linkedin_personal</v>
      </c>
      <c r="F2091" s="10" t="str">
        <f aca="false">INDEX(Canale!$D$2:$D$30,MATCH(C2091,Canale!$A$2:$A$30,0))</f>
        <v>social</v>
      </c>
      <c r="G2091" s="10" t="str">
        <f aca="false">INDEX('Site-uri'!$C$2:$C$20,MATCH(A2091,'Site-uri'!$A$2:$A$20,0))</f>
        <v>/</v>
      </c>
      <c r="H2091" s="10" t="str">
        <f aca="false">Config!$B$3</f>
        <v>2610_ff_lansare</v>
      </c>
      <c r="I2091" s="10" t="str">
        <f aca="false">D2091&amp;"_"&amp;Config!$B$4</f>
        <v>cald_general</v>
      </c>
      <c r="J2091" s="10" t="str">
        <f aca="false">"https://"&amp;B2091&amp;G2091&amp;"?utm_source="&amp;E2091&amp;"&amp;utm_medium="&amp;F2091&amp;"&amp;utm_campaign="&amp;H2091&amp;"&amp;utm_content="&amp;I2091</f>
        <v>https://ecbtax.com/?utm_source=linkedin_personal&amp;utm_medium=social&amp;utm_campaign=2610_ff_lansare&amp;utm_content=cald_general</v>
      </c>
    </row>
    <row r="2092" customFormat="false" ht="15" hidden="false" customHeight="false" outlineLevel="0" collapsed="false">
      <c r="A2092" s="10" t="s">
        <v>97</v>
      </c>
      <c r="B2092" s="10" t="str">
        <f aca="false">INDEX('Site-uri'!$B$2:$B$20,MATCH(A2092,'Site-uri'!$A$2:$A$20,0))</f>
        <v>ecbtax.com</v>
      </c>
      <c r="C2092" s="10" t="s">
        <v>104</v>
      </c>
      <c r="D2092" s="10" t="s">
        <v>231</v>
      </c>
      <c r="E2092" s="10" t="str">
        <f aca="false">INDEX(Canale!$C$2:$C$30,MATCH(C2092,Canale!$A$2:$A$30,0))</f>
        <v>linkedin_personal</v>
      </c>
      <c r="F2092" s="10" t="str">
        <f aca="false">INDEX(Canale!$D$2:$D$30,MATCH(C2092,Canale!$A$2:$A$30,0))</f>
        <v>social</v>
      </c>
      <c r="G2092" s="10" t="str">
        <f aca="false">INDEX('Site-uri'!$C$2:$C$20,MATCH(A2092,'Site-uri'!$A$2:$A$20,0))</f>
        <v>/</v>
      </c>
      <c r="H2092" s="10" t="str">
        <f aca="false">Config!$B$3</f>
        <v>2610_ff_lansare</v>
      </c>
      <c r="I2092" s="10" t="str">
        <f aca="false">D2092&amp;"_"&amp;Config!$B$4</f>
        <v>fierbinte_general</v>
      </c>
      <c r="J2092" s="10" t="str">
        <f aca="false">"https://"&amp;B2092&amp;G2092&amp;"?utm_source="&amp;E2092&amp;"&amp;utm_medium="&amp;F2092&amp;"&amp;utm_campaign="&amp;H2092&amp;"&amp;utm_content="&amp;I2092</f>
        <v>https://ecbtax.com/?utm_source=linkedin_personal&amp;utm_medium=social&amp;utm_campaign=2610_ff_lansare&amp;utm_content=fierbinte_general</v>
      </c>
    </row>
    <row r="2093" customFormat="false" ht="15" hidden="false" customHeight="false" outlineLevel="0" collapsed="false">
      <c r="A2093" s="10" t="s">
        <v>97</v>
      </c>
      <c r="B2093" s="10" t="str">
        <f aca="false">INDEX('Site-uri'!$B$2:$B$20,MATCH(A2093,'Site-uri'!$A$2:$A$20,0))</f>
        <v>ecbtax.com</v>
      </c>
      <c r="C2093" s="10" t="s">
        <v>104</v>
      </c>
      <c r="D2093" s="10" t="s">
        <v>237</v>
      </c>
      <c r="E2093" s="10" t="str">
        <f aca="false">INDEX(Canale!$C$2:$C$30,MATCH(C2093,Canale!$A$2:$A$30,0))</f>
        <v>linkedin_personal</v>
      </c>
      <c r="F2093" s="10" t="str">
        <f aca="false">INDEX(Canale!$D$2:$D$30,MATCH(C2093,Canale!$A$2:$A$30,0))</f>
        <v>social</v>
      </c>
      <c r="G2093" s="10" t="str">
        <f aca="false">INDEX('Site-uri'!$C$2:$C$20,MATCH(A2093,'Site-uri'!$A$2:$A$20,0))</f>
        <v>/</v>
      </c>
      <c r="H2093" s="10" t="str">
        <f aca="false">Config!$B$3</f>
        <v>2610_ff_lansare</v>
      </c>
      <c r="I2093" s="10" t="str">
        <f aca="false">D2093&amp;"_"&amp;Config!$B$4</f>
        <v>client_general</v>
      </c>
      <c r="J2093" s="10" t="str">
        <f aca="false">"https://"&amp;B2093&amp;G2093&amp;"?utm_source="&amp;E2093&amp;"&amp;utm_medium="&amp;F2093&amp;"&amp;utm_campaign="&amp;H2093&amp;"&amp;utm_content="&amp;I2093</f>
        <v>https://ecbtax.com/?utm_source=linkedin_personal&amp;utm_medium=social&amp;utm_campaign=2610_ff_lansare&amp;utm_content=client_general</v>
      </c>
    </row>
    <row r="2094" customFormat="false" ht="15" hidden="false" customHeight="false" outlineLevel="0" collapsed="false">
      <c r="A2094" s="10" t="s">
        <v>97</v>
      </c>
      <c r="B2094" s="10" t="str">
        <f aca="false">INDEX('Site-uri'!$B$2:$B$20,MATCH(A2094,'Site-uri'!$A$2:$A$20,0))</f>
        <v>ecbtax.com</v>
      </c>
      <c r="C2094" s="10" t="s">
        <v>109</v>
      </c>
      <c r="D2094" s="10" t="s">
        <v>219</v>
      </c>
      <c r="E2094" s="10" t="str">
        <f aca="false">INDEX(Canale!$C$2:$C$30,MATCH(C2094,Canale!$A$2:$A$30,0))</f>
        <v>linkedin_company</v>
      </c>
      <c r="F2094" s="10" t="str">
        <f aca="false">INDEX(Canale!$D$2:$D$30,MATCH(C2094,Canale!$A$2:$A$30,0))</f>
        <v>social</v>
      </c>
      <c r="G2094" s="10" t="str">
        <f aca="false">INDEX('Site-uri'!$C$2:$C$20,MATCH(A2094,'Site-uri'!$A$2:$A$20,0))</f>
        <v>/</v>
      </c>
      <c r="H2094" s="10" t="str">
        <f aca="false">Config!$B$3</f>
        <v>2610_ff_lansare</v>
      </c>
      <c r="I2094" s="10" t="str">
        <f aca="false">D2094&amp;"_"&amp;Config!$B$4</f>
        <v>rece_general</v>
      </c>
      <c r="J2094" s="10" t="str">
        <f aca="false">"https://"&amp;B2094&amp;G2094&amp;"?utm_source="&amp;E2094&amp;"&amp;utm_medium="&amp;F2094&amp;"&amp;utm_campaign="&amp;H2094&amp;"&amp;utm_content="&amp;I2094</f>
        <v>https://ecbtax.com/?utm_source=linkedin_company&amp;utm_medium=social&amp;utm_campaign=2610_ff_lansare&amp;utm_content=rece_general</v>
      </c>
    </row>
    <row r="2095" customFormat="false" ht="15" hidden="false" customHeight="false" outlineLevel="0" collapsed="false">
      <c r="A2095" s="10" t="s">
        <v>97</v>
      </c>
      <c r="B2095" s="10" t="str">
        <f aca="false">INDEX('Site-uri'!$B$2:$B$20,MATCH(A2095,'Site-uri'!$A$2:$A$20,0))</f>
        <v>ecbtax.com</v>
      </c>
      <c r="C2095" s="10" t="s">
        <v>109</v>
      </c>
      <c r="D2095" s="10" t="s">
        <v>225</v>
      </c>
      <c r="E2095" s="10" t="str">
        <f aca="false">INDEX(Canale!$C$2:$C$30,MATCH(C2095,Canale!$A$2:$A$30,0))</f>
        <v>linkedin_company</v>
      </c>
      <c r="F2095" s="10" t="str">
        <f aca="false">INDEX(Canale!$D$2:$D$30,MATCH(C2095,Canale!$A$2:$A$30,0))</f>
        <v>social</v>
      </c>
      <c r="G2095" s="10" t="str">
        <f aca="false">INDEX('Site-uri'!$C$2:$C$20,MATCH(A2095,'Site-uri'!$A$2:$A$20,0))</f>
        <v>/</v>
      </c>
      <c r="H2095" s="10" t="str">
        <f aca="false">Config!$B$3</f>
        <v>2610_ff_lansare</v>
      </c>
      <c r="I2095" s="10" t="str">
        <f aca="false">D2095&amp;"_"&amp;Config!$B$4</f>
        <v>cald_general</v>
      </c>
      <c r="J2095" s="10" t="str">
        <f aca="false">"https://"&amp;B2095&amp;G2095&amp;"?utm_source="&amp;E2095&amp;"&amp;utm_medium="&amp;F2095&amp;"&amp;utm_campaign="&amp;H2095&amp;"&amp;utm_content="&amp;I2095</f>
        <v>https://ecbtax.com/?utm_source=linkedin_company&amp;utm_medium=social&amp;utm_campaign=2610_ff_lansare&amp;utm_content=cald_general</v>
      </c>
    </row>
    <row r="2096" customFormat="false" ht="15" hidden="false" customHeight="false" outlineLevel="0" collapsed="false">
      <c r="A2096" s="10" t="s">
        <v>97</v>
      </c>
      <c r="B2096" s="10" t="str">
        <f aca="false">INDEX('Site-uri'!$B$2:$B$20,MATCH(A2096,'Site-uri'!$A$2:$A$20,0))</f>
        <v>ecbtax.com</v>
      </c>
      <c r="C2096" s="10" t="s">
        <v>109</v>
      </c>
      <c r="D2096" s="10" t="s">
        <v>231</v>
      </c>
      <c r="E2096" s="10" t="str">
        <f aca="false">INDEX(Canale!$C$2:$C$30,MATCH(C2096,Canale!$A$2:$A$30,0))</f>
        <v>linkedin_company</v>
      </c>
      <c r="F2096" s="10" t="str">
        <f aca="false">INDEX(Canale!$D$2:$D$30,MATCH(C2096,Canale!$A$2:$A$30,0))</f>
        <v>social</v>
      </c>
      <c r="G2096" s="10" t="str">
        <f aca="false">INDEX('Site-uri'!$C$2:$C$20,MATCH(A2096,'Site-uri'!$A$2:$A$20,0))</f>
        <v>/</v>
      </c>
      <c r="H2096" s="10" t="str">
        <f aca="false">Config!$B$3</f>
        <v>2610_ff_lansare</v>
      </c>
      <c r="I2096" s="10" t="str">
        <f aca="false">D2096&amp;"_"&amp;Config!$B$4</f>
        <v>fierbinte_general</v>
      </c>
      <c r="J2096" s="10" t="str">
        <f aca="false">"https://"&amp;B2096&amp;G2096&amp;"?utm_source="&amp;E2096&amp;"&amp;utm_medium="&amp;F2096&amp;"&amp;utm_campaign="&amp;H2096&amp;"&amp;utm_content="&amp;I2096</f>
        <v>https://ecbtax.com/?utm_source=linkedin_company&amp;utm_medium=social&amp;utm_campaign=2610_ff_lansare&amp;utm_content=fierbinte_general</v>
      </c>
    </row>
    <row r="2097" customFormat="false" ht="15" hidden="false" customHeight="false" outlineLevel="0" collapsed="false">
      <c r="A2097" s="10" t="s">
        <v>97</v>
      </c>
      <c r="B2097" s="10" t="str">
        <f aca="false">INDEX('Site-uri'!$B$2:$B$20,MATCH(A2097,'Site-uri'!$A$2:$A$20,0))</f>
        <v>ecbtax.com</v>
      </c>
      <c r="C2097" s="10" t="s">
        <v>109</v>
      </c>
      <c r="D2097" s="10" t="s">
        <v>237</v>
      </c>
      <c r="E2097" s="10" t="str">
        <f aca="false">INDEX(Canale!$C$2:$C$30,MATCH(C2097,Canale!$A$2:$A$30,0))</f>
        <v>linkedin_company</v>
      </c>
      <c r="F2097" s="10" t="str">
        <f aca="false">INDEX(Canale!$D$2:$D$30,MATCH(C2097,Canale!$A$2:$A$30,0))</f>
        <v>social</v>
      </c>
      <c r="G2097" s="10" t="str">
        <f aca="false">INDEX('Site-uri'!$C$2:$C$20,MATCH(A2097,'Site-uri'!$A$2:$A$20,0))</f>
        <v>/</v>
      </c>
      <c r="H2097" s="10" t="str">
        <f aca="false">Config!$B$3</f>
        <v>2610_ff_lansare</v>
      </c>
      <c r="I2097" s="10" t="str">
        <f aca="false">D2097&amp;"_"&amp;Config!$B$4</f>
        <v>client_general</v>
      </c>
      <c r="J2097" s="10" t="str">
        <f aca="false">"https://"&amp;B2097&amp;G2097&amp;"?utm_source="&amp;E2097&amp;"&amp;utm_medium="&amp;F2097&amp;"&amp;utm_campaign="&amp;H2097&amp;"&amp;utm_content="&amp;I2097</f>
        <v>https://ecbtax.com/?utm_source=linkedin_company&amp;utm_medium=social&amp;utm_campaign=2610_ff_lansare&amp;utm_content=client_general</v>
      </c>
    </row>
    <row r="2098" customFormat="false" ht="15" hidden="false" customHeight="false" outlineLevel="0" collapsed="false">
      <c r="A2098" s="10" t="s">
        <v>97</v>
      </c>
      <c r="B2098" s="10" t="str">
        <f aca="false">INDEX('Site-uri'!$B$2:$B$20,MATCH(A2098,'Site-uri'!$A$2:$A$20,0))</f>
        <v>ecbtax.com</v>
      </c>
      <c r="C2098" s="10" t="s">
        <v>112</v>
      </c>
      <c r="D2098" s="10" t="s">
        <v>219</v>
      </c>
      <c r="E2098" s="10" t="str">
        <f aca="false">INDEX(Canale!$C$2:$C$30,MATCH(C2098,Canale!$A$2:$A$30,0))</f>
        <v>linkedin_showcase</v>
      </c>
      <c r="F2098" s="10" t="str">
        <f aca="false">INDEX(Canale!$D$2:$D$30,MATCH(C2098,Canale!$A$2:$A$30,0))</f>
        <v>social</v>
      </c>
      <c r="G2098" s="10" t="str">
        <f aca="false">INDEX('Site-uri'!$C$2:$C$20,MATCH(A2098,'Site-uri'!$A$2:$A$20,0))</f>
        <v>/</v>
      </c>
      <c r="H2098" s="10" t="str">
        <f aca="false">Config!$B$3</f>
        <v>2610_ff_lansare</v>
      </c>
      <c r="I2098" s="10" t="str">
        <f aca="false">D2098&amp;"_"&amp;Config!$B$4</f>
        <v>rece_general</v>
      </c>
      <c r="J2098" s="10" t="str">
        <f aca="false">"https://"&amp;B2098&amp;G2098&amp;"?utm_source="&amp;E2098&amp;"&amp;utm_medium="&amp;F2098&amp;"&amp;utm_campaign="&amp;H2098&amp;"&amp;utm_content="&amp;I2098</f>
        <v>https://ecbtax.com/?utm_source=linkedin_showcase&amp;utm_medium=social&amp;utm_campaign=2610_ff_lansare&amp;utm_content=rece_general</v>
      </c>
    </row>
    <row r="2099" customFormat="false" ht="15" hidden="false" customHeight="false" outlineLevel="0" collapsed="false">
      <c r="A2099" s="10" t="s">
        <v>97</v>
      </c>
      <c r="B2099" s="10" t="str">
        <f aca="false">INDEX('Site-uri'!$B$2:$B$20,MATCH(A2099,'Site-uri'!$A$2:$A$20,0))</f>
        <v>ecbtax.com</v>
      </c>
      <c r="C2099" s="10" t="s">
        <v>112</v>
      </c>
      <c r="D2099" s="10" t="s">
        <v>225</v>
      </c>
      <c r="E2099" s="10" t="str">
        <f aca="false">INDEX(Canale!$C$2:$C$30,MATCH(C2099,Canale!$A$2:$A$30,0))</f>
        <v>linkedin_showcase</v>
      </c>
      <c r="F2099" s="10" t="str">
        <f aca="false">INDEX(Canale!$D$2:$D$30,MATCH(C2099,Canale!$A$2:$A$30,0))</f>
        <v>social</v>
      </c>
      <c r="G2099" s="10" t="str">
        <f aca="false">INDEX('Site-uri'!$C$2:$C$20,MATCH(A2099,'Site-uri'!$A$2:$A$20,0))</f>
        <v>/</v>
      </c>
      <c r="H2099" s="10" t="str">
        <f aca="false">Config!$B$3</f>
        <v>2610_ff_lansare</v>
      </c>
      <c r="I2099" s="10" t="str">
        <f aca="false">D2099&amp;"_"&amp;Config!$B$4</f>
        <v>cald_general</v>
      </c>
      <c r="J2099" s="10" t="str">
        <f aca="false">"https://"&amp;B2099&amp;G2099&amp;"?utm_source="&amp;E2099&amp;"&amp;utm_medium="&amp;F2099&amp;"&amp;utm_campaign="&amp;H2099&amp;"&amp;utm_content="&amp;I2099</f>
        <v>https://ecbtax.com/?utm_source=linkedin_showcase&amp;utm_medium=social&amp;utm_campaign=2610_ff_lansare&amp;utm_content=cald_general</v>
      </c>
    </row>
    <row r="2100" customFormat="false" ht="15" hidden="false" customHeight="false" outlineLevel="0" collapsed="false">
      <c r="A2100" s="10" t="s">
        <v>97</v>
      </c>
      <c r="B2100" s="10" t="str">
        <f aca="false">INDEX('Site-uri'!$B$2:$B$20,MATCH(A2100,'Site-uri'!$A$2:$A$20,0))</f>
        <v>ecbtax.com</v>
      </c>
      <c r="C2100" s="10" t="s">
        <v>112</v>
      </c>
      <c r="D2100" s="10" t="s">
        <v>231</v>
      </c>
      <c r="E2100" s="10" t="str">
        <f aca="false">INDEX(Canale!$C$2:$C$30,MATCH(C2100,Canale!$A$2:$A$30,0))</f>
        <v>linkedin_showcase</v>
      </c>
      <c r="F2100" s="10" t="str">
        <f aca="false">INDEX(Canale!$D$2:$D$30,MATCH(C2100,Canale!$A$2:$A$30,0))</f>
        <v>social</v>
      </c>
      <c r="G2100" s="10" t="str">
        <f aca="false">INDEX('Site-uri'!$C$2:$C$20,MATCH(A2100,'Site-uri'!$A$2:$A$20,0))</f>
        <v>/</v>
      </c>
      <c r="H2100" s="10" t="str">
        <f aca="false">Config!$B$3</f>
        <v>2610_ff_lansare</v>
      </c>
      <c r="I2100" s="10" t="str">
        <f aca="false">D2100&amp;"_"&amp;Config!$B$4</f>
        <v>fierbinte_general</v>
      </c>
      <c r="J2100" s="10" t="str">
        <f aca="false">"https://"&amp;B2100&amp;G2100&amp;"?utm_source="&amp;E2100&amp;"&amp;utm_medium="&amp;F2100&amp;"&amp;utm_campaign="&amp;H2100&amp;"&amp;utm_content="&amp;I2100</f>
        <v>https://ecbtax.com/?utm_source=linkedin_showcase&amp;utm_medium=social&amp;utm_campaign=2610_ff_lansare&amp;utm_content=fierbinte_general</v>
      </c>
    </row>
    <row r="2101" customFormat="false" ht="15" hidden="false" customHeight="false" outlineLevel="0" collapsed="false">
      <c r="A2101" s="10" t="s">
        <v>97</v>
      </c>
      <c r="B2101" s="10" t="str">
        <f aca="false">INDEX('Site-uri'!$B$2:$B$20,MATCH(A2101,'Site-uri'!$A$2:$A$20,0))</f>
        <v>ecbtax.com</v>
      </c>
      <c r="C2101" s="10" t="s">
        <v>112</v>
      </c>
      <c r="D2101" s="10" t="s">
        <v>237</v>
      </c>
      <c r="E2101" s="10" t="str">
        <f aca="false">INDEX(Canale!$C$2:$C$30,MATCH(C2101,Canale!$A$2:$A$30,0))</f>
        <v>linkedin_showcase</v>
      </c>
      <c r="F2101" s="10" t="str">
        <f aca="false">INDEX(Canale!$D$2:$D$30,MATCH(C2101,Canale!$A$2:$A$30,0))</f>
        <v>social</v>
      </c>
      <c r="G2101" s="10" t="str">
        <f aca="false">INDEX('Site-uri'!$C$2:$C$20,MATCH(A2101,'Site-uri'!$A$2:$A$20,0))</f>
        <v>/</v>
      </c>
      <c r="H2101" s="10" t="str">
        <f aca="false">Config!$B$3</f>
        <v>2610_ff_lansare</v>
      </c>
      <c r="I2101" s="10" t="str">
        <f aca="false">D2101&amp;"_"&amp;Config!$B$4</f>
        <v>client_general</v>
      </c>
      <c r="J2101" s="10" t="str">
        <f aca="false">"https://"&amp;B2101&amp;G2101&amp;"?utm_source="&amp;E2101&amp;"&amp;utm_medium="&amp;F2101&amp;"&amp;utm_campaign="&amp;H2101&amp;"&amp;utm_content="&amp;I2101</f>
        <v>https://ecbtax.com/?utm_source=linkedin_showcase&amp;utm_medium=social&amp;utm_campaign=2610_ff_lansare&amp;utm_content=client_general</v>
      </c>
    </row>
    <row r="2102" customFormat="false" ht="15" hidden="false" customHeight="false" outlineLevel="0" collapsed="false">
      <c r="A2102" s="10" t="s">
        <v>97</v>
      </c>
      <c r="B2102" s="10" t="str">
        <f aca="false">INDEX('Site-uri'!$B$2:$B$20,MATCH(A2102,'Site-uri'!$A$2:$A$20,0))</f>
        <v>ecbtax.com</v>
      </c>
      <c r="C2102" s="10" t="s">
        <v>115</v>
      </c>
      <c r="D2102" s="10" t="s">
        <v>219</v>
      </c>
      <c r="E2102" s="10" t="str">
        <f aca="false">INDEX(Canale!$C$2:$C$30,MATCH(C2102,Canale!$A$2:$A$30,0))</f>
        <v>linkedin_newsletter</v>
      </c>
      <c r="F2102" s="10" t="str">
        <f aca="false">INDEX(Canale!$D$2:$D$30,MATCH(C2102,Canale!$A$2:$A$30,0))</f>
        <v>social</v>
      </c>
      <c r="G2102" s="10" t="str">
        <f aca="false">INDEX('Site-uri'!$C$2:$C$20,MATCH(A2102,'Site-uri'!$A$2:$A$20,0))</f>
        <v>/</v>
      </c>
      <c r="H2102" s="10" t="str">
        <f aca="false">Config!$B$3</f>
        <v>2610_ff_lansare</v>
      </c>
      <c r="I2102" s="10" t="str">
        <f aca="false">D2102&amp;"_"&amp;Config!$B$4</f>
        <v>rece_general</v>
      </c>
      <c r="J2102" s="10" t="str">
        <f aca="false">"https://"&amp;B2102&amp;G2102&amp;"?utm_source="&amp;E2102&amp;"&amp;utm_medium="&amp;F2102&amp;"&amp;utm_campaign="&amp;H2102&amp;"&amp;utm_content="&amp;I2102</f>
        <v>https://ecbtax.com/?utm_source=linkedin_newsletter&amp;utm_medium=social&amp;utm_campaign=2610_ff_lansare&amp;utm_content=rece_general</v>
      </c>
    </row>
    <row r="2103" customFormat="false" ht="15" hidden="false" customHeight="false" outlineLevel="0" collapsed="false">
      <c r="A2103" s="10" t="s">
        <v>97</v>
      </c>
      <c r="B2103" s="10" t="str">
        <f aca="false">INDEX('Site-uri'!$B$2:$B$20,MATCH(A2103,'Site-uri'!$A$2:$A$20,0))</f>
        <v>ecbtax.com</v>
      </c>
      <c r="C2103" s="10" t="s">
        <v>115</v>
      </c>
      <c r="D2103" s="10" t="s">
        <v>225</v>
      </c>
      <c r="E2103" s="10" t="str">
        <f aca="false">INDEX(Canale!$C$2:$C$30,MATCH(C2103,Canale!$A$2:$A$30,0))</f>
        <v>linkedin_newsletter</v>
      </c>
      <c r="F2103" s="10" t="str">
        <f aca="false">INDEX(Canale!$D$2:$D$30,MATCH(C2103,Canale!$A$2:$A$30,0))</f>
        <v>social</v>
      </c>
      <c r="G2103" s="10" t="str">
        <f aca="false">INDEX('Site-uri'!$C$2:$C$20,MATCH(A2103,'Site-uri'!$A$2:$A$20,0))</f>
        <v>/</v>
      </c>
      <c r="H2103" s="10" t="str">
        <f aca="false">Config!$B$3</f>
        <v>2610_ff_lansare</v>
      </c>
      <c r="I2103" s="10" t="str">
        <f aca="false">D2103&amp;"_"&amp;Config!$B$4</f>
        <v>cald_general</v>
      </c>
      <c r="J2103" s="10" t="str">
        <f aca="false">"https://"&amp;B2103&amp;G2103&amp;"?utm_source="&amp;E2103&amp;"&amp;utm_medium="&amp;F2103&amp;"&amp;utm_campaign="&amp;H2103&amp;"&amp;utm_content="&amp;I2103</f>
        <v>https://ecbtax.com/?utm_source=linkedin_newsletter&amp;utm_medium=social&amp;utm_campaign=2610_ff_lansare&amp;utm_content=cald_general</v>
      </c>
    </row>
    <row r="2104" customFormat="false" ht="15" hidden="false" customHeight="false" outlineLevel="0" collapsed="false">
      <c r="A2104" s="10" t="s">
        <v>97</v>
      </c>
      <c r="B2104" s="10" t="str">
        <f aca="false">INDEX('Site-uri'!$B$2:$B$20,MATCH(A2104,'Site-uri'!$A$2:$A$20,0))</f>
        <v>ecbtax.com</v>
      </c>
      <c r="C2104" s="10" t="s">
        <v>115</v>
      </c>
      <c r="D2104" s="10" t="s">
        <v>231</v>
      </c>
      <c r="E2104" s="10" t="str">
        <f aca="false">INDEX(Canale!$C$2:$C$30,MATCH(C2104,Canale!$A$2:$A$30,0))</f>
        <v>linkedin_newsletter</v>
      </c>
      <c r="F2104" s="10" t="str">
        <f aca="false">INDEX(Canale!$D$2:$D$30,MATCH(C2104,Canale!$A$2:$A$30,0))</f>
        <v>social</v>
      </c>
      <c r="G2104" s="10" t="str">
        <f aca="false">INDEX('Site-uri'!$C$2:$C$20,MATCH(A2104,'Site-uri'!$A$2:$A$20,0))</f>
        <v>/</v>
      </c>
      <c r="H2104" s="10" t="str">
        <f aca="false">Config!$B$3</f>
        <v>2610_ff_lansare</v>
      </c>
      <c r="I2104" s="10" t="str">
        <f aca="false">D2104&amp;"_"&amp;Config!$B$4</f>
        <v>fierbinte_general</v>
      </c>
      <c r="J2104" s="10" t="str">
        <f aca="false">"https://"&amp;B2104&amp;G2104&amp;"?utm_source="&amp;E2104&amp;"&amp;utm_medium="&amp;F2104&amp;"&amp;utm_campaign="&amp;H2104&amp;"&amp;utm_content="&amp;I2104</f>
        <v>https://ecbtax.com/?utm_source=linkedin_newsletter&amp;utm_medium=social&amp;utm_campaign=2610_ff_lansare&amp;utm_content=fierbinte_general</v>
      </c>
    </row>
    <row r="2105" customFormat="false" ht="15" hidden="false" customHeight="false" outlineLevel="0" collapsed="false">
      <c r="A2105" s="10" t="s">
        <v>97</v>
      </c>
      <c r="B2105" s="10" t="str">
        <f aca="false">INDEX('Site-uri'!$B$2:$B$20,MATCH(A2105,'Site-uri'!$A$2:$A$20,0))</f>
        <v>ecbtax.com</v>
      </c>
      <c r="C2105" s="10" t="s">
        <v>115</v>
      </c>
      <c r="D2105" s="10" t="s">
        <v>237</v>
      </c>
      <c r="E2105" s="10" t="str">
        <f aca="false">INDEX(Canale!$C$2:$C$30,MATCH(C2105,Canale!$A$2:$A$30,0))</f>
        <v>linkedin_newsletter</v>
      </c>
      <c r="F2105" s="10" t="str">
        <f aca="false">INDEX(Canale!$D$2:$D$30,MATCH(C2105,Canale!$A$2:$A$30,0))</f>
        <v>social</v>
      </c>
      <c r="G2105" s="10" t="str">
        <f aca="false">INDEX('Site-uri'!$C$2:$C$20,MATCH(A2105,'Site-uri'!$A$2:$A$20,0))</f>
        <v>/</v>
      </c>
      <c r="H2105" s="10" t="str">
        <f aca="false">Config!$B$3</f>
        <v>2610_ff_lansare</v>
      </c>
      <c r="I2105" s="10" t="str">
        <f aca="false">D2105&amp;"_"&amp;Config!$B$4</f>
        <v>client_general</v>
      </c>
      <c r="J2105" s="10" t="str">
        <f aca="false">"https://"&amp;B2105&amp;G2105&amp;"?utm_source="&amp;E2105&amp;"&amp;utm_medium="&amp;F2105&amp;"&amp;utm_campaign="&amp;H2105&amp;"&amp;utm_content="&amp;I2105</f>
        <v>https://ecbtax.com/?utm_source=linkedin_newsletter&amp;utm_medium=social&amp;utm_campaign=2610_ff_lansare&amp;utm_content=client_general</v>
      </c>
    </row>
    <row r="2106" customFormat="false" ht="15" hidden="false" customHeight="false" outlineLevel="0" collapsed="false">
      <c r="A2106" s="10" t="s">
        <v>97</v>
      </c>
      <c r="B2106" s="10" t="str">
        <f aca="false">INDEX('Site-uri'!$B$2:$B$20,MATCH(A2106,'Site-uri'!$A$2:$A$20,0))</f>
        <v>ecbtax.com</v>
      </c>
      <c r="C2106" s="10" t="s">
        <v>118</v>
      </c>
      <c r="D2106" s="10" t="s">
        <v>219</v>
      </c>
      <c r="E2106" s="10" t="str">
        <f aca="false">INDEX(Canale!$C$2:$C$30,MATCH(C2106,Canale!$A$2:$A$30,0))</f>
        <v>linkedin_ads</v>
      </c>
      <c r="F2106" s="10" t="str">
        <f aca="false">INDEX(Canale!$D$2:$D$30,MATCH(C2106,Canale!$A$2:$A$30,0))</f>
        <v>paid_social</v>
      </c>
      <c r="G2106" s="10" t="str">
        <f aca="false">INDEX('Site-uri'!$C$2:$C$20,MATCH(A2106,'Site-uri'!$A$2:$A$20,0))</f>
        <v>/</v>
      </c>
      <c r="H2106" s="10" t="str">
        <f aca="false">Config!$B$3</f>
        <v>2610_ff_lansare</v>
      </c>
      <c r="I2106" s="10" t="str">
        <f aca="false">D2106&amp;"_"&amp;Config!$B$4</f>
        <v>rece_general</v>
      </c>
      <c r="J2106" s="10" t="str">
        <f aca="false">"https://"&amp;B2106&amp;G2106&amp;"?utm_source="&amp;E2106&amp;"&amp;utm_medium="&amp;F2106&amp;"&amp;utm_campaign="&amp;H2106&amp;"&amp;utm_content="&amp;I2106</f>
        <v>https://ecbtax.com/?utm_source=linkedin_ads&amp;utm_medium=paid_social&amp;utm_campaign=2610_ff_lansare&amp;utm_content=rece_general</v>
      </c>
    </row>
    <row r="2107" customFormat="false" ht="15" hidden="false" customHeight="false" outlineLevel="0" collapsed="false">
      <c r="A2107" s="10" t="s">
        <v>97</v>
      </c>
      <c r="B2107" s="10" t="str">
        <f aca="false">INDEX('Site-uri'!$B$2:$B$20,MATCH(A2107,'Site-uri'!$A$2:$A$20,0))</f>
        <v>ecbtax.com</v>
      </c>
      <c r="C2107" s="10" t="s">
        <v>118</v>
      </c>
      <c r="D2107" s="10" t="s">
        <v>225</v>
      </c>
      <c r="E2107" s="10" t="str">
        <f aca="false">INDEX(Canale!$C$2:$C$30,MATCH(C2107,Canale!$A$2:$A$30,0))</f>
        <v>linkedin_ads</v>
      </c>
      <c r="F2107" s="10" t="str">
        <f aca="false">INDEX(Canale!$D$2:$D$30,MATCH(C2107,Canale!$A$2:$A$30,0))</f>
        <v>paid_social</v>
      </c>
      <c r="G2107" s="10" t="str">
        <f aca="false">INDEX('Site-uri'!$C$2:$C$20,MATCH(A2107,'Site-uri'!$A$2:$A$20,0))</f>
        <v>/</v>
      </c>
      <c r="H2107" s="10" t="str">
        <f aca="false">Config!$B$3</f>
        <v>2610_ff_lansare</v>
      </c>
      <c r="I2107" s="10" t="str">
        <f aca="false">D2107&amp;"_"&amp;Config!$B$4</f>
        <v>cald_general</v>
      </c>
      <c r="J2107" s="10" t="str">
        <f aca="false">"https://"&amp;B2107&amp;G2107&amp;"?utm_source="&amp;E2107&amp;"&amp;utm_medium="&amp;F2107&amp;"&amp;utm_campaign="&amp;H2107&amp;"&amp;utm_content="&amp;I2107</f>
        <v>https://ecbtax.com/?utm_source=linkedin_ads&amp;utm_medium=paid_social&amp;utm_campaign=2610_ff_lansare&amp;utm_content=cald_general</v>
      </c>
    </row>
    <row r="2108" customFormat="false" ht="15" hidden="false" customHeight="false" outlineLevel="0" collapsed="false">
      <c r="A2108" s="10" t="s">
        <v>97</v>
      </c>
      <c r="B2108" s="10" t="str">
        <f aca="false">INDEX('Site-uri'!$B$2:$B$20,MATCH(A2108,'Site-uri'!$A$2:$A$20,0))</f>
        <v>ecbtax.com</v>
      </c>
      <c r="C2108" s="10" t="s">
        <v>118</v>
      </c>
      <c r="D2108" s="10" t="s">
        <v>231</v>
      </c>
      <c r="E2108" s="10" t="str">
        <f aca="false">INDEX(Canale!$C$2:$C$30,MATCH(C2108,Canale!$A$2:$A$30,0))</f>
        <v>linkedin_ads</v>
      </c>
      <c r="F2108" s="10" t="str">
        <f aca="false">INDEX(Canale!$D$2:$D$30,MATCH(C2108,Canale!$A$2:$A$30,0))</f>
        <v>paid_social</v>
      </c>
      <c r="G2108" s="10" t="str">
        <f aca="false">INDEX('Site-uri'!$C$2:$C$20,MATCH(A2108,'Site-uri'!$A$2:$A$20,0))</f>
        <v>/</v>
      </c>
      <c r="H2108" s="10" t="str">
        <f aca="false">Config!$B$3</f>
        <v>2610_ff_lansare</v>
      </c>
      <c r="I2108" s="10" t="str">
        <f aca="false">D2108&amp;"_"&amp;Config!$B$4</f>
        <v>fierbinte_general</v>
      </c>
      <c r="J2108" s="10" t="str">
        <f aca="false">"https://"&amp;B2108&amp;G2108&amp;"?utm_source="&amp;E2108&amp;"&amp;utm_medium="&amp;F2108&amp;"&amp;utm_campaign="&amp;H2108&amp;"&amp;utm_content="&amp;I2108</f>
        <v>https://ecbtax.com/?utm_source=linkedin_ads&amp;utm_medium=paid_social&amp;utm_campaign=2610_ff_lansare&amp;utm_content=fierbinte_general</v>
      </c>
    </row>
    <row r="2109" customFormat="false" ht="15" hidden="false" customHeight="false" outlineLevel="0" collapsed="false">
      <c r="A2109" s="10" t="s">
        <v>97</v>
      </c>
      <c r="B2109" s="10" t="str">
        <f aca="false">INDEX('Site-uri'!$B$2:$B$20,MATCH(A2109,'Site-uri'!$A$2:$A$20,0))</f>
        <v>ecbtax.com</v>
      </c>
      <c r="C2109" s="10" t="s">
        <v>118</v>
      </c>
      <c r="D2109" s="10" t="s">
        <v>237</v>
      </c>
      <c r="E2109" s="10" t="str">
        <f aca="false">INDEX(Canale!$C$2:$C$30,MATCH(C2109,Canale!$A$2:$A$30,0))</f>
        <v>linkedin_ads</v>
      </c>
      <c r="F2109" s="10" t="str">
        <f aca="false">INDEX(Canale!$D$2:$D$30,MATCH(C2109,Canale!$A$2:$A$30,0))</f>
        <v>paid_social</v>
      </c>
      <c r="G2109" s="10" t="str">
        <f aca="false">INDEX('Site-uri'!$C$2:$C$20,MATCH(A2109,'Site-uri'!$A$2:$A$20,0))</f>
        <v>/</v>
      </c>
      <c r="H2109" s="10" t="str">
        <f aca="false">Config!$B$3</f>
        <v>2610_ff_lansare</v>
      </c>
      <c r="I2109" s="10" t="str">
        <f aca="false">D2109&amp;"_"&amp;Config!$B$4</f>
        <v>client_general</v>
      </c>
      <c r="J2109" s="10" t="str">
        <f aca="false">"https://"&amp;B2109&amp;G2109&amp;"?utm_source="&amp;E2109&amp;"&amp;utm_medium="&amp;F2109&amp;"&amp;utm_campaign="&amp;H2109&amp;"&amp;utm_content="&amp;I2109</f>
        <v>https://ecbtax.com/?utm_source=linkedin_ads&amp;utm_medium=paid_social&amp;utm_campaign=2610_ff_lansare&amp;utm_content=client_general</v>
      </c>
    </row>
    <row r="2110" customFormat="false" ht="15" hidden="false" customHeight="false" outlineLevel="0" collapsed="false">
      <c r="A2110" s="10" t="s">
        <v>97</v>
      </c>
      <c r="B2110" s="10" t="str">
        <f aca="false">INDEX('Site-uri'!$B$2:$B$20,MATCH(A2110,'Site-uri'!$A$2:$A$20,0))</f>
        <v>ecbtax.com</v>
      </c>
      <c r="C2110" s="10" t="s">
        <v>122</v>
      </c>
      <c r="D2110" s="10" t="s">
        <v>219</v>
      </c>
      <c r="E2110" s="10" t="str">
        <f aca="false">INDEX(Canale!$C$2:$C$30,MATCH(C2110,Canale!$A$2:$A$30,0))</f>
        <v>linkedin_dm</v>
      </c>
      <c r="F2110" s="10" t="str">
        <f aca="false">INDEX(Canale!$D$2:$D$30,MATCH(C2110,Canale!$A$2:$A$30,0))</f>
        <v>dm</v>
      </c>
      <c r="G2110" s="10" t="str">
        <f aca="false">INDEX('Site-uri'!$C$2:$C$20,MATCH(A2110,'Site-uri'!$A$2:$A$20,0))</f>
        <v>/</v>
      </c>
      <c r="H2110" s="10" t="str">
        <f aca="false">Config!$B$3</f>
        <v>2610_ff_lansare</v>
      </c>
      <c r="I2110" s="10" t="str">
        <f aca="false">D2110&amp;"_"&amp;Config!$B$4</f>
        <v>rece_general</v>
      </c>
      <c r="J2110" s="10" t="str">
        <f aca="false">"https://"&amp;B2110&amp;G2110&amp;"?utm_source="&amp;E2110&amp;"&amp;utm_medium="&amp;F2110&amp;"&amp;utm_campaign="&amp;H2110&amp;"&amp;utm_content="&amp;I2110</f>
        <v>https://ecbtax.com/?utm_source=linkedin_dm&amp;utm_medium=dm&amp;utm_campaign=2610_ff_lansare&amp;utm_content=rece_general</v>
      </c>
    </row>
    <row r="2111" customFormat="false" ht="15" hidden="false" customHeight="false" outlineLevel="0" collapsed="false">
      <c r="A2111" s="10" t="s">
        <v>97</v>
      </c>
      <c r="B2111" s="10" t="str">
        <f aca="false">INDEX('Site-uri'!$B$2:$B$20,MATCH(A2111,'Site-uri'!$A$2:$A$20,0))</f>
        <v>ecbtax.com</v>
      </c>
      <c r="C2111" s="10" t="s">
        <v>122</v>
      </c>
      <c r="D2111" s="10" t="s">
        <v>225</v>
      </c>
      <c r="E2111" s="10" t="str">
        <f aca="false">INDEX(Canale!$C$2:$C$30,MATCH(C2111,Canale!$A$2:$A$30,0))</f>
        <v>linkedin_dm</v>
      </c>
      <c r="F2111" s="10" t="str">
        <f aca="false">INDEX(Canale!$D$2:$D$30,MATCH(C2111,Canale!$A$2:$A$30,0))</f>
        <v>dm</v>
      </c>
      <c r="G2111" s="10" t="str">
        <f aca="false">INDEX('Site-uri'!$C$2:$C$20,MATCH(A2111,'Site-uri'!$A$2:$A$20,0))</f>
        <v>/</v>
      </c>
      <c r="H2111" s="10" t="str">
        <f aca="false">Config!$B$3</f>
        <v>2610_ff_lansare</v>
      </c>
      <c r="I2111" s="10" t="str">
        <f aca="false">D2111&amp;"_"&amp;Config!$B$4</f>
        <v>cald_general</v>
      </c>
      <c r="J2111" s="10" t="str">
        <f aca="false">"https://"&amp;B2111&amp;G2111&amp;"?utm_source="&amp;E2111&amp;"&amp;utm_medium="&amp;F2111&amp;"&amp;utm_campaign="&amp;H2111&amp;"&amp;utm_content="&amp;I2111</f>
        <v>https://ecbtax.com/?utm_source=linkedin_dm&amp;utm_medium=dm&amp;utm_campaign=2610_ff_lansare&amp;utm_content=cald_general</v>
      </c>
    </row>
    <row r="2112" customFormat="false" ht="15" hidden="false" customHeight="false" outlineLevel="0" collapsed="false">
      <c r="A2112" s="10" t="s">
        <v>97</v>
      </c>
      <c r="B2112" s="10" t="str">
        <f aca="false">INDEX('Site-uri'!$B$2:$B$20,MATCH(A2112,'Site-uri'!$A$2:$A$20,0))</f>
        <v>ecbtax.com</v>
      </c>
      <c r="C2112" s="10" t="s">
        <v>122</v>
      </c>
      <c r="D2112" s="10" t="s">
        <v>231</v>
      </c>
      <c r="E2112" s="10" t="str">
        <f aca="false">INDEX(Canale!$C$2:$C$30,MATCH(C2112,Canale!$A$2:$A$30,0))</f>
        <v>linkedin_dm</v>
      </c>
      <c r="F2112" s="10" t="str">
        <f aca="false">INDEX(Canale!$D$2:$D$30,MATCH(C2112,Canale!$A$2:$A$30,0))</f>
        <v>dm</v>
      </c>
      <c r="G2112" s="10" t="str">
        <f aca="false">INDEX('Site-uri'!$C$2:$C$20,MATCH(A2112,'Site-uri'!$A$2:$A$20,0))</f>
        <v>/</v>
      </c>
      <c r="H2112" s="10" t="str">
        <f aca="false">Config!$B$3</f>
        <v>2610_ff_lansare</v>
      </c>
      <c r="I2112" s="10" t="str">
        <f aca="false">D2112&amp;"_"&amp;Config!$B$4</f>
        <v>fierbinte_general</v>
      </c>
      <c r="J2112" s="10" t="str">
        <f aca="false">"https://"&amp;B2112&amp;G2112&amp;"?utm_source="&amp;E2112&amp;"&amp;utm_medium="&amp;F2112&amp;"&amp;utm_campaign="&amp;H2112&amp;"&amp;utm_content="&amp;I2112</f>
        <v>https://ecbtax.com/?utm_source=linkedin_dm&amp;utm_medium=dm&amp;utm_campaign=2610_ff_lansare&amp;utm_content=fierbinte_general</v>
      </c>
    </row>
    <row r="2113" customFormat="false" ht="15" hidden="false" customHeight="false" outlineLevel="0" collapsed="false">
      <c r="A2113" s="10" t="s">
        <v>97</v>
      </c>
      <c r="B2113" s="10" t="str">
        <f aca="false">INDEX('Site-uri'!$B$2:$B$20,MATCH(A2113,'Site-uri'!$A$2:$A$20,0))</f>
        <v>ecbtax.com</v>
      </c>
      <c r="C2113" s="10" t="s">
        <v>122</v>
      </c>
      <c r="D2113" s="10" t="s">
        <v>237</v>
      </c>
      <c r="E2113" s="10" t="str">
        <f aca="false">INDEX(Canale!$C$2:$C$30,MATCH(C2113,Canale!$A$2:$A$30,0))</f>
        <v>linkedin_dm</v>
      </c>
      <c r="F2113" s="10" t="str">
        <f aca="false">INDEX(Canale!$D$2:$D$30,MATCH(C2113,Canale!$A$2:$A$30,0))</f>
        <v>dm</v>
      </c>
      <c r="G2113" s="10" t="str">
        <f aca="false">INDEX('Site-uri'!$C$2:$C$20,MATCH(A2113,'Site-uri'!$A$2:$A$20,0))</f>
        <v>/</v>
      </c>
      <c r="H2113" s="10" t="str">
        <f aca="false">Config!$B$3</f>
        <v>2610_ff_lansare</v>
      </c>
      <c r="I2113" s="10" t="str">
        <f aca="false">D2113&amp;"_"&amp;Config!$B$4</f>
        <v>client_general</v>
      </c>
      <c r="J2113" s="10" t="str">
        <f aca="false">"https://"&amp;B2113&amp;G2113&amp;"?utm_source="&amp;E2113&amp;"&amp;utm_medium="&amp;F2113&amp;"&amp;utm_campaign="&amp;H2113&amp;"&amp;utm_content="&amp;I2113</f>
        <v>https://ecbtax.com/?utm_source=linkedin_dm&amp;utm_medium=dm&amp;utm_campaign=2610_ff_lansare&amp;utm_content=client_general</v>
      </c>
    </row>
    <row r="2114" customFormat="false" ht="15" hidden="false" customHeight="false" outlineLevel="0" collapsed="false">
      <c r="A2114" s="10" t="s">
        <v>97</v>
      </c>
      <c r="B2114" s="10" t="str">
        <f aca="false">INDEX('Site-uri'!$B$2:$B$20,MATCH(A2114,'Site-uri'!$A$2:$A$20,0))</f>
        <v>ecbtax.com</v>
      </c>
      <c r="C2114" s="10" t="s">
        <v>126</v>
      </c>
      <c r="D2114" s="10" t="s">
        <v>219</v>
      </c>
      <c r="E2114" s="10" t="str">
        <f aca="false">INDEX(Canale!$C$2:$C$30,MATCH(C2114,Canale!$A$2:$A$30,0))</f>
        <v>email_outreach</v>
      </c>
      <c r="F2114" s="10" t="str">
        <f aca="false">INDEX(Canale!$D$2:$D$30,MATCH(C2114,Canale!$A$2:$A$30,0))</f>
        <v>email</v>
      </c>
      <c r="G2114" s="10" t="str">
        <f aca="false">INDEX('Site-uri'!$C$2:$C$20,MATCH(A2114,'Site-uri'!$A$2:$A$20,0))</f>
        <v>/</v>
      </c>
      <c r="H2114" s="10" t="str">
        <f aca="false">Config!$B$3</f>
        <v>2610_ff_lansare</v>
      </c>
      <c r="I2114" s="10" t="str">
        <f aca="false">D2114&amp;"_"&amp;Config!$B$4</f>
        <v>rece_general</v>
      </c>
      <c r="J2114" s="10" t="str">
        <f aca="false">"https://"&amp;B2114&amp;G2114&amp;"?utm_source="&amp;E2114&amp;"&amp;utm_medium="&amp;F2114&amp;"&amp;utm_campaign="&amp;H2114&amp;"&amp;utm_content="&amp;I2114</f>
        <v>https://ecbtax.com/?utm_source=email_outreach&amp;utm_medium=email&amp;utm_campaign=2610_ff_lansare&amp;utm_content=rece_general</v>
      </c>
    </row>
    <row r="2115" customFormat="false" ht="15" hidden="false" customHeight="false" outlineLevel="0" collapsed="false">
      <c r="A2115" s="10" t="s">
        <v>97</v>
      </c>
      <c r="B2115" s="10" t="str">
        <f aca="false">INDEX('Site-uri'!$B$2:$B$20,MATCH(A2115,'Site-uri'!$A$2:$A$20,0))</f>
        <v>ecbtax.com</v>
      </c>
      <c r="C2115" s="10" t="s">
        <v>126</v>
      </c>
      <c r="D2115" s="10" t="s">
        <v>225</v>
      </c>
      <c r="E2115" s="10" t="str">
        <f aca="false">INDEX(Canale!$C$2:$C$30,MATCH(C2115,Canale!$A$2:$A$30,0))</f>
        <v>email_outreach</v>
      </c>
      <c r="F2115" s="10" t="str">
        <f aca="false">INDEX(Canale!$D$2:$D$30,MATCH(C2115,Canale!$A$2:$A$30,0))</f>
        <v>email</v>
      </c>
      <c r="G2115" s="10" t="str">
        <f aca="false">INDEX('Site-uri'!$C$2:$C$20,MATCH(A2115,'Site-uri'!$A$2:$A$20,0))</f>
        <v>/</v>
      </c>
      <c r="H2115" s="10" t="str">
        <f aca="false">Config!$B$3</f>
        <v>2610_ff_lansare</v>
      </c>
      <c r="I2115" s="10" t="str">
        <f aca="false">D2115&amp;"_"&amp;Config!$B$4</f>
        <v>cald_general</v>
      </c>
      <c r="J2115" s="10" t="str">
        <f aca="false">"https://"&amp;B2115&amp;G2115&amp;"?utm_source="&amp;E2115&amp;"&amp;utm_medium="&amp;F2115&amp;"&amp;utm_campaign="&amp;H2115&amp;"&amp;utm_content="&amp;I2115</f>
        <v>https://ecbtax.com/?utm_source=email_outreach&amp;utm_medium=email&amp;utm_campaign=2610_ff_lansare&amp;utm_content=cald_general</v>
      </c>
    </row>
    <row r="2116" customFormat="false" ht="15" hidden="false" customHeight="false" outlineLevel="0" collapsed="false">
      <c r="A2116" s="10" t="s">
        <v>97</v>
      </c>
      <c r="B2116" s="10" t="str">
        <f aca="false">INDEX('Site-uri'!$B$2:$B$20,MATCH(A2116,'Site-uri'!$A$2:$A$20,0))</f>
        <v>ecbtax.com</v>
      </c>
      <c r="C2116" s="10" t="s">
        <v>126</v>
      </c>
      <c r="D2116" s="10" t="s">
        <v>231</v>
      </c>
      <c r="E2116" s="10" t="str">
        <f aca="false">INDEX(Canale!$C$2:$C$30,MATCH(C2116,Canale!$A$2:$A$30,0))</f>
        <v>email_outreach</v>
      </c>
      <c r="F2116" s="10" t="str">
        <f aca="false">INDEX(Canale!$D$2:$D$30,MATCH(C2116,Canale!$A$2:$A$30,0))</f>
        <v>email</v>
      </c>
      <c r="G2116" s="10" t="str">
        <f aca="false">INDEX('Site-uri'!$C$2:$C$20,MATCH(A2116,'Site-uri'!$A$2:$A$20,0))</f>
        <v>/</v>
      </c>
      <c r="H2116" s="10" t="str">
        <f aca="false">Config!$B$3</f>
        <v>2610_ff_lansare</v>
      </c>
      <c r="I2116" s="10" t="str">
        <f aca="false">D2116&amp;"_"&amp;Config!$B$4</f>
        <v>fierbinte_general</v>
      </c>
      <c r="J2116" s="10" t="str">
        <f aca="false">"https://"&amp;B2116&amp;G2116&amp;"?utm_source="&amp;E2116&amp;"&amp;utm_medium="&amp;F2116&amp;"&amp;utm_campaign="&amp;H2116&amp;"&amp;utm_content="&amp;I2116</f>
        <v>https://ecbtax.com/?utm_source=email_outreach&amp;utm_medium=email&amp;utm_campaign=2610_ff_lansare&amp;utm_content=fierbinte_general</v>
      </c>
    </row>
    <row r="2117" customFormat="false" ht="15" hidden="false" customHeight="false" outlineLevel="0" collapsed="false">
      <c r="A2117" s="10" t="s">
        <v>97</v>
      </c>
      <c r="B2117" s="10" t="str">
        <f aca="false">INDEX('Site-uri'!$B$2:$B$20,MATCH(A2117,'Site-uri'!$A$2:$A$20,0))</f>
        <v>ecbtax.com</v>
      </c>
      <c r="C2117" s="10" t="s">
        <v>126</v>
      </c>
      <c r="D2117" s="10" t="s">
        <v>237</v>
      </c>
      <c r="E2117" s="10" t="str">
        <f aca="false">INDEX(Canale!$C$2:$C$30,MATCH(C2117,Canale!$A$2:$A$30,0))</f>
        <v>email_outreach</v>
      </c>
      <c r="F2117" s="10" t="str">
        <f aca="false">INDEX(Canale!$D$2:$D$30,MATCH(C2117,Canale!$A$2:$A$30,0))</f>
        <v>email</v>
      </c>
      <c r="G2117" s="10" t="str">
        <f aca="false">INDEX('Site-uri'!$C$2:$C$20,MATCH(A2117,'Site-uri'!$A$2:$A$20,0))</f>
        <v>/</v>
      </c>
      <c r="H2117" s="10" t="str">
        <f aca="false">Config!$B$3</f>
        <v>2610_ff_lansare</v>
      </c>
      <c r="I2117" s="10" t="str">
        <f aca="false">D2117&amp;"_"&amp;Config!$B$4</f>
        <v>client_general</v>
      </c>
      <c r="J2117" s="10" t="str">
        <f aca="false">"https://"&amp;B2117&amp;G2117&amp;"?utm_source="&amp;E2117&amp;"&amp;utm_medium="&amp;F2117&amp;"&amp;utm_campaign="&amp;H2117&amp;"&amp;utm_content="&amp;I2117</f>
        <v>https://ecbtax.com/?utm_source=email_outreach&amp;utm_medium=email&amp;utm_campaign=2610_ff_lansare&amp;utm_content=client_general</v>
      </c>
    </row>
    <row r="2118" customFormat="false" ht="15" hidden="false" customHeight="false" outlineLevel="0" collapsed="false">
      <c r="A2118" s="10" t="s">
        <v>97</v>
      </c>
      <c r="B2118" s="10" t="str">
        <f aca="false">INDEX('Site-uri'!$B$2:$B$20,MATCH(A2118,'Site-uri'!$A$2:$A$20,0))</f>
        <v>ecbtax.com</v>
      </c>
      <c r="C2118" s="10" t="s">
        <v>131</v>
      </c>
      <c r="D2118" s="10" t="s">
        <v>219</v>
      </c>
      <c r="E2118" s="10" t="str">
        <f aca="false">INDEX(Canale!$C$2:$C$30,MATCH(C2118,Canale!$A$2:$A$30,0))</f>
        <v>newsletter</v>
      </c>
      <c r="F2118" s="10" t="str">
        <f aca="false">INDEX(Canale!$D$2:$D$30,MATCH(C2118,Canale!$A$2:$A$30,0))</f>
        <v>email</v>
      </c>
      <c r="G2118" s="10" t="str">
        <f aca="false">INDEX('Site-uri'!$C$2:$C$20,MATCH(A2118,'Site-uri'!$A$2:$A$20,0))</f>
        <v>/</v>
      </c>
      <c r="H2118" s="10" t="str">
        <f aca="false">Config!$B$3</f>
        <v>2610_ff_lansare</v>
      </c>
      <c r="I2118" s="10" t="str">
        <f aca="false">D2118&amp;"_"&amp;Config!$B$4</f>
        <v>rece_general</v>
      </c>
      <c r="J2118" s="10" t="str">
        <f aca="false">"https://"&amp;B2118&amp;G2118&amp;"?utm_source="&amp;E2118&amp;"&amp;utm_medium="&amp;F2118&amp;"&amp;utm_campaign="&amp;H2118&amp;"&amp;utm_content="&amp;I2118</f>
        <v>https://ecbtax.com/?utm_source=newsletter&amp;utm_medium=email&amp;utm_campaign=2610_ff_lansare&amp;utm_content=rece_general</v>
      </c>
    </row>
    <row r="2119" customFormat="false" ht="15" hidden="false" customHeight="false" outlineLevel="0" collapsed="false">
      <c r="A2119" s="10" t="s">
        <v>97</v>
      </c>
      <c r="B2119" s="10" t="str">
        <f aca="false">INDEX('Site-uri'!$B$2:$B$20,MATCH(A2119,'Site-uri'!$A$2:$A$20,0))</f>
        <v>ecbtax.com</v>
      </c>
      <c r="C2119" s="10" t="s">
        <v>131</v>
      </c>
      <c r="D2119" s="10" t="s">
        <v>225</v>
      </c>
      <c r="E2119" s="10" t="str">
        <f aca="false">INDEX(Canale!$C$2:$C$30,MATCH(C2119,Canale!$A$2:$A$30,0))</f>
        <v>newsletter</v>
      </c>
      <c r="F2119" s="10" t="str">
        <f aca="false">INDEX(Canale!$D$2:$D$30,MATCH(C2119,Canale!$A$2:$A$30,0))</f>
        <v>email</v>
      </c>
      <c r="G2119" s="10" t="str">
        <f aca="false">INDEX('Site-uri'!$C$2:$C$20,MATCH(A2119,'Site-uri'!$A$2:$A$20,0))</f>
        <v>/</v>
      </c>
      <c r="H2119" s="10" t="str">
        <f aca="false">Config!$B$3</f>
        <v>2610_ff_lansare</v>
      </c>
      <c r="I2119" s="10" t="str">
        <f aca="false">D2119&amp;"_"&amp;Config!$B$4</f>
        <v>cald_general</v>
      </c>
      <c r="J2119" s="10" t="str">
        <f aca="false">"https://"&amp;B2119&amp;G2119&amp;"?utm_source="&amp;E2119&amp;"&amp;utm_medium="&amp;F2119&amp;"&amp;utm_campaign="&amp;H2119&amp;"&amp;utm_content="&amp;I2119</f>
        <v>https://ecbtax.com/?utm_source=newsletter&amp;utm_medium=email&amp;utm_campaign=2610_ff_lansare&amp;utm_content=cald_general</v>
      </c>
    </row>
    <row r="2120" customFormat="false" ht="15" hidden="false" customHeight="false" outlineLevel="0" collapsed="false">
      <c r="A2120" s="10" t="s">
        <v>97</v>
      </c>
      <c r="B2120" s="10" t="str">
        <f aca="false">INDEX('Site-uri'!$B$2:$B$20,MATCH(A2120,'Site-uri'!$A$2:$A$20,0))</f>
        <v>ecbtax.com</v>
      </c>
      <c r="C2120" s="10" t="s">
        <v>131</v>
      </c>
      <c r="D2120" s="10" t="s">
        <v>231</v>
      </c>
      <c r="E2120" s="10" t="str">
        <f aca="false">INDEX(Canale!$C$2:$C$30,MATCH(C2120,Canale!$A$2:$A$30,0))</f>
        <v>newsletter</v>
      </c>
      <c r="F2120" s="10" t="str">
        <f aca="false">INDEX(Canale!$D$2:$D$30,MATCH(C2120,Canale!$A$2:$A$30,0))</f>
        <v>email</v>
      </c>
      <c r="G2120" s="10" t="str">
        <f aca="false">INDEX('Site-uri'!$C$2:$C$20,MATCH(A2120,'Site-uri'!$A$2:$A$20,0))</f>
        <v>/</v>
      </c>
      <c r="H2120" s="10" t="str">
        <f aca="false">Config!$B$3</f>
        <v>2610_ff_lansare</v>
      </c>
      <c r="I2120" s="10" t="str">
        <f aca="false">D2120&amp;"_"&amp;Config!$B$4</f>
        <v>fierbinte_general</v>
      </c>
      <c r="J2120" s="10" t="str">
        <f aca="false">"https://"&amp;B2120&amp;G2120&amp;"?utm_source="&amp;E2120&amp;"&amp;utm_medium="&amp;F2120&amp;"&amp;utm_campaign="&amp;H2120&amp;"&amp;utm_content="&amp;I2120</f>
        <v>https://ecbtax.com/?utm_source=newsletter&amp;utm_medium=email&amp;utm_campaign=2610_ff_lansare&amp;utm_content=fierbinte_general</v>
      </c>
    </row>
    <row r="2121" customFormat="false" ht="15" hidden="false" customHeight="false" outlineLevel="0" collapsed="false">
      <c r="A2121" s="10" t="s">
        <v>97</v>
      </c>
      <c r="B2121" s="10" t="str">
        <f aca="false">INDEX('Site-uri'!$B$2:$B$20,MATCH(A2121,'Site-uri'!$A$2:$A$20,0))</f>
        <v>ecbtax.com</v>
      </c>
      <c r="C2121" s="10" t="s">
        <v>131</v>
      </c>
      <c r="D2121" s="10" t="s">
        <v>237</v>
      </c>
      <c r="E2121" s="10" t="str">
        <f aca="false">INDEX(Canale!$C$2:$C$30,MATCH(C2121,Canale!$A$2:$A$30,0))</f>
        <v>newsletter</v>
      </c>
      <c r="F2121" s="10" t="str">
        <f aca="false">INDEX(Canale!$D$2:$D$30,MATCH(C2121,Canale!$A$2:$A$30,0))</f>
        <v>email</v>
      </c>
      <c r="G2121" s="10" t="str">
        <f aca="false">INDEX('Site-uri'!$C$2:$C$20,MATCH(A2121,'Site-uri'!$A$2:$A$20,0))</f>
        <v>/</v>
      </c>
      <c r="H2121" s="10" t="str">
        <f aca="false">Config!$B$3</f>
        <v>2610_ff_lansare</v>
      </c>
      <c r="I2121" s="10" t="str">
        <f aca="false">D2121&amp;"_"&amp;Config!$B$4</f>
        <v>client_general</v>
      </c>
      <c r="J2121" s="10" t="str">
        <f aca="false">"https://"&amp;B2121&amp;G2121&amp;"?utm_source="&amp;E2121&amp;"&amp;utm_medium="&amp;F2121&amp;"&amp;utm_campaign="&amp;H2121&amp;"&amp;utm_content="&amp;I2121</f>
        <v>https://ecbtax.com/?utm_source=newsletter&amp;utm_medium=email&amp;utm_campaign=2610_ff_lansare&amp;utm_content=client_general</v>
      </c>
    </row>
    <row r="2122" customFormat="false" ht="15" hidden="false" customHeight="false" outlineLevel="0" collapsed="false">
      <c r="A2122" s="10" t="s">
        <v>97</v>
      </c>
      <c r="B2122" s="10" t="str">
        <f aca="false">INDEX('Site-uri'!$B$2:$B$20,MATCH(A2122,'Site-uri'!$A$2:$A$20,0))</f>
        <v>ecbtax.com</v>
      </c>
      <c r="C2122" s="10" t="s">
        <v>134</v>
      </c>
      <c r="D2122" s="10" t="s">
        <v>219</v>
      </c>
      <c r="E2122" s="10" t="str">
        <f aca="false">INDEX(Canale!$C$2:$C$30,MATCH(C2122,Canale!$A$2:$A$30,0))</f>
        <v>email_signature</v>
      </c>
      <c r="F2122" s="10" t="str">
        <f aca="false">INDEX(Canale!$D$2:$D$30,MATCH(C2122,Canale!$A$2:$A$30,0))</f>
        <v>email</v>
      </c>
      <c r="G2122" s="10" t="str">
        <f aca="false">INDEX('Site-uri'!$C$2:$C$20,MATCH(A2122,'Site-uri'!$A$2:$A$20,0))</f>
        <v>/</v>
      </c>
      <c r="H2122" s="10" t="str">
        <f aca="false">Config!$B$3</f>
        <v>2610_ff_lansare</v>
      </c>
      <c r="I2122" s="10" t="str">
        <f aca="false">D2122&amp;"_"&amp;Config!$B$4</f>
        <v>rece_general</v>
      </c>
      <c r="J2122" s="10" t="str">
        <f aca="false">"https://"&amp;B2122&amp;G2122&amp;"?utm_source="&amp;E2122&amp;"&amp;utm_medium="&amp;F2122&amp;"&amp;utm_campaign="&amp;H2122&amp;"&amp;utm_content="&amp;I2122</f>
        <v>https://ecbtax.com/?utm_source=email_signature&amp;utm_medium=email&amp;utm_campaign=2610_ff_lansare&amp;utm_content=rece_general</v>
      </c>
    </row>
    <row r="2123" customFormat="false" ht="15" hidden="false" customHeight="false" outlineLevel="0" collapsed="false">
      <c r="A2123" s="10" t="s">
        <v>97</v>
      </c>
      <c r="B2123" s="10" t="str">
        <f aca="false">INDEX('Site-uri'!$B$2:$B$20,MATCH(A2123,'Site-uri'!$A$2:$A$20,0))</f>
        <v>ecbtax.com</v>
      </c>
      <c r="C2123" s="10" t="s">
        <v>134</v>
      </c>
      <c r="D2123" s="10" t="s">
        <v>225</v>
      </c>
      <c r="E2123" s="10" t="str">
        <f aca="false">INDEX(Canale!$C$2:$C$30,MATCH(C2123,Canale!$A$2:$A$30,0))</f>
        <v>email_signature</v>
      </c>
      <c r="F2123" s="10" t="str">
        <f aca="false">INDEX(Canale!$D$2:$D$30,MATCH(C2123,Canale!$A$2:$A$30,0))</f>
        <v>email</v>
      </c>
      <c r="G2123" s="10" t="str">
        <f aca="false">INDEX('Site-uri'!$C$2:$C$20,MATCH(A2123,'Site-uri'!$A$2:$A$20,0))</f>
        <v>/</v>
      </c>
      <c r="H2123" s="10" t="str">
        <f aca="false">Config!$B$3</f>
        <v>2610_ff_lansare</v>
      </c>
      <c r="I2123" s="10" t="str">
        <f aca="false">D2123&amp;"_"&amp;Config!$B$4</f>
        <v>cald_general</v>
      </c>
      <c r="J2123" s="10" t="str">
        <f aca="false">"https://"&amp;B2123&amp;G2123&amp;"?utm_source="&amp;E2123&amp;"&amp;utm_medium="&amp;F2123&amp;"&amp;utm_campaign="&amp;H2123&amp;"&amp;utm_content="&amp;I2123</f>
        <v>https://ecbtax.com/?utm_source=email_signature&amp;utm_medium=email&amp;utm_campaign=2610_ff_lansare&amp;utm_content=cald_general</v>
      </c>
    </row>
    <row r="2124" customFormat="false" ht="15" hidden="false" customHeight="false" outlineLevel="0" collapsed="false">
      <c r="A2124" s="10" t="s">
        <v>97</v>
      </c>
      <c r="B2124" s="10" t="str">
        <f aca="false">INDEX('Site-uri'!$B$2:$B$20,MATCH(A2124,'Site-uri'!$A$2:$A$20,0))</f>
        <v>ecbtax.com</v>
      </c>
      <c r="C2124" s="10" t="s">
        <v>134</v>
      </c>
      <c r="D2124" s="10" t="s">
        <v>231</v>
      </c>
      <c r="E2124" s="10" t="str">
        <f aca="false">INDEX(Canale!$C$2:$C$30,MATCH(C2124,Canale!$A$2:$A$30,0))</f>
        <v>email_signature</v>
      </c>
      <c r="F2124" s="10" t="str">
        <f aca="false">INDEX(Canale!$D$2:$D$30,MATCH(C2124,Canale!$A$2:$A$30,0))</f>
        <v>email</v>
      </c>
      <c r="G2124" s="10" t="str">
        <f aca="false">INDEX('Site-uri'!$C$2:$C$20,MATCH(A2124,'Site-uri'!$A$2:$A$20,0))</f>
        <v>/</v>
      </c>
      <c r="H2124" s="10" t="str">
        <f aca="false">Config!$B$3</f>
        <v>2610_ff_lansare</v>
      </c>
      <c r="I2124" s="10" t="str">
        <f aca="false">D2124&amp;"_"&amp;Config!$B$4</f>
        <v>fierbinte_general</v>
      </c>
      <c r="J2124" s="10" t="str">
        <f aca="false">"https://"&amp;B2124&amp;G2124&amp;"?utm_source="&amp;E2124&amp;"&amp;utm_medium="&amp;F2124&amp;"&amp;utm_campaign="&amp;H2124&amp;"&amp;utm_content="&amp;I2124</f>
        <v>https://ecbtax.com/?utm_source=email_signature&amp;utm_medium=email&amp;utm_campaign=2610_ff_lansare&amp;utm_content=fierbinte_general</v>
      </c>
    </row>
    <row r="2125" customFormat="false" ht="15" hidden="false" customHeight="false" outlineLevel="0" collapsed="false">
      <c r="A2125" s="10" t="s">
        <v>97</v>
      </c>
      <c r="B2125" s="10" t="str">
        <f aca="false">INDEX('Site-uri'!$B$2:$B$20,MATCH(A2125,'Site-uri'!$A$2:$A$20,0))</f>
        <v>ecbtax.com</v>
      </c>
      <c r="C2125" s="10" t="s">
        <v>134</v>
      </c>
      <c r="D2125" s="10" t="s">
        <v>237</v>
      </c>
      <c r="E2125" s="10" t="str">
        <f aca="false">INDEX(Canale!$C$2:$C$30,MATCH(C2125,Canale!$A$2:$A$30,0))</f>
        <v>email_signature</v>
      </c>
      <c r="F2125" s="10" t="str">
        <f aca="false">INDEX(Canale!$D$2:$D$30,MATCH(C2125,Canale!$A$2:$A$30,0))</f>
        <v>email</v>
      </c>
      <c r="G2125" s="10" t="str">
        <f aca="false">INDEX('Site-uri'!$C$2:$C$20,MATCH(A2125,'Site-uri'!$A$2:$A$20,0))</f>
        <v>/</v>
      </c>
      <c r="H2125" s="10" t="str">
        <f aca="false">Config!$B$3</f>
        <v>2610_ff_lansare</v>
      </c>
      <c r="I2125" s="10" t="str">
        <f aca="false">D2125&amp;"_"&amp;Config!$B$4</f>
        <v>client_general</v>
      </c>
      <c r="J2125" s="10" t="str">
        <f aca="false">"https://"&amp;B2125&amp;G2125&amp;"?utm_source="&amp;E2125&amp;"&amp;utm_medium="&amp;F2125&amp;"&amp;utm_campaign="&amp;H2125&amp;"&amp;utm_content="&amp;I2125</f>
        <v>https://ecbtax.com/?utm_source=email_signature&amp;utm_medium=email&amp;utm_campaign=2610_ff_lansare&amp;utm_content=client_general</v>
      </c>
    </row>
    <row r="2126" customFormat="false" ht="15" hidden="false" customHeight="false" outlineLevel="0" collapsed="false">
      <c r="A2126" s="10" t="s">
        <v>97</v>
      </c>
      <c r="B2126" s="10" t="str">
        <f aca="false">INDEX('Site-uri'!$B$2:$B$20,MATCH(A2126,'Site-uri'!$A$2:$A$20,0))</f>
        <v>ecbtax.com</v>
      </c>
      <c r="C2126" s="10" t="s">
        <v>137</v>
      </c>
      <c r="D2126" s="10" t="s">
        <v>219</v>
      </c>
      <c r="E2126" s="10" t="str">
        <f aca="false">INDEX(Canale!$C$2:$C$30,MATCH(C2126,Canale!$A$2:$A$30,0))</f>
        <v>whatsapp</v>
      </c>
      <c r="F2126" s="10" t="str">
        <f aca="false">INDEX(Canale!$D$2:$D$30,MATCH(C2126,Canale!$A$2:$A$30,0))</f>
        <v>dm</v>
      </c>
      <c r="G2126" s="10" t="str">
        <f aca="false">INDEX('Site-uri'!$C$2:$C$20,MATCH(A2126,'Site-uri'!$A$2:$A$20,0))</f>
        <v>/</v>
      </c>
      <c r="H2126" s="10" t="str">
        <f aca="false">Config!$B$3</f>
        <v>2610_ff_lansare</v>
      </c>
      <c r="I2126" s="10" t="str">
        <f aca="false">D2126&amp;"_"&amp;Config!$B$4</f>
        <v>rece_general</v>
      </c>
      <c r="J2126" s="10" t="str">
        <f aca="false">"https://"&amp;B2126&amp;G2126&amp;"?utm_source="&amp;E2126&amp;"&amp;utm_medium="&amp;F2126&amp;"&amp;utm_campaign="&amp;H2126&amp;"&amp;utm_content="&amp;I2126</f>
        <v>https://ecbtax.com/?utm_source=whatsapp&amp;utm_medium=dm&amp;utm_campaign=2610_ff_lansare&amp;utm_content=rece_general</v>
      </c>
    </row>
    <row r="2127" customFormat="false" ht="15" hidden="false" customHeight="false" outlineLevel="0" collapsed="false">
      <c r="A2127" s="10" t="s">
        <v>97</v>
      </c>
      <c r="B2127" s="10" t="str">
        <f aca="false">INDEX('Site-uri'!$B$2:$B$20,MATCH(A2127,'Site-uri'!$A$2:$A$20,0))</f>
        <v>ecbtax.com</v>
      </c>
      <c r="C2127" s="10" t="s">
        <v>137</v>
      </c>
      <c r="D2127" s="10" t="s">
        <v>225</v>
      </c>
      <c r="E2127" s="10" t="str">
        <f aca="false">INDEX(Canale!$C$2:$C$30,MATCH(C2127,Canale!$A$2:$A$30,0))</f>
        <v>whatsapp</v>
      </c>
      <c r="F2127" s="10" t="str">
        <f aca="false">INDEX(Canale!$D$2:$D$30,MATCH(C2127,Canale!$A$2:$A$30,0))</f>
        <v>dm</v>
      </c>
      <c r="G2127" s="10" t="str">
        <f aca="false">INDEX('Site-uri'!$C$2:$C$20,MATCH(A2127,'Site-uri'!$A$2:$A$20,0))</f>
        <v>/</v>
      </c>
      <c r="H2127" s="10" t="str">
        <f aca="false">Config!$B$3</f>
        <v>2610_ff_lansare</v>
      </c>
      <c r="I2127" s="10" t="str">
        <f aca="false">D2127&amp;"_"&amp;Config!$B$4</f>
        <v>cald_general</v>
      </c>
      <c r="J2127" s="10" t="str">
        <f aca="false">"https://"&amp;B2127&amp;G2127&amp;"?utm_source="&amp;E2127&amp;"&amp;utm_medium="&amp;F2127&amp;"&amp;utm_campaign="&amp;H2127&amp;"&amp;utm_content="&amp;I2127</f>
        <v>https://ecbtax.com/?utm_source=whatsapp&amp;utm_medium=dm&amp;utm_campaign=2610_ff_lansare&amp;utm_content=cald_general</v>
      </c>
    </row>
    <row r="2128" customFormat="false" ht="15" hidden="false" customHeight="false" outlineLevel="0" collapsed="false">
      <c r="A2128" s="10" t="s">
        <v>97</v>
      </c>
      <c r="B2128" s="10" t="str">
        <f aca="false">INDEX('Site-uri'!$B$2:$B$20,MATCH(A2128,'Site-uri'!$A$2:$A$20,0))</f>
        <v>ecbtax.com</v>
      </c>
      <c r="C2128" s="10" t="s">
        <v>137</v>
      </c>
      <c r="D2128" s="10" t="s">
        <v>231</v>
      </c>
      <c r="E2128" s="10" t="str">
        <f aca="false">INDEX(Canale!$C$2:$C$30,MATCH(C2128,Canale!$A$2:$A$30,0))</f>
        <v>whatsapp</v>
      </c>
      <c r="F2128" s="10" t="str">
        <f aca="false">INDEX(Canale!$D$2:$D$30,MATCH(C2128,Canale!$A$2:$A$30,0))</f>
        <v>dm</v>
      </c>
      <c r="G2128" s="10" t="str">
        <f aca="false">INDEX('Site-uri'!$C$2:$C$20,MATCH(A2128,'Site-uri'!$A$2:$A$20,0))</f>
        <v>/</v>
      </c>
      <c r="H2128" s="10" t="str">
        <f aca="false">Config!$B$3</f>
        <v>2610_ff_lansare</v>
      </c>
      <c r="I2128" s="10" t="str">
        <f aca="false">D2128&amp;"_"&amp;Config!$B$4</f>
        <v>fierbinte_general</v>
      </c>
      <c r="J2128" s="10" t="str">
        <f aca="false">"https://"&amp;B2128&amp;G2128&amp;"?utm_source="&amp;E2128&amp;"&amp;utm_medium="&amp;F2128&amp;"&amp;utm_campaign="&amp;H2128&amp;"&amp;utm_content="&amp;I2128</f>
        <v>https://ecbtax.com/?utm_source=whatsapp&amp;utm_medium=dm&amp;utm_campaign=2610_ff_lansare&amp;utm_content=fierbinte_general</v>
      </c>
    </row>
    <row r="2129" customFormat="false" ht="15" hidden="false" customHeight="false" outlineLevel="0" collapsed="false">
      <c r="A2129" s="10" t="s">
        <v>97</v>
      </c>
      <c r="B2129" s="10" t="str">
        <f aca="false">INDEX('Site-uri'!$B$2:$B$20,MATCH(A2129,'Site-uri'!$A$2:$A$20,0))</f>
        <v>ecbtax.com</v>
      </c>
      <c r="C2129" s="10" t="s">
        <v>137</v>
      </c>
      <c r="D2129" s="10" t="s">
        <v>237</v>
      </c>
      <c r="E2129" s="10" t="str">
        <f aca="false">INDEX(Canale!$C$2:$C$30,MATCH(C2129,Canale!$A$2:$A$30,0))</f>
        <v>whatsapp</v>
      </c>
      <c r="F2129" s="10" t="str">
        <f aca="false">INDEX(Canale!$D$2:$D$30,MATCH(C2129,Canale!$A$2:$A$30,0))</f>
        <v>dm</v>
      </c>
      <c r="G2129" s="10" t="str">
        <f aca="false">INDEX('Site-uri'!$C$2:$C$20,MATCH(A2129,'Site-uri'!$A$2:$A$20,0))</f>
        <v>/</v>
      </c>
      <c r="H2129" s="10" t="str">
        <f aca="false">Config!$B$3</f>
        <v>2610_ff_lansare</v>
      </c>
      <c r="I2129" s="10" t="str">
        <f aca="false">D2129&amp;"_"&amp;Config!$B$4</f>
        <v>client_general</v>
      </c>
      <c r="J2129" s="10" t="str">
        <f aca="false">"https://"&amp;B2129&amp;G2129&amp;"?utm_source="&amp;E2129&amp;"&amp;utm_medium="&amp;F2129&amp;"&amp;utm_campaign="&amp;H2129&amp;"&amp;utm_content="&amp;I2129</f>
        <v>https://ecbtax.com/?utm_source=whatsapp&amp;utm_medium=dm&amp;utm_campaign=2610_ff_lansare&amp;utm_content=client_general</v>
      </c>
    </row>
    <row r="2130" customFormat="false" ht="15" hidden="false" customHeight="false" outlineLevel="0" collapsed="false">
      <c r="A2130" s="10" t="s">
        <v>97</v>
      </c>
      <c r="B2130" s="10" t="str">
        <f aca="false">INDEX('Site-uri'!$B$2:$B$20,MATCH(A2130,'Site-uri'!$A$2:$A$20,0))</f>
        <v>ecbtax.com</v>
      </c>
      <c r="C2130" s="10" t="s">
        <v>141</v>
      </c>
      <c r="D2130" s="10" t="s">
        <v>219</v>
      </c>
      <c r="E2130" s="10" t="str">
        <f aca="false">INDEX(Canale!$C$2:$C$30,MATCH(C2130,Canale!$A$2:$A$30,0))</f>
        <v>google</v>
      </c>
      <c r="F2130" s="10" t="str">
        <f aca="false">INDEX(Canale!$D$2:$D$30,MATCH(C2130,Canale!$A$2:$A$30,0))</f>
        <v>cpc</v>
      </c>
      <c r="G2130" s="10" t="str">
        <f aca="false">INDEX('Site-uri'!$C$2:$C$20,MATCH(A2130,'Site-uri'!$A$2:$A$20,0))</f>
        <v>/</v>
      </c>
      <c r="H2130" s="10" t="str">
        <f aca="false">Config!$B$3</f>
        <v>2610_ff_lansare</v>
      </c>
      <c r="I2130" s="10" t="str">
        <f aca="false">D2130&amp;"_"&amp;Config!$B$4</f>
        <v>rece_general</v>
      </c>
      <c r="J2130" s="10" t="str">
        <f aca="false">"https://"&amp;B2130&amp;G2130&amp;"?utm_source="&amp;E2130&amp;"&amp;utm_medium="&amp;F2130&amp;"&amp;utm_campaign="&amp;H2130&amp;"&amp;utm_content="&amp;I2130</f>
        <v>https://ecbtax.com/?utm_source=google&amp;utm_medium=cpc&amp;utm_campaign=2610_ff_lansare&amp;utm_content=rece_general</v>
      </c>
    </row>
    <row r="2131" customFormat="false" ht="15" hidden="false" customHeight="false" outlineLevel="0" collapsed="false">
      <c r="A2131" s="10" t="s">
        <v>97</v>
      </c>
      <c r="B2131" s="10" t="str">
        <f aca="false">INDEX('Site-uri'!$B$2:$B$20,MATCH(A2131,'Site-uri'!$A$2:$A$20,0))</f>
        <v>ecbtax.com</v>
      </c>
      <c r="C2131" s="10" t="s">
        <v>141</v>
      </c>
      <c r="D2131" s="10" t="s">
        <v>225</v>
      </c>
      <c r="E2131" s="10" t="str">
        <f aca="false">INDEX(Canale!$C$2:$C$30,MATCH(C2131,Canale!$A$2:$A$30,0))</f>
        <v>google</v>
      </c>
      <c r="F2131" s="10" t="str">
        <f aca="false">INDEX(Canale!$D$2:$D$30,MATCH(C2131,Canale!$A$2:$A$30,0))</f>
        <v>cpc</v>
      </c>
      <c r="G2131" s="10" t="str">
        <f aca="false">INDEX('Site-uri'!$C$2:$C$20,MATCH(A2131,'Site-uri'!$A$2:$A$20,0))</f>
        <v>/</v>
      </c>
      <c r="H2131" s="10" t="str">
        <f aca="false">Config!$B$3</f>
        <v>2610_ff_lansare</v>
      </c>
      <c r="I2131" s="10" t="str">
        <f aca="false">D2131&amp;"_"&amp;Config!$B$4</f>
        <v>cald_general</v>
      </c>
      <c r="J2131" s="10" t="str">
        <f aca="false">"https://"&amp;B2131&amp;G2131&amp;"?utm_source="&amp;E2131&amp;"&amp;utm_medium="&amp;F2131&amp;"&amp;utm_campaign="&amp;H2131&amp;"&amp;utm_content="&amp;I2131</f>
        <v>https://ecbtax.com/?utm_source=google&amp;utm_medium=cpc&amp;utm_campaign=2610_ff_lansare&amp;utm_content=cald_general</v>
      </c>
    </row>
    <row r="2132" customFormat="false" ht="15" hidden="false" customHeight="false" outlineLevel="0" collapsed="false">
      <c r="A2132" s="10" t="s">
        <v>97</v>
      </c>
      <c r="B2132" s="10" t="str">
        <f aca="false">INDEX('Site-uri'!$B$2:$B$20,MATCH(A2132,'Site-uri'!$A$2:$A$20,0))</f>
        <v>ecbtax.com</v>
      </c>
      <c r="C2132" s="10" t="s">
        <v>141</v>
      </c>
      <c r="D2132" s="10" t="s">
        <v>231</v>
      </c>
      <c r="E2132" s="10" t="str">
        <f aca="false">INDEX(Canale!$C$2:$C$30,MATCH(C2132,Canale!$A$2:$A$30,0))</f>
        <v>google</v>
      </c>
      <c r="F2132" s="10" t="str">
        <f aca="false">INDEX(Canale!$D$2:$D$30,MATCH(C2132,Canale!$A$2:$A$30,0))</f>
        <v>cpc</v>
      </c>
      <c r="G2132" s="10" t="str">
        <f aca="false">INDEX('Site-uri'!$C$2:$C$20,MATCH(A2132,'Site-uri'!$A$2:$A$20,0))</f>
        <v>/</v>
      </c>
      <c r="H2132" s="10" t="str">
        <f aca="false">Config!$B$3</f>
        <v>2610_ff_lansare</v>
      </c>
      <c r="I2132" s="10" t="str">
        <f aca="false">D2132&amp;"_"&amp;Config!$B$4</f>
        <v>fierbinte_general</v>
      </c>
      <c r="J2132" s="10" t="str">
        <f aca="false">"https://"&amp;B2132&amp;G2132&amp;"?utm_source="&amp;E2132&amp;"&amp;utm_medium="&amp;F2132&amp;"&amp;utm_campaign="&amp;H2132&amp;"&amp;utm_content="&amp;I2132</f>
        <v>https://ecbtax.com/?utm_source=google&amp;utm_medium=cpc&amp;utm_campaign=2610_ff_lansare&amp;utm_content=fierbinte_general</v>
      </c>
    </row>
    <row r="2133" customFormat="false" ht="15" hidden="false" customHeight="false" outlineLevel="0" collapsed="false">
      <c r="A2133" s="10" t="s">
        <v>97</v>
      </c>
      <c r="B2133" s="10" t="str">
        <f aca="false">INDEX('Site-uri'!$B$2:$B$20,MATCH(A2133,'Site-uri'!$A$2:$A$20,0))</f>
        <v>ecbtax.com</v>
      </c>
      <c r="C2133" s="10" t="s">
        <v>141</v>
      </c>
      <c r="D2133" s="10" t="s">
        <v>237</v>
      </c>
      <c r="E2133" s="10" t="str">
        <f aca="false">INDEX(Canale!$C$2:$C$30,MATCH(C2133,Canale!$A$2:$A$30,0))</f>
        <v>google</v>
      </c>
      <c r="F2133" s="10" t="str">
        <f aca="false">INDEX(Canale!$D$2:$D$30,MATCH(C2133,Canale!$A$2:$A$30,0))</f>
        <v>cpc</v>
      </c>
      <c r="G2133" s="10" t="str">
        <f aca="false">INDEX('Site-uri'!$C$2:$C$20,MATCH(A2133,'Site-uri'!$A$2:$A$20,0))</f>
        <v>/</v>
      </c>
      <c r="H2133" s="10" t="str">
        <f aca="false">Config!$B$3</f>
        <v>2610_ff_lansare</v>
      </c>
      <c r="I2133" s="10" t="str">
        <f aca="false">D2133&amp;"_"&amp;Config!$B$4</f>
        <v>client_general</v>
      </c>
      <c r="J2133" s="10" t="str">
        <f aca="false">"https://"&amp;B2133&amp;G2133&amp;"?utm_source="&amp;E2133&amp;"&amp;utm_medium="&amp;F2133&amp;"&amp;utm_campaign="&amp;H2133&amp;"&amp;utm_content="&amp;I2133</f>
        <v>https://ecbtax.com/?utm_source=google&amp;utm_medium=cpc&amp;utm_campaign=2610_ff_lansare&amp;utm_content=client_general</v>
      </c>
    </row>
    <row r="2134" customFormat="false" ht="15" hidden="false" customHeight="false" outlineLevel="0" collapsed="false">
      <c r="A2134" s="10" t="s">
        <v>97</v>
      </c>
      <c r="B2134" s="10" t="str">
        <f aca="false">INDEX('Site-uri'!$B$2:$B$20,MATCH(A2134,'Site-uri'!$A$2:$A$20,0))</f>
        <v>ecbtax.com</v>
      </c>
      <c r="C2134" s="10" t="s">
        <v>146</v>
      </c>
      <c r="D2134" s="10" t="s">
        <v>219</v>
      </c>
      <c r="E2134" s="10" t="str">
        <f aca="false">INDEX(Canale!$C$2:$C$30,MATCH(C2134,Canale!$A$2:$A$30,0))</f>
        <v>bing</v>
      </c>
      <c r="F2134" s="10" t="str">
        <f aca="false">INDEX(Canale!$D$2:$D$30,MATCH(C2134,Canale!$A$2:$A$30,0))</f>
        <v>cpc</v>
      </c>
      <c r="G2134" s="10" t="str">
        <f aca="false">INDEX('Site-uri'!$C$2:$C$20,MATCH(A2134,'Site-uri'!$A$2:$A$20,0))</f>
        <v>/</v>
      </c>
      <c r="H2134" s="10" t="str">
        <f aca="false">Config!$B$3</f>
        <v>2610_ff_lansare</v>
      </c>
      <c r="I2134" s="10" t="str">
        <f aca="false">D2134&amp;"_"&amp;Config!$B$4</f>
        <v>rece_general</v>
      </c>
      <c r="J2134" s="10" t="str">
        <f aca="false">"https://"&amp;B2134&amp;G2134&amp;"?utm_source="&amp;E2134&amp;"&amp;utm_medium="&amp;F2134&amp;"&amp;utm_campaign="&amp;H2134&amp;"&amp;utm_content="&amp;I2134</f>
        <v>https://ecbtax.com/?utm_source=bing&amp;utm_medium=cpc&amp;utm_campaign=2610_ff_lansare&amp;utm_content=rece_general</v>
      </c>
    </row>
    <row r="2135" customFormat="false" ht="15" hidden="false" customHeight="false" outlineLevel="0" collapsed="false">
      <c r="A2135" s="10" t="s">
        <v>97</v>
      </c>
      <c r="B2135" s="10" t="str">
        <f aca="false">INDEX('Site-uri'!$B$2:$B$20,MATCH(A2135,'Site-uri'!$A$2:$A$20,0))</f>
        <v>ecbtax.com</v>
      </c>
      <c r="C2135" s="10" t="s">
        <v>146</v>
      </c>
      <c r="D2135" s="10" t="s">
        <v>225</v>
      </c>
      <c r="E2135" s="10" t="str">
        <f aca="false">INDEX(Canale!$C$2:$C$30,MATCH(C2135,Canale!$A$2:$A$30,0))</f>
        <v>bing</v>
      </c>
      <c r="F2135" s="10" t="str">
        <f aca="false">INDEX(Canale!$D$2:$D$30,MATCH(C2135,Canale!$A$2:$A$30,0))</f>
        <v>cpc</v>
      </c>
      <c r="G2135" s="10" t="str">
        <f aca="false">INDEX('Site-uri'!$C$2:$C$20,MATCH(A2135,'Site-uri'!$A$2:$A$20,0))</f>
        <v>/</v>
      </c>
      <c r="H2135" s="10" t="str">
        <f aca="false">Config!$B$3</f>
        <v>2610_ff_lansare</v>
      </c>
      <c r="I2135" s="10" t="str">
        <f aca="false">D2135&amp;"_"&amp;Config!$B$4</f>
        <v>cald_general</v>
      </c>
      <c r="J2135" s="10" t="str">
        <f aca="false">"https://"&amp;B2135&amp;G2135&amp;"?utm_source="&amp;E2135&amp;"&amp;utm_medium="&amp;F2135&amp;"&amp;utm_campaign="&amp;H2135&amp;"&amp;utm_content="&amp;I2135</f>
        <v>https://ecbtax.com/?utm_source=bing&amp;utm_medium=cpc&amp;utm_campaign=2610_ff_lansare&amp;utm_content=cald_general</v>
      </c>
    </row>
    <row r="2136" customFormat="false" ht="15" hidden="false" customHeight="false" outlineLevel="0" collapsed="false">
      <c r="A2136" s="10" t="s">
        <v>97</v>
      </c>
      <c r="B2136" s="10" t="str">
        <f aca="false">INDEX('Site-uri'!$B$2:$B$20,MATCH(A2136,'Site-uri'!$A$2:$A$20,0))</f>
        <v>ecbtax.com</v>
      </c>
      <c r="C2136" s="10" t="s">
        <v>146</v>
      </c>
      <c r="D2136" s="10" t="s">
        <v>231</v>
      </c>
      <c r="E2136" s="10" t="str">
        <f aca="false">INDEX(Canale!$C$2:$C$30,MATCH(C2136,Canale!$A$2:$A$30,0))</f>
        <v>bing</v>
      </c>
      <c r="F2136" s="10" t="str">
        <f aca="false">INDEX(Canale!$D$2:$D$30,MATCH(C2136,Canale!$A$2:$A$30,0))</f>
        <v>cpc</v>
      </c>
      <c r="G2136" s="10" t="str">
        <f aca="false">INDEX('Site-uri'!$C$2:$C$20,MATCH(A2136,'Site-uri'!$A$2:$A$20,0))</f>
        <v>/</v>
      </c>
      <c r="H2136" s="10" t="str">
        <f aca="false">Config!$B$3</f>
        <v>2610_ff_lansare</v>
      </c>
      <c r="I2136" s="10" t="str">
        <f aca="false">D2136&amp;"_"&amp;Config!$B$4</f>
        <v>fierbinte_general</v>
      </c>
      <c r="J2136" s="10" t="str">
        <f aca="false">"https://"&amp;B2136&amp;G2136&amp;"?utm_source="&amp;E2136&amp;"&amp;utm_medium="&amp;F2136&amp;"&amp;utm_campaign="&amp;H2136&amp;"&amp;utm_content="&amp;I2136</f>
        <v>https://ecbtax.com/?utm_source=bing&amp;utm_medium=cpc&amp;utm_campaign=2610_ff_lansare&amp;utm_content=fierbinte_general</v>
      </c>
    </row>
    <row r="2137" customFormat="false" ht="15" hidden="false" customHeight="false" outlineLevel="0" collapsed="false">
      <c r="A2137" s="10" t="s">
        <v>97</v>
      </c>
      <c r="B2137" s="10" t="str">
        <f aca="false">INDEX('Site-uri'!$B$2:$B$20,MATCH(A2137,'Site-uri'!$A$2:$A$20,0))</f>
        <v>ecbtax.com</v>
      </c>
      <c r="C2137" s="10" t="s">
        <v>146</v>
      </c>
      <c r="D2137" s="10" t="s">
        <v>237</v>
      </c>
      <c r="E2137" s="10" t="str">
        <f aca="false">INDEX(Canale!$C$2:$C$30,MATCH(C2137,Canale!$A$2:$A$30,0))</f>
        <v>bing</v>
      </c>
      <c r="F2137" s="10" t="str">
        <f aca="false">INDEX(Canale!$D$2:$D$30,MATCH(C2137,Canale!$A$2:$A$30,0))</f>
        <v>cpc</v>
      </c>
      <c r="G2137" s="10" t="str">
        <f aca="false">INDEX('Site-uri'!$C$2:$C$20,MATCH(A2137,'Site-uri'!$A$2:$A$20,0))</f>
        <v>/</v>
      </c>
      <c r="H2137" s="10" t="str">
        <f aca="false">Config!$B$3</f>
        <v>2610_ff_lansare</v>
      </c>
      <c r="I2137" s="10" t="str">
        <f aca="false">D2137&amp;"_"&amp;Config!$B$4</f>
        <v>client_general</v>
      </c>
      <c r="J2137" s="10" t="str">
        <f aca="false">"https://"&amp;B2137&amp;G2137&amp;"?utm_source="&amp;E2137&amp;"&amp;utm_medium="&amp;F2137&amp;"&amp;utm_campaign="&amp;H2137&amp;"&amp;utm_content="&amp;I2137</f>
        <v>https://ecbtax.com/?utm_source=bing&amp;utm_medium=cpc&amp;utm_campaign=2610_ff_lansare&amp;utm_content=client_general</v>
      </c>
    </row>
    <row r="2138" customFormat="false" ht="15" hidden="false" customHeight="false" outlineLevel="0" collapsed="false">
      <c r="A2138" s="10" t="s">
        <v>97</v>
      </c>
      <c r="B2138" s="10" t="str">
        <f aca="false">INDEX('Site-uri'!$B$2:$B$20,MATCH(A2138,'Site-uri'!$A$2:$A$20,0))</f>
        <v>ecbtax.com</v>
      </c>
      <c r="C2138" s="10" t="s">
        <v>149</v>
      </c>
      <c r="D2138" s="10" t="s">
        <v>219</v>
      </c>
      <c r="E2138" s="10" t="str">
        <f aca="false">INDEX(Canale!$C$2:$C$30,MATCH(C2138,Canale!$A$2:$A$30,0))</f>
        <v>facebook</v>
      </c>
      <c r="F2138" s="10" t="str">
        <f aca="false">INDEX(Canale!$D$2:$D$30,MATCH(C2138,Canale!$A$2:$A$30,0))</f>
        <v>social</v>
      </c>
      <c r="G2138" s="10" t="str">
        <f aca="false">INDEX('Site-uri'!$C$2:$C$20,MATCH(A2138,'Site-uri'!$A$2:$A$20,0))</f>
        <v>/</v>
      </c>
      <c r="H2138" s="10" t="str">
        <f aca="false">Config!$B$3</f>
        <v>2610_ff_lansare</v>
      </c>
      <c r="I2138" s="10" t="str">
        <f aca="false">D2138&amp;"_"&amp;Config!$B$4</f>
        <v>rece_general</v>
      </c>
      <c r="J2138" s="10" t="str">
        <f aca="false">"https://"&amp;B2138&amp;G2138&amp;"?utm_source="&amp;E2138&amp;"&amp;utm_medium="&amp;F2138&amp;"&amp;utm_campaign="&amp;H2138&amp;"&amp;utm_content="&amp;I2138</f>
        <v>https://ecbtax.com/?utm_source=facebook&amp;utm_medium=social&amp;utm_campaign=2610_ff_lansare&amp;utm_content=rece_general</v>
      </c>
    </row>
    <row r="2139" customFormat="false" ht="15" hidden="false" customHeight="false" outlineLevel="0" collapsed="false">
      <c r="A2139" s="10" t="s">
        <v>97</v>
      </c>
      <c r="B2139" s="10" t="str">
        <f aca="false">INDEX('Site-uri'!$B$2:$B$20,MATCH(A2139,'Site-uri'!$A$2:$A$20,0))</f>
        <v>ecbtax.com</v>
      </c>
      <c r="C2139" s="10" t="s">
        <v>149</v>
      </c>
      <c r="D2139" s="10" t="s">
        <v>225</v>
      </c>
      <c r="E2139" s="10" t="str">
        <f aca="false">INDEX(Canale!$C$2:$C$30,MATCH(C2139,Canale!$A$2:$A$30,0))</f>
        <v>facebook</v>
      </c>
      <c r="F2139" s="10" t="str">
        <f aca="false">INDEX(Canale!$D$2:$D$30,MATCH(C2139,Canale!$A$2:$A$30,0))</f>
        <v>social</v>
      </c>
      <c r="G2139" s="10" t="str">
        <f aca="false">INDEX('Site-uri'!$C$2:$C$20,MATCH(A2139,'Site-uri'!$A$2:$A$20,0))</f>
        <v>/</v>
      </c>
      <c r="H2139" s="10" t="str">
        <f aca="false">Config!$B$3</f>
        <v>2610_ff_lansare</v>
      </c>
      <c r="I2139" s="10" t="str">
        <f aca="false">D2139&amp;"_"&amp;Config!$B$4</f>
        <v>cald_general</v>
      </c>
      <c r="J2139" s="10" t="str">
        <f aca="false">"https://"&amp;B2139&amp;G2139&amp;"?utm_source="&amp;E2139&amp;"&amp;utm_medium="&amp;F2139&amp;"&amp;utm_campaign="&amp;H2139&amp;"&amp;utm_content="&amp;I2139</f>
        <v>https://ecbtax.com/?utm_source=facebook&amp;utm_medium=social&amp;utm_campaign=2610_ff_lansare&amp;utm_content=cald_general</v>
      </c>
    </row>
    <row r="2140" customFormat="false" ht="15" hidden="false" customHeight="false" outlineLevel="0" collapsed="false">
      <c r="A2140" s="10" t="s">
        <v>97</v>
      </c>
      <c r="B2140" s="10" t="str">
        <f aca="false">INDEX('Site-uri'!$B$2:$B$20,MATCH(A2140,'Site-uri'!$A$2:$A$20,0))</f>
        <v>ecbtax.com</v>
      </c>
      <c r="C2140" s="10" t="s">
        <v>149</v>
      </c>
      <c r="D2140" s="10" t="s">
        <v>231</v>
      </c>
      <c r="E2140" s="10" t="str">
        <f aca="false">INDEX(Canale!$C$2:$C$30,MATCH(C2140,Canale!$A$2:$A$30,0))</f>
        <v>facebook</v>
      </c>
      <c r="F2140" s="10" t="str">
        <f aca="false">INDEX(Canale!$D$2:$D$30,MATCH(C2140,Canale!$A$2:$A$30,0))</f>
        <v>social</v>
      </c>
      <c r="G2140" s="10" t="str">
        <f aca="false">INDEX('Site-uri'!$C$2:$C$20,MATCH(A2140,'Site-uri'!$A$2:$A$20,0))</f>
        <v>/</v>
      </c>
      <c r="H2140" s="10" t="str">
        <f aca="false">Config!$B$3</f>
        <v>2610_ff_lansare</v>
      </c>
      <c r="I2140" s="10" t="str">
        <f aca="false">D2140&amp;"_"&amp;Config!$B$4</f>
        <v>fierbinte_general</v>
      </c>
      <c r="J2140" s="10" t="str">
        <f aca="false">"https://"&amp;B2140&amp;G2140&amp;"?utm_source="&amp;E2140&amp;"&amp;utm_medium="&amp;F2140&amp;"&amp;utm_campaign="&amp;H2140&amp;"&amp;utm_content="&amp;I2140</f>
        <v>https://ecbtax.com/?utm_source=facebook&amp;utm_medium=social&amp;utm_campaign=2610_ff_lansare&amp;utm_content=fierbinte_general</v>
      </c>
    </row>
    <row r="2141" customFormat="false" ht="15" hidden="false" customHeight="false" outlineLevel="0" collapsed="false">
      <c r="A2141" s="10" t="s">
        <v>97</v>
      </c>
      <c r="B2141" s="10" t="str">
        <f aca="false">INDEX('Site-uri'!$B$2:$B$20,MATCH(A2141,'Site-uri'!$A$2:$A$20,0))</f>
        <v>ecbtax.com</v>
      </c>
      <c r="C2141" s="10" t="s">
        <v>149</v>
      </c>
      <c r="D2141" s="10" t="s">
        <v>237</v>
      </c>
      <c r="E2141" s="10" t="str">
        <f aca="false">INDEX(Canale!$C$2:$C$30,MATCH(C2141,Canale!$A$2:$A$30,0))</f>
        <v>facebook</v>
      </c>
      <c r="F2141" s="10" t="str">
        <f aca="false">INDEX(Canale!$D$2:$D$30,MATCH(C2141,Canale!$A$2:$A$30,0))</f>
        <v>social</v>
      </c>
      <c r="G2141" s="10" t="str">
        <f aca="false">INDEX('Site-uri'!$C$2:$C$20,MATCH(A2141,'Site-uri'!$A$2:$A$20,0))</f>
        <v>/</v>
      </c>
      <c r="H2141" s="10" t="str">
        <f aca="false">Config!$B$3</f>
        <v>2610_ff_lansare</v>
      </c>
      <c r="I2141" s="10" t="str">
        <f aca="false">D2141&amp;"_"&amp;Config!$B$4</f>
        <v>client_general</v>
      </c>
      <c r="J2141" s="10" t="str">
        <f aca="false">"https://"&amp;B2141&amp;G2141&amp;"?utm_source="&amp;E2141&amp;"&amp;utm_medium="&amp;F2141&amp;"&amp;utm_campaign="&amp;H2141&amp;"&amp;utm_content="&amp;I2141</f>
        <v>https://ecbtax.com/?utm_source=facebook&amp;utm_medium=social&amp;utm_campaign=2610_ff_lansare&amp;utm_content=client_general</v>
      </c>
    </row>
    <row r="2142" customFormat="false" ht="15" hidden="false" customHeight="false" outlineLevel="0" collapsed="false">
      <c r="A2142" s="10" t="s">
        <v>97</v>
      </c>
      <c r="B2142" s="10" t="str">
        <f aca="false">INDEX('Site-uri'!$B$2:$B$20,MATCH(A2142,'Site-uri'!$A$2:$A$20,0))</f>
        <v>ecbtax.com</v>
      </c>
      <c r="C2142" s="10" t="s">
        <v>153</v>
      </c>
      <c r="D2142" s="10" t="s">
        <v>219</v>
      </c>
      <c r="E2142" s="10" t="str">
        <f aca="false">INDEX(Canale!$C$2:$C$30,MATCH(C2142,Canale!$A$2:$A$30,0))</f>
        <v>x</v>
      </c>
      <c r="F2142" s="10" t="str">
        <f aca="false">INDEX(Canale!$D$2:$D$30,MATCH(C2142,Canale!$A$2:$A$30,0))</f>
        <v>social</v>
      </c>
      <c r="G2142" s="10" t="str">
        <f aca="false">INDEX('Site-uri'!$C$2:$C$20,MATCH(A2142,'Site-uri'!$A$2:$A$20,0))</f>
        <v>/</v>
      </c>
      <c r="H2142" s="10" t="str">
        <f aca="false">Config!$B$3</f>
        <v>2610_ff_lansare</v>
      </c>
      <c r="I2142" s="10" t="str">
        <f aca="false">D2142&amp;"_"&amp;Config!$B$4</f>
        <v>rece_general</v>
      </c>
      <c r="J2142" s="10" t="str">
        <f aca="false">"https://"&amp;B2142&amp;G2142&amp;"?utm_source="&amp;E2142&amp;"&amp;utm_medium="&amp;F2142&amp;"&amp;utm_campaign="&amp;H2142&amp;"&amp;utm_content="&amp;I2142</f>
        <v>https://ecbtax.com/?utm_source=x&amp;utm_medium=social&amp;utm_campaign=2610_ff_lansare&amp;utm_content=rece_general</v>
      </c>
    </row>
    <row r="2143" customFormat="false" ht="15" hidden="false" customHeight="false" outlineLevel="0" collapsed="false">
      <c r="A2143" s="10" t="s">
        <v>97</v>
      </c>
      <c r="B2143" s="10" t="str">
        <f aca="false">INDEX('Site-uri'!$B$2:$B$20,MATCH(A2143,'Site-uri'!$A$2:$A$20,0))</f>
        <v>ecbtax.com</v>
      </c>
      <c r="C2143" s="10" t="s">
        <v>153</v>
      </c>
      <c r="D2143" s="10" t="s">
        <v>225</v>
      </c>
      <c r="E2143" s="10" t="str">
        <f aca="false">INDEX(Canale!$C$2:$C$30,MATCH(C2143,Canale!$A$2:$A$30,0))</f>
        <v>x</v>
      </c>
      <c r="F2143" s="10" t="str">
        <f aca="false">INDEX(Canale!$D$2:$D$30,MATCH(C2143,Canale!$A$2:$A$30,0))</f>
        <v>social</v>
      </c>
      <c r="G2143" s="10" t="str">
        <f aca="false">INDEX('Site-uri'!$C$2:$C$20,MATCH(A2143,'Site-uri'!$A$2:$A$20,0))</f>
        <v>/</v>
      </c>
      <c r="H2143" s="10" t="str">
        <f aca="false">Config!$B$3</f>
        <v>2610_ff_lansare</v>
      </c>
      <c r="I2143" s="10" t="str">
        <f aca="false">D2143&amp;"_"&amp;Config!$B$4</f>
        <v>cald_general</v>
      </c>
      <c r="J2143" s="10" t="str">
        <f aca="false">"https://"&amp;B2143&amp;G2143&amp;"?utm_source="&amp;E2143&amp;"&amp;utm_medium="&amp;F2143&amp;"&amp;utm_campaign="&amp;H2143&amp;"&amp;utm_content="&amp;I2143</f>
        <v>https://ecbtax.com/?utm_source=x&amp;utm_medium=social&amp;utm_campaign=2610_ff_lansare&amp;utm_content=cald_general</v>
      </c>
    </row>
    <row r="2144" customFormat="false" ht="15" hidden="false" customHeight="false" outlineLevel="0" collapsed="false">
      <c r="A2144" s="10" t="s">
        <v>97</v>
      </c>
      <c r="B2144" s="10" t="str">
        <f aca="false">INDEX('Site-uri'!$B$2:$B$20,MATCH(A2144,'Site-uri'!$A$2:$A$20,0))</f>
        <v>ecbtax.com</v>
      </c>
      <c r="C2144" s="10" t="s">
        <v>153</v>
      </c>
      <c r="D2144" s="10" t="s">
        <v>231</v>
      </c>
      <c r="E2144" s="10" t="str">
        <f aca="false">INDEX(Canale!$C$2:$C$30,MATCH(C2144,Canale!$A$2:$A$30,0))</f>
        <v>x</v>
      </c>
      <c r="F2144" s="10" t="str">
        <f aca="false">INDEX(Canale!$D$2:$D$30,MATCH(C2144,Canale!$A$2:$A$30,0))</f>
        <v>social</v>
      </c>
      <c r="G2144" s="10" t="str">
        <f aca="false">INDEX('Site-uri'!$C$2:$C$20,MATCH(A2144,'Site-uri'!$A$2:$A$20,0))</f>
        <v>/</v>
      </c>
      <c r="H2144" s="10" t="str">
        <f aca="false">Config!$B$3</f>
        <v>2610_ff_lansare</v>
      </c>
      <c r="I2144" s="10" t="str">
        <f aca="false">D2144&amp;"_"&amp;Config!$B$4</f>
        <v>fierbinte_general</v>
      </c>
      <c r="J2144" s="10" t="str">
        <f aca="false">"https://"&amp;B2144&amp;G2144&amp;"?utm_source="&amp;E2144&amp;"&amp;utm_medium="&amp;F2144&amp;"&amp;utm_campaign="&amp;H2144&amp;"&amp;utm_content="&amp;I2144</f>
        <v>https://ecbtax.com/?utm_source=x&amp;utm_medium=social&amp;utm_campaign=2610_ff_lansare&amp;utm_content=fierbinte_general</v>
      </c>
    </row>
    <row r="2145" customFormat="false" ht="15" hidden="false" customHeight="false" outlineLevel="0" collapsed="false">
      <c r="A2145" s="10" t="s">
        <v>97</v>
      </c>
      <c r="B2145" s="10" t="str">
        <f aca="false">INDEX('Site-uri'!$B$2:$B$20,MATCH(A2145,'Site-uri'!$A$2:$A$20,0))</f>
        <v>ecbtax.com</v>
      </c>
      <c r="C2145" s="10" t="s">
        <v>153</v>
      </c>
      <c r="D2145" s="10" t="s">
        <v>237</v>
      </c>
      <c r="E2145" s="10" t="str">
        <f aca="false">INDEX(Canale!$C$2:$C$30,MATCH(C2145,Canale!$A$2:$A$30,0))</f>
        <v>x</v>
      </c>
      <c r="F2145" s="10" t="str">
        <f aca="false">INDEX(Canale!$D$2:$D$30,MATCH(C2145,Canale!$A$2:$A$30,0))</f>
        <v>social</v>
      </c>
      <c r="G2145" s="10" t="str">
        <f aca="false">INDEX('Site-uri'!$C$2:$C$20,MATCH(A2145,'Site-uri'!$A$2:$A$20,0))</f>
        <v>/</v>
      </c>
      <c r="H2145" s="10" t="str">
        <f aca="false">Config!$B$3</f>
        <v>2610_ff_lansare</v>
      </c>
      <c r="I2145" s="10" t="str">
        <f aca="false">D2145&amp;"_"&amp;Config!$B$4</f>
        <v>client_general</v>
      </c>
      <c r="J2145" s="10" t="str">
        <f aca="false">"https://"&amp;B2145&amp;G2145&amp;"?utm_source="&amp;E2145&amp;"&amp;utm_medium="&amp;F2145&amp;"&amp;utm_campaign="&amp;H2145&amp;"&amp;utm_content="&amp;I2145</f>
        <v>https://ecbtax.com/?utm_source=x&amp;utm_medium=social&amp;utm_campaign=2610_ff_lansare&amp;utm_content=client_general</v>
      </c>
    </row>
    <row r="2146" customFormat="false" ht="15" hidden="false" customHeight="false" outlineLevel="0" collapsed="false">
      <c r="A2146" s="10" t="s">
        <v>97</v>
      </c>
      <c r="B2146" s="10" t="str">
        <f aca="false">INDEX('Site-uri'!$B$2:$B$20,MATCH(A2146,'Site-uri'!$A$2:$A$20,0))</f>
        <v>ecbtax.com</v>
      </c>
      <c r="C2146" s="10" t="s">
        <v>155</v>
      </c>
      <c r="D2146" s="10" t="s">
        <v>219</v>
      </c>
      <c r="E2146" s="10" t="str">
        <f aca="false">INDEX(Canale!$C$2:$C$30,MATCH(C2146,Canale!$A$2:$A$30,0))</f>
        <v>youtube</v>
      </c>
      <c r="F2146" s="10" t="str">
        <f aca="false">INDEX(Canale!$D$2:$D$30,MATCH(C2146,Canale!$A$2:$A$30,0))</f>
        <v>video</v>
      </c>
      <c r="G2146" s="10" t="str">
        <f aca="false">INDEX('Site-uri'!$C$2:$C$20,MATCH(A2146,'Site-uri'!$A$2:$A$20,0))</f>
        <v>/</v>
      </c>
      <c r="H2146" s="10" t="str">
        <f aca="false">Config!$B$3</f>
        <v>2610_ff_lansare</v>
      </c>
      <c r="I2146" s="10" t="str">
        <f aca="false">D2146&amp;"_"&amp;Config!$B$4</f>
        <v>rece_general</v>
      </c>
      <c r="J2146" s="10" t="str">
        <f aca="false">"https://"&amp;B2146&amp;G2146&amp;"?utm_source="&amp;E2146&amp;"&amp;utm_medium="&amp;F2146&amp;"&amp;utm_campaign="&amp;H2146&amp;"&amp;utm_content="&amp;I2146</f>
        <v>https://ecbtax.com/?utm_source=youtube&amp;utm_medium=video&amp;utm_campaign=2610_ff_lansare&amp;utm_content=rece_general</v>
      </c>
    </row>
    <row r="2147" customFormat="false" ht="15" hidden="false" customHeight="false" outlineLevel="0" collapsed="false">
      <c r="A2147" s="10" t="s">
        <v>97</v>
      </c>
      <c r="B2147" s="10" t="str">
        <f aca="false">INDEX('Site-uri'!$B$2:$B$20,MATCH(A2147,'Site-uri'!$A$2:$A$20,0))</f>
        <v>ecbtax.com</v>
      </c>
      <c r="C2147" s="10" t="s">
        <v>155</v>
      </c>
      <c r="D2147" s="10" t="s">
        <v>225</v>
      </c>
      <c r="E2147" s="10" t="str">
        <f aca="false">INDEX(Canale!$C$2:$C$30,MATCH(C2147,Canale!$A$2:$A$30,0))</f>
        <v>youtube</v>
      </c>
      <c r="F2147" s="10" t="str">
        <f aca="false">INDEX(Canale!$D$2:$D$30,MATCH(C2147,Canale!$A$2:$A$30,0))</f>
        <v>video</v>
      </c>
      <c r="G2147" s="10" t="str">
        <f aca="false">INDEX('Site-uri'!$C$2:$C$20,MATCH(A2147,'Site-uri'!$A$2:$A$20,0))</f>
        <v>/</v>
      </c>
      <c r="H2147" s="10" t="str">
        <f aca="false">Config!$B$3</f>
        <v>2610_ff_lansare</v>
      </c>
      <c r="I2147" s="10" t="str">
        <f aca="false">D2147&amp;"_"&amp;Config!$B$4</f>
        <v>cald_general</v>
      </c>
      <c r="J2147" s="10" t="str">
        <f aca="false">"https://"&amp;B2147&amp;G2147&amp;"?utm_source="&amp;E2147&amp;"&amp;utm_medium="&amp;F2147&amp;"&amp;utm_campaign="&amp;H2147&amp;"&amp;utm_content="&amp;I2147</f>
        <v>https://ecbtax.com/?utm_source=youtube&amp;utm_medium=video&amp;utm_campaign=2610_ff_lansare&amp;utm_content=cald_general</v>
      </c>
    </row>
    <row r="2148" customFormat="false" ht="15" hidden="false" customHeight="false" outlineLevel="0" collapsed="false">
      <c r="A2148" s="10" t="s">
        <v>97</v>
      </c>
      <c r="B2148" s="10" t="str">
        <f aca="false">INDEX('Site-uri'!$B$2:$B$20,MATCH(A2148,'Site-uri'!$A$2:$A$20,0))</f>
        <v>ecbtax.com</v>
      </c>
      <c r="C2148" s="10" t="s">
        <v>155</v>
      </c>
      <c r="D2148" s="10" t="s">
        <v>231</v>
      </c>
      <c r="E2148" s="10" t="str">
        <f aca="false">INDEX(Canale!$C$2:$C$30,MATCH(C2148,Canale!$A$2:$A$30,0))</f>
        <v>youtube</v>
      </c>
      <c r="F2148" s="10" t="str">
        <f aca="false">INDEX(Canale!$D$2:$D$30,MATCH(C2148,Canale!$A$2:$A$30,0))</f>
        <v>video</v>
      </c>
      <c r="G2148" s="10" t="str">
        <f aca="false">INDEX('Site-uri'!$C$2:$C$20,MATCH(A2148,'Site-uri'!$A$2:$A$20,0))</f>
        <v>/</v>
      </c>
      <c r="H2148" s="10" t="str">
        <f aca="false">Config!$B$3</f>
        <v>2610_ff_lansare</v>
      </c>
      <c r="I2148" s="10" t="str">
        <f aca="false">D2148&amp;"_"&amp;Config!$B$4</f>
        <v>fierbinte_general</v>
      </c>
      <c r="J2148" s="10" t="str">
        <f aca="false">"https://"&amp;B2148&amp;G2148&amp;"?utm_source="&amp;E2148&amp;"&amp;utm_medium="&amp;F2148&amp;"&amp;utm_campaign="&amp;H2148&amp;"&amp;utm_content="&amp;I2148</f>
        <v>https://ecbtax.com/?utm_source=youtube&amp;utm_medium=video&amp;utm_campaign=2610_ff_lansare&amp;utm_content=fierbinte_general</v>
      </c>
    </row>
    <row r="2149" customFormat="false" ht="15" hidden="false" customHeight="false" outlineLevel="0" collapsed="false">
      <c r="A2149" s="10" t="s">
        <v>97</v>
      </c>
      <c r="B2149" s="10" t="str">
        <f aca="false">INDEX('Site-uri'!$B$2:$B$20,MATCH(A2149,'Site-uri'!$A$2:$A$20,0))</f>
        <v>ecbtax.com</v>
      </c>
      <c r="C2149" s="10" t="s">
        <v>155</v>
      </c>
      <c r="D2149" s="10" t="s">
        <v>237</v>
      </c>
      <c r="E2149" s="10" t="str">
        <f aca="false">INDEX(Canale!$C$2:$C$30,MATCH(C2149,Canale!$A$2:$A$30,0))</f>
        <v>youtube</v>
      </c>
      <c r="F2149" s="10" t="str">
        <f aca="false">INDEX(Canale!$D$2:$D$30,MATCH(C2149,Canale!$A$2:$A$30,0))</f>
        <v>video</v>
      </c>
      <c r="G2149" s="10" t="str">
        <f aca="false">INDEX('Site-uri'!$C$2:$C$20,MATCH(A2149,'Site-uri'!$A$2:$A$20,0))</f>
        <v>/</v>
      </c>
      <c r="H2149" s="10" t="str">
        <f aca="false">Config!$B$3</f>
        <v>2610_ff_lansare</v>
      </c>
      <c r="I2149" s="10" t="str">
        <f aca="false">D2149&amp;"_"&amp;Config!$B$4</f>
        <v>client_general</v>
      </c>
      <c r="J2149" s="10" t="str">
        <f aca="false">"https://"&amp;B2149&amp;G2149&amp;"?utm_source="&amp;E2149&amp;"&amp;utm_medium="&amp;F2149&amp;"&amp;utm_campaign="&amp;H2149&amp;"&amp;utm_content="&amp;I2149</f>
        <v>https://ecbtax.com/?utm_source=youtube&amp;utm_medium=video&amp;utm_campaign=2610_ff_lansare&amp;utm_content=client_general</v>
      </c>
    </row>
    <row r="2150" customFormat="false" ht="15" hidden="false" customHeight="false" outlineLevel="0" collapsed="false">
      <c r="A2150" s="10" t="s">
        <v>97</v>
      </c>
      <c r="B2150" s="10" t="str">
        <f aca="false">INDEX('Site-uri'!$B$2:$B$20,MATCH(A2150,'Site-uri'!$A$2:$A$20,0))</f>
        <v>ecbtax.com</v>
      </c>
      <c r="C2150" s="10" t="s">
        <v>160</v>
      </c>
      <c r="D2150" s="10" t="s">
        <v>219</v>
      </c>
      <c r="E2150" s="10" t="str">
        <f aca="false">INDEX(Canale!$C$2:$C$30,MATCH(C2150,Canale!$A$2:$A$30,0))</f>
        <v>medium</v>
      </c>
      <c r="F2150" s="10" t="str">
        <f aca="false">INDEX(Canale!$D$2:$D$30,MATCH(C2150,Canale!$A$2:$A$30,0))</f>
        <v>content</v>
      </c>
      <c r="G2150" s="10" t="str">
        <f aca="false">INDEX('Site-uri'!$C$2:$C$20,MATCH(A2150,'Site-uri'!$A$2:$A$20,0))</f>
        <v>/</v>
      </c>
      <c r="H2150" s="10" t="str">
        <f aca="false">Config!$B$3</f>
        <v>2610_ff_lansare</v>
      </c>
      <c r="I2150" s="10" t="str">
        <f aca="false">D2150&amp;"_"&amp;Config!$B$4</f>
        <v>rece_general</v>
      </c>
      <c r="J2150" s="10" t="str">
        <f aca="false">"https://"&amp;B2150&amp;G2150&amp;"?utm_source="&amp;E2150&amp;"&amp;utm_medium="&amp;F2150&amp;"&amp;utm_campaign="&amp;H2150&amp;"&amp;utm_content="&amp;I2150</f>
        <v>https://ecbtax.com/?utm_source=medium&amp;utm_medium=content&amp;utm_campaign=2610_ff_lansare&amp;utm_content=rece_general</v>
      </c>
    </row>
    <row r="2151" customFormat="false" ht="15" hidden="false" customHeight="false" outlineLevel="0" collapsed="false">
      <c r="A2151" s="10" t="s">
        <v>97</v>
      </c>
      <c r="B2151" s="10" t="str">
        <f aca="false">INDEX('Site-uri'!$B$2:$B$20,MATCH(A2151,'Site-uri'!$A$2:$A$20,0))</f>
        <v>ecbtax.com</v>
      </c>
      <c r="C2151" s="10" t="s">
        <v>160</v>
      </c>
      <c r="D2151" s="10" t="s">
        <v>225</v>
      </c>
      <c r="E2151" s="10" t="str">
        <f aca="false">INDEX(Canale!$C$2:$C$30,MATCH(C2151,Canale!$A$2:$A$30,0))</f>
        <v>medium</v>
      </c>
      <c r="F2151" s="10" t="str">
        <f aca="false">INDEX(Canale!$D$2:$D$30,MATCH(C2151,Canale!$A$2:$A$30,0))</f>
        <v>content</v>
      </c>
      <c r="G2151" s="10" t="str">
        <f aca="false">INDEX('Site-uri'!$C$2:$C$20,MATCH(A2151,'Site-uri'!$A$2:$A$20,0))</f>
        <v>/</v>
      </c>
      <c r="H2151" s="10" t="str">
        <f aca="false">Config!$B$3</f>
        <v>2610_ff_lansare</v>
      </c>
      <c r="I2151" s="10" t="str">
        <f aca="false">D2151&amp;"_"&amp;Config!$B$4</f>
        <v>cald_general</v>
      </c>
      <c r="J2151" s="10" t="str">
        <f aca="false">"https://"&amp;B2151&amp;G2151&amp;"?utm_source="&amp;E2151&amp;"&amp;utm_medium="&amp;F2151&amp;"&amp;utm_campaign="&amp;H2151&amp;"&amp;utm_content="&amp;I2151</f>
        <v>https://ecbtax.com/?utm_source=medium&amp;utm_medium=content&amp;utm_campaign=2610_ff_lansare&amp;utm_content=cald_general</v>
      </c>
    </row>
    <row r="2152" customFormat="false" ht="15" hidden="false" customHeight="false" outlineLevel="0" collapsed="false">
      <c r="A2152" s="10" t="s">
        <v>97</v>
      </c>
      <c r="B2152" s="10" t="str">
        <f aca="false">INDEX('Site-uri'!$B$2:$B$20,MATCH(A2152,'Site-uri'!$A$2:$A$20,0))</f>
        <v>ecbtax.com</v>
      </c>
      <c r="C2152" s="10" t="s">
        <v>160</v>
      </c>
      <c r="D2152" s="10" t="s">
        <v>231</v>
      </c>
      <c r="E2152" s="10" t="str">
        <f aca="false">INDEX(Canale!$C$2:$C$30,MATCH(C2152,Canale!$A$2:$A$30,0))</f>
        <v>medium</v>
      </c>
      <c r="F2152" s="10" t="str">
        <f aca="false">INDEX(Canale!$D$2:$D$30,MATCH(C2152,Canale!$A$2:$A$30,0))</f>
        <v>content</v>
      </c>
      <c r="G2152" s="10" t="str">
        <f aca="false">INDEX('Site-uri'!$C$2:$C$20,MATCH(A2152,'Site-uri'!$A$2:$A$20,0))</f>
        <v>/</v>
      </c>
      <c r="H2152" s="10" t="str">
        <f aca="false">Config!$B$3</f>
        <v>2610_ff_lansare</v>
      </c>
      <c r="I2152" s="10" t="str">
        <f aca="false">D2152&amp;"_"&amp;Config!$B$4</f>
        <v>fierbinte_general</v>
      </c>
      <c r="J2152" s="10" t="str">
        <f aca="false">"https://"&amp;B2152&amp;G2152&amp;"?utm_source="&amp;E2152&amp;"&amp;utm_medium="&amp;F2152&amp;"&amp;utm_campaign="&amp;H2152&amp;"&amp;utm_content="&amp;I2152</f>
        <v>https://ecbtax.com/?utm_source=medium&amp;utm_medium=content&amp;utm_campaign=2610_ff_lansare&amp;utm_content=fierbinte_general</v>
      </c>
    </row>
    <row r="2153" customFormat="false" ht="15" hidden="false" customHeight="false" outlineLevel="0" collapsed="false">
      <c r="A2153" s="10" t="s">
        <v>97</v>
      </c>
      <c r="B2153" s="10" t="str">
        <f aca="false">INDEX('Site-uri'!$B$2:$B$20,MATCH(A2153,'Site-uri'!$A$2:$A$20,0))</f>
        <v>ecbtax.com</v>
      </c>
      <c r="C2153" s="10" t="s">
        <v>160</v>
      </c>
      <c r="D2153" s="10" t="s">
        <v>237</v>
      </c>
      <c r="E2153" s="10" t="str">
        <f aca="false">INDEX(Canale!$C$2:$C$30,MATCH(C2153,Canale!$A$2:$A$30,0))</f>
        <v>medium</v>
      </c>
      <c r="F2153" s="10" t="str">
        <f aca="false">INDEX(Canale!$D$2:$D$30,MATCH(C2153,Canale!$A$2:$A$30,0))</f>
        <v>content</v>
      </c>
      <c r="G2153" s="10" t="str">
        <f aca="false">INDEX('Site-uri'!$C$2:$C$20,MATCH(A2153,'Site-uri'!$A$2:$A$20,0))</f>
        <v>/</v>
      </c>
      <c r="H2153" s="10" t="str">
        <f aca="false">Config!$B$3</f>
        <v>2610_ff_lansare</v>
      </c>
      <c r="I2153" s="10" t="str">
        <f aca="false">D2153&amp;"_"&amp;Config!$B$4</f>
        <v>client_general</v>
      </c>
      <c r="J2153" s="10" t="str">
        <f aca="false">"https://"&amp;B2153&amp;G2153&amp;"?utm_source="&amp;E2153&amp;"&amp;utm_medium="&amp;F2153&amp;"&amp;utm_campaign="&amp;H2153&amp;"&amp;utm_content="&amp;I2153</f>
        <v>https://ecbtax.com/?utm_source=medium&amp;utm_medium=content&amp;utm_campaign=2610_ff_lansare&amp;utm_content=client_general</v>
      </c>
    </row>
    <row r="2154" customFormat="false" ht="15" hidden="false" customHeight="false" outlineLevel="0" collapsed="false">
      <c r="A2154" s="10" t="s">
        <v>97</v>
      </c>
      <c r="B2154" s="10" t="str">
        <f aca="false">INDEX('Site-uri'!$B$2:$B$20,MATCH(A2154,'Site-uri'!$A$2:$A$20,0))</f>
        <v>ecbtax.com</v>
      </c>
      <c r="C2154" s="10" t="s">
        <v>165</v>
      </c>
      <c r="D2154" s="10" t="s">
        <v>219</v>
      </c>
      <c r="E2154" s="10" t="str">
        <f aca="false">INDEX(Canale!$C$2:$C$30,MATCH(C2154,Canale!$A$2:$A$30,0))</f>
        <v>crunchbase</v>
      </c>
      <c r="F2154" s="10" t="str">
        <f aca="false">INDEX(Canale!$D$2:$D$30,MATCH(C2154,Canale!$A$2:$A$30,0))</f>
        <v>referral</v>
      </c>
      <c r="G2154" s="10" t="str">
        <f aca="false">INDEX('Site-uri'!$C$2:$C$20,MATCH(A2154,'Site-uri'!$A$2:$A$20,0))</f>
        <v>/</v>
      </c>
      <c r="H2154" s="10" t="str">
        <f aca="false">Config!$B$3</f>
        <v>2610_ff_lansare</v>
      </c>
      <c r="I2154" s="10" t="str">
        <f aca="false">D2154&amp;"_"&amp;Config!$B$4</f>
        <v>rece_general</v>
      </c>
      <c r="J2154" s="10" t="str">
        <f aca="false">"https://"&amp;B2154&amp;G2154&amp;"?utm_source="&amp;E2154&amp;"&amp;utm_medium="&amp;F2154&amp;"&amp;utm_campaign="&amp;H2154&amp;"&amp;utm_content="&amp;I2154</f>
        <v>https://ecbtax.com/?utm_source=crunchbase&amp;utm_medium=referral&amp;utm_campaign=2610_ff_lansare&amp;utm_content=rece_general</v>
      </c>
    </row>
    <row r="2155" customFormat="false" ht="15" hidden="false" customHeight="false" outlineLevel="0" collapsed="false">
      <c r="A2155" s="10" t="s">
        <v>97</v>
      </c>
      <c r="B2155" s="10" t="str">
        <f aca="false">INDEX('Site-uri'!$B$2:$B$20,MATCH(A2155,'Site-uri'!$A$2:$A$20,0))</f>
        <v>ecbtax.com</v>
      </c>
      <c r="C2155" s="10" t="s">
        <v>165</v>
      </c>
      <c r="D2155" s="10" t="s">
        <v>225</v>
      </c>
      <c r="E2155" s="10" t="str">
        <f aca="false">INDEX(Canale!$C$2:$C$30,MATCH(C2155,Canale!$A$2:$A$30,0))</f>
        <v>crunchbase</v>
      </c>
      <c r="F2155" s="10" t="str">
        <f aca="false">INDEX(Canale!$D$2:$D$30,MATCH(C2155,Canale!$A$2:$A$30,0))</f>
        <v>referral</v>
      </c>
      <c r="G2155" s="10" t="str">
        <f aca="false">INDEX('Site-uri'!$C$2:$C$20,MATCH(A2155,'Site-uri'!$A$2:$A$20,0))</f>
        <v>/</v>
      </c>
      <c r="H2155" s="10" t="str">
        <f aca="false">Config!$B$3</f>
        <v>2610_ff_lansare</v>
      </c>
      <c r="I2155" s="10" t="str">
        <f aca="false">D2155&amp;"_"&amp;Config!$B$4</f>
        <v>cald_general</v>
      </c>
      <c r="J2155" s="10" t="str">
        <f aca="false">"https://"&amp;B2155&amp;G2155&amp;"?utm_source="&amp;E2155&amp;"&amp;utm_medium="&amp;F2155&amp;"&amp;utm_campaign="&amp;H2155&amp;"&amp;utm_content="&amp;I2155</f>
        <v>https://ecbtax.com/?utm_source=crunchbase&amp;utm_medium=referral&amp;utm_campaign=2610_ff_lansare&amp;utm_content=cald_general</v>
      </c>
    </row>
    <row r="2156" customFormat="false" ht="15" hidden="false" customHeight="false" outlineLevel="0" collapsed="false">
      <c r="A2156" s="10" t="s">
        <v>97</v>
      </c>
      <c r="B2156" s="10" t="str">
        <f aca="false">INDEX('Site-uri'!$B$2:$B$20,MATCH(A2156,'Site-uri'!$A$2:$A$20,0))</f>
        <v>ecbtax.com</v>
      </c>
      <c r="C2156" s="10" t="s">
        <v>165</v>
      </c>
      <c r="D2156" s="10" t="s">
        <v>231</v>
      </c>
      <c r="E2156" s="10" t="str">
        <f aca="false">INDEX(Canale!$C$2:$C$30,MATCH(C2156,Canale!$A$2:$A$30,0))</f>
        <v>crunchbase</v>
      </c>
      <c r="F2156" s="10" t="str">
        <f aca="false">INDEX(Canale!$D$2:$D$30,MATCH(C2156,Canale!$A$2:$A$30,0))</f>
        <v>referral</v>
      </c>
      <c r="G2156" s="10" t="str">
        <f aca="false">INDEX('Site-uri'!$C$2:$C$20,MATCH(A2156,'Site-uri'!$A$2:$A$20,0))</f>
        <v>/</v>
      </c>
      <c r="H2156" s="10" t="str">
        <f aca="false">Config!$B$3</f>
        <v>2610_ff_lansare</v>
      </c>
      <c r="I2156" s="10" t="str">
        <f aca="false">D2156&amp;"_"&amp;Config!$B$4</f>
        <v>fierbinte_general</v>
      </c>
      <c r="J2156" s="10" t="str">
        <f aca="false">"https://"&amp;B2156&amp;G2156&amp;"?utm_source="&amp;E2156&amp;"&amp;utm_medium="&amp;F2156&amp;"&amp;utm_campaign="&amp;H2156&amp;"&amp;utm_content="&amp;I2156</f>
        <v>https://ecbtax.com/?utm_source=crunchbase&amp;utm_medium=referral&amp;utm_campaign=2610_ff_lansare&amp;utm_content=fierbinte_general</v>
      </c>
    </row>
    <row r="2157" customFormat="false" ht="15" hidden="false" customHeight="false" outlineLevel="0" collapsed="false">
      <c r="A2157" s="10" t="s">
        <v>97</v>
      </c>
      <c r="B2157" s="10" t="str">
        <f aca="false">INDEX('Site-uri'!$B$2:$B$20,MATCH(A2157,'Site-uri'!$A$2:$A$20,0))</f>
        <v>ecbtax.com</v>
      </c>
      <c r="C2157" s="10" t="s">
        <v>165</v>
      </c>
      <c r="D2157" s="10" t="s">
        <v>237</v>
      </c>
      <c r="E2157" s="10" t="str">
        <f aca="false">INDEX(Canale!$C$2:$C$30,MATCH(C2157,Canale!$A$2:$A$30,0))</f>
        <v>crunchbase</v>
      </c>
      <c r="F2157" s="10" t="str">
        <f aca="false">INDEX(Canale!$D$2:$D$30,MATCH(C2157,Canale!$A$2:$A$30,0))</f>
        <v>referral</v>
      </c>
      <c r="G2157" s="10" t="str">
        <f aca="false">INDEX('Site-uri'!$C$2:$C$20,MATCH(A2157,'Site-uri'!$A$2:$A$20,0))</f>
        <v>/</v>
      </c>
      <c r="H2157" s="10" t="str">
        <f aca="false">Config!$B$3</f>
        <v>2610_ff_lansare</v>
      </c>
      <c r="I2157" s="10" t="str">
        <f aca="false">D2157&amp;"_"&amp;Config!$B$4</f>
        <v>client_general</v>
      </c>
      <c r="J2157" s="10" t="str">
        <f aca="false">"https://"&amp;B2157&amp;G2157&amp;"?utm_source="&amp;E2157&amp;"&amp;utm_medium="&amp;F2157&amp;"&amp;utm_campaign="&amp;H2157&amp;"&amp;utm_content="&amp;I2157</f>
        <v>https://ecbtax.com/?utm_source=crunchbase&amp;utm_medium=referral&amp;utm_campaign=2610_ff_lansare&amp;utm_content=client_general</v>
      </c>
    </row>
    <row r="2158" customFormat="false" ht="15" hidden="false" customHeight="false" outlineLevel="0" collapsed="false">
      <c r="A2158" s="10" t="s">
        <v>97</v>
      </c>
      <c r="B2158" s="10" t="str">
        <f aca="false">INDEX('Site-uri'!$B$2:$B$20,MATCH(A2158,'Site-uri'!$A$2:$A$20,0))</f>
        <v>ecbtax.com</v>
      </c>
      <c r="C2158" s="10" t="s">
        <v>170</v>
      </c>
      <c r="D2158" s="10" t="s">
        <v>219</v>
      </c>
      <c r="E2158" s="10" t="str">
        <f aca="false">INDEX(Canale!$C$2:$C$30,MATCH(C2158,Canale!$A$2:$A$30,0))</f>
        <v>zenodo</v>
      </c>
      <c r="F2158" s="10" t="str">
        <f aca="false">INDEX(Canale!$D$2:$D$30,MATCH(C2158,Canale!$A$2:$A$30,0))</f>
        <v>referral</v>
      </c>
      <c r="G2158" s="10" t="str">
        <f aca="false">INDEX('Site-uri'!$C$2:$C$20,MATCH(A2158,'Site-uri'!$A$2:$A$20,0))</f>
        <v>/</v>
      </c>
      <c r="H2158" s="10" t="str">
        <f aca="false">Config!$B$3</f>
        <v>2610_ff_lansare</v>
      </c>
      <c r="I2158" s="10" t="str">
        <f aca="false">D2158&amp;"_"&amp;Config!$B$4</f>
        <v>rece_general</v>
      </c>
      <c r="J2158" s="10" t="str">
        <f aca="false">"https://"&amp;B2158&amp;G2158&amp;"?utm_source="&amp;E2158&amp;"&amp;utm_medium="&amp;F2158&amp;"&amp;utm_campaign="&amp;H2158&amp;"&amp;utm_content="&amp;I2158</f>
        <v>https://ecbtax.com/?utm_source=zenodo&amp;utm_medium=referral&amp;utm_campaign=2610_ff_lansare&amp;utm_content=rece_general</v>
      </c>
    </row>
    <row r="2159" customFormat="false" ht="15" hidden="false" customHeight="false" outlineLevel="0" collapsed="false">
      <c r="A2159" s="10" t="s">
        <v>97</v>
      </c>
      <c r="B2159" s="10" t="str">
        <f aca="false">INDEX('Site-uri'!$B$2:$B$20,MATCH(A2159,'Site-uri'!$A$2:$A$20,0))</f>
        <v>ecbtax.com</v>
      </c>
      <c r="C2159" s="10" t="s">
        <v>170</v>
      </c>
      <c r="D2159" s="10" t="s">
        <v>225</v>
      </c>
      <c r="E2159" s="10" t="str">
        <f aca="false">INDEX(Canale!$C$2:$C$30,MATCH(C2159,Canale!$A$2:$A$30,0))</f>
        <v>zenodo</v>
      </c>
      <c r="F2159" s="10" t="str">
        <f aca="false">INDEX(Canale!$D$2:$D$30,MATCH(C2159,Canale!$A$2:$A$30,0))</f>
        <v>referral</v>
      </c>
      <c r="G2159" s="10" t="str">
        <f aca="false">INDEX('Site-uri'!$C$2:$C$20,MATCH(A2159,'Site-uri'!$A$2:$A$20,0))</f>
        <v>/</v>
      </c>
      <c r="H2159" s="10" t="str">
        <f aca="false">Config!$B$3</f>
        <v>2610_ff_lansare</v>
      </c>
      <c r="I2159" s="10" t="str">
        <f aca="false">D2159&amp;"_"&amp;Config!$B$4</f>
        <v>cald_general</v>
      </c>
      <c r="J2159" s="10" t="str">
        <f aca="false">"https://"&amp;B2159&amp;G2159&amp;"?utm_source="&amp;E2159&amp;"&amp;utm_medium="&amp;F2159&amp;"&amp;utm_campaign="&amp;H2159&amp;"&amp;utm_content="&amp;I2159</f>
        <v>https://ecbtax.com/?utm_source=zenodo&amp;utm_medium=referral&amp;utm_campaign=2610_ff_lansare&amp;utm_content=cald_general</v>
      </c>
    </row>
    <row r="2160" customFormat="false" ht="15" hidden="false" customHeight="false" outlineLevel="0" collapsed="false">
      <c r="A2160" s="10" t="s">
        <v>97</v>
      </c>
      <c r="B2160" s="10" t="str">
        <f aca="false">INDEX('Site-uri'!$B$2:$B$20,MATCH(A2160,'Site-uri'!$A$2:$A$20,0))</f>
        <v>ecbtax.com</v>
      </c>
      <c r="C2160" s="10" t="s">
        <v>170</v>
      </c>
      <c r="D2160" s="10" t="s">
        <v>231</v>
      </c>
      <c r="E2160" s="10" t="str">
        <f aca="false">INDEX(Canale!$C$2:$C$30,MATCH(C2160,Canale!$A$2:$A$30,0))</f>
        <v>zenodo</v>
      </c>
      <c r="F2160" s="10" t="str">
        <f aca="false">INDEX(Canale!$D$2:$D$30,MATCH(C2160,Canale!$A$2:$A$30,0))</f>
        <v>referral</v>
      </c>
      <c r="G2160" s="10" t="str">
        <f aca="false">INDEX('Site-uri'!$C$2:$C$20,MATCH(A2160,'Site-uri'!$A$2:$A$20,0))</f>
        <v>/</v>
      </c>
      <c r="H2160" s="10" t="str">
        <f aca="false">Config!$B$3</f>
        <v>2610_ff_lansare</v>
      </c>
      <c r="I2160" s="10" t="str">
        <f aca="false">D2160&amp;"_"&amp;Config!$B$4</f>
        <v>fierbinte_general</v>
      </c>
      <c r="J2160" s="10" t="str">
        <f aca="false">"https://"&amp;B2160&amp;G2160&amp;"?utm_source="&amp;E2160&amp;"&amp;utm_medium="&amp;F2160&amp;"&amp;utm_campaign="&amp;H2160&amp;"&amp;utm_content="&amp;I2160</f>
        <v>https://ecbtax.com/?utm_source=zenodo&amp;utm_medium=referral&amp;utm_campaign=2610_ff_lansare&amp;utm_content=fierbinte_general</v>
      </c>
    </row>
    <row r="2161" customFormat="false" ht="15" hidden="false" customHeight="false" outlineLevel="0" collapsed="false">
      <c r="A2161" s="10" t="s">
        <v>97</v>
      </c>
      <c r="B2161" s="10" t="str">
        <f aca="false">INDEX('Site-uri'!$B$2:$B$20,MATCH(A2161,'Site-uri'!$A$2:$A$20,0))</f>
        <v>ecbtax.com</v>
      </c>
      <c r="C2161" s="10" t="s">
        <v>170</v>
      </c>
      <c r="D2161" s="10" t="s">
        <v>237</v>
      </c>
      <c r="E2161" s="10" t="str">
        <f aca="false">INDEX(Canale!$C$2:$C$30,MATCH(C2161,Canale!$A$2:$A$30,0))</f>
        <v>zenodo</v>
      </c>
      <c r="F2161" s="10" t="str">
        <f aca="false">INDEX(Canale!$D$2:$D$30,MATCH(C2161,Canale!$A$2:$A$30,0))</f>
        <v>referral</v>
      </c>
      <c r="G2161" s="10" t="str">
        <f aca="false">INDEX('Site-uri'!$C$2:$C$20,MATCH(A2161,'Site-uri'!$A$2:$A$20,0))</f>
        <v>/</v>
      </c>
      <c r="H2161" s="10" t="str">
        <f aca="false">Config!$B$3</f>
        <v>2610_ff_lansare</v>
      </c>
      <c r="I2161" s="10" t="str">
        <f aca="false">D2161&amp;"_"&amp;Config!$B$4</f>
        <v>client_general</v>
      </c>
      <c r="J2161" s="10" t="str">
        <f aca="false">"https://"&amp;B2161&amp;G2161&amp;"?utm_source="&amp;E2161&amp;"&amp;utm_medium="&amp;F2161&amp;"&amp;utm_campaign="&amp;H2161&amp;"&amp;utm_content="&amp;I2161</f>
        <v>https://ecbtax.com/?utm_source=zenodo&amp;utm_medium=referral&amp;utm_campaign=2610_ff_lansare&amp;utm_content=client_general</v>
      </c>
    </row>
    <row r="2162" customFormat="false" ht="15" hidden="false" customHeight="false" outlineLevel="0" collapsed="false">
      <c r="A2162" s="10" t="s">
        <v>97</v>
      </c>
      <c r="B2162" s="10" t="str">
        <f aca="false">INDEX('Site-uri'!$B$2:$B$20,MATCH(A2162,'Site-uri'!$A$2:$A$20,0))</f>
        <v>ecbtax.com</v>
      </c>
      <c r="C2162" s="10" t="s">
        <v>173</v>
      </c>
      <c r="D2162" s="10" t="s">
        <v>219</v>
      </c>
      <c r="E2162" s="10" t="str">
        <f aca="false">INDEX(Canale!$C$2:$C$30,MATCH(C2162,Canale!$A$2:$A$30,0))</f>
        <v>orcid</v>
      </c>
      <c r="F2162" s="10" t="str">
        <f aca="false">INDEX(Canale!$D$2:$D$30,MATCH(C2162,Canale!$A$2:$A$30,0))</f>
        <v>referral</v>
      </c>
      <c r="G2162" s="10" t="str">
        <f aca="false">INDEX('Site-uri'!$C$2:$C$20,MATCH(A2162,'Site-uri'!$A$2:$A$20,0))</f>
        <v>/</v>
      </c>
      <c r="H2162" s="10" t="str">
        <f aca="false">Config!$B$3</f>
        <v>2610_ff_lansare</v>
      </c>
      <c r="I2162" s="10" t="str">
        <f aca="false">D2162&amp;"_"&amp;Config!$B$4</f>
        <v>rece_general</v>
      </c>
      <c r="J2162" s="10" t="str">
        <f aca="false">"https://"&amp;B2162&amp;G2162&amp;"?utm_source="&amp;E2162&amp;"&amp;utm_medium="&amp;F2162&amp;"&amp;utm_campaign="&amp;H2162&amp;"&amp;utm_content="&amp;I2162</f>
        <v>https://ecbtax.com/?utm_source=orcid&amp;utm_medium=referral&amp;utm_campaign=2610_ff_lansare&amp;utm_content=rece_general</v>
      </c>
    </row>
    <row r="2163" customFormat="false" ht="15" hidden="false" customHeight="false" outlineLevel="0" collapsed="false">
      <c r="A2163" s="10" t="s">
        <v>97</v>
      </c>
      <c r="B2163" s="10" t="str">
        <f aca="false">INDEX('Site-uri'!$B$2:$B$20,MATCH(A2163,'Site-uri'!$A$2:$A$20,0))</f>
        <v>ecbtax.com</v>
      </c>
      <c r="C2163" s="10" t="s">
        <v>173</v>
      </c>
      <c r="D2163" s="10" t="s">
        <v>225</v>
      </c>
      <c r="E2163" s="10" t="str">
        <f aca="false">INDEX(Canale!$C$2:$C$30,MATCH(C2163,Canale!$A$2:$A$30,0))</f>
        <v>orcid</v>
      </c>
      <c r="F2163" s="10" t="str">
        <f aca="false">INDEX(Canale!$D$2:$D$30,MATCH(C2163,Canale!$A$2:$A$30,0))</f>
        <v>referral</v>
      </c>
      <c r="G2163" s="10" t="str">
        <f aca="false">INDEX('Site-uri'!$C$2:$C$20,MATCH(A2163,'Site-uri'!$A$2:$A$20,0))</f>
        <v>/</v>
      </c>
      <c r="H2163" s="10" t="str">
        <f aca="false">Config!$B$3</f>
        <v>2610_ff_lansare</v>
      </c>
      <c r="I2163" s="10" t="str">
        <f aca="false">D2163&amp;"_"&amp;Config!$B$4</f>
        <v>cald_general</v>
      </c>
      <c r="J2163" s="10" t="str">
        <f aca="false">"https://"&amp;B2163&amp;G2163&amp;"?utm_source="&amp;E2163&amp;"&amp;utm_medium="&amp;F2163&amp;"&amp;utm_campaign="&amp;H2163&amp;"&amp;utm_content="&amp;I2163</f>
        <v>https://ecbtax.com/?utm_source=orcid&amp;utm_medium=referral&amp;utm_campaign=2610_ff_lansare&amp;utm_content=cald_general</v>
      </c>
    </row>
    <row r="2164" customFormat="false" ht="15" hidden="false" customHeight="false" outlineLevel="0" collapsed="false">
      <c r="A2164" s="10" t="s">
        <v>97</v>
      </c>
      <c r="B2164" s="10" t="str">
        <f aca="false">INDEX('Site-uri'!$B$2:$B$20,MATCH(A2164,'Site-uri'!$A$2:$A$20,0))</f>
        <v>ecbtax.com</v>
      </c>
      <c r="C2164" s="10" t="s">
        <v>173</v>
      </c>
      <c r="D2164" s="10" t="s">
        <v>231</v>
      </c>
      <c r="E2164" s="10" t="str">
        <f aca="false">INDEX(Canale!$C$2:$C$30,MATCH(C2164,Canale!$A$2:$A$30,0))</f>
        <v>orcid</v>
      </c>
      <c r="F2164" s="10" t="str">
        <f aca="false">INDEX(Canale!$D$2:$D$30,MATCH(C2164,Canale!$A$2:$A$30,0))</f>
        <v>referral</v>
      </c>
      <c r="G2164" s="10" t="str">
        <f aca="false">INDEX('Site-uri'!$C$2:$C$20,MATCH(A2164,'Site-uri'!$A$2:$A$20,0))</f>
        <v>/</v>
      </c>
      <c r="H2164" s="10" t="str">
        <f aca="false">Config!$B$3</f>
        <v>2610_ff_lansare</v>
      </c>
      <c r="I2164" s="10" t="str">
        <f aca="false">D2164&amp;"_"&amp;Config!$B$4</f>
        <v>fierbinte_general</v>
      </c>
      <c r="J2164" s="10" t="str">
        <f aca="false">"https://"&amp;B2164&amp;G2164&amp;"?utm_source="&amp;E2164&amp;"&amp;utm_medium="&amp;F2164&amp;"&amp;utm_campaign="&amp;H2164&amp;"&amp;utm_content="&amp;I2164</f>
        <v>https://ecbtax.com/?utm_source=orcid&amp;utm_medium=referral&amp;utm_campaign=2610_ff_lansare&amp;utm_content=fierbinte_general</v>
      </c>
    </row>
    <row r="2165" customFormat="false" ht="15" hidden="false" customHeight="false" outlineLevel="0" collapsed="false">
      <c r="A2165" s="10" t="s">
        <v>97</v>
      </c>
      <c r="B2165" s="10" t="str">
        <f aca="false">INDEX('Site-uri'!$B$2:$B$20,MATCH(A2165,'Site-uri'!$A$2:$A$20,0))</f>
        <v>ecbtax.com</v>
      </c>
      <c r="C2165" s="10" t="s">
        <v>173</v>
      </c>
      <c r="D2165" s="10" t="s">
        <v>237</v>
      </c>
      <c r="E2165" s="10" t="str">
        <f aca="false">INDEX(Canale!$C$2:$C$30,MATCH(C2165,Canale!$A$2:$A$30,0))</f>
        <v>orcid</v>
      </c>
      <c r="F2165" s="10" t="str">
        <f aca="false">INDEX(Canale!$D$2:$D$30,MATCH(C2165,Canale!$A$2:$A$30,0))</f>
        <v>referral</v>
      </c>
      <c r="G2165" s="10" t="str">
        <f aca="false">INDEX('Site-uri'!$C$2:$C$20,MATCH(A2165,'Site-uri'!$A$2:$A$20,0))</f>
        <v>/</v>
      </c>
      <c r="H2165" s="10" t="str">
        <f aca="false">Config!$B$3</f>
        <v>2610_ff_lansare</v>
      </c>
      <c r="I2165" s="10" t="str">
        <f aca="false">D2165&amp;"_"&amp;Config!$B$4</f>
        <v>client_general</v>
      </c>
      <c r="J2165" s="10" t="str">
        <f aca="false">"https://"&amp;B2165&amp;G2165&amp;"?utm_source="&amp;E2165&amp;"&amp;utm_medium="&amp;F2165&amp;"&amp;utm_campaign="&amp;H2165&amp;"&amp;utm_content="&amp;I2165</f>
        <v>https://ecbtax.com/?utm_source=orcid&amp;utm_medium=referral&amp;utm_campaign=2610_ff_lansare&amp;utm_content=client_general</v>
      </c>
    </row>
    <row r="2166" customFormat="false" ht="15" hidden="false" customHeight="false" outlineLevel="0" collapsed="false">
      <c r="A2166" s="10" t="s">
        <v>97</v>
      </c>
      <c r="B2166" s="10" t="str">
        <f aca="false">INDEX('Site-uri'!$B$2:$B$20,MATCH(A2166,'Site-uri'!$A$2:$A$20,0))</f>
        <v>ecbtax.com</v>
      </c>
      <c r="C2166" s="10" t="s">
        <v>176</v>
      </c>
      <c r="D2166" s="10" t="s">
        <v>219</v>
      </c>
      <c r="E2166" s="10" t="str">
        <f aca="false">INDEX(Canale!$C$2:$C$30,MATCH(C2166,Canale!$A$2:$A$30,0))</f>
        <v>github</v>
      </c>
      <c r="F2166" s="10" t="str">
        <f aca="false">INDEX(Canale!$D$2:$D$30,MATCH(C2166,Canale!$A$2:$A$30,0))</f>
        <v>referral</v>
      </c>
      <c r="G2166" s="10" t="str">
        <f aca="false">INDEX('Site-uri'!$C$2:$C$20,MATCH(A2166,'Site-uri'!$A$2:$A$20,0))</f>
        <v>/</v>
      </c>
      <c r="H2166" s="10" t="str">
        <f aca="false">Config!$B$3</f>
        <v>2610_ff_lansare</v>
      </c>
      <c r="I2166" s="10" t="str">
        <f aca="false">D2166&amp;"_"&amp;Config!$B$4</f>
        <v>rece_general</v>
      </c>
      <c r="J2166" s="10" t="str">
        <f aca="false">"https://"&amp;B2166&amp;G2166&amp;"?utm_source="&amp;E2166&amp;"&amp;utm_medium="&amp;F2166&amp;"&amp;utm_campaign="&amp;H2166&amp;"&amp;utm_content="&amp;I2166</f>
        <v>https://ecbtax.com/?utm_source=github&amp;utm_medium=referral&amp;utm_campaign=2610_ff_lansare&amp;utm_content=rece_general</v>
      </c>
    </row>
    <row r="2167" customFormat="false" ht="15" hidden="false" customHeight="false" outlineLevel="0" collapsed="false">
      <c r="A2167" s="10" t="s">
        <v>97</v>
      </c>
      <c r="B2167" s="10" t="str">
        <f aca="false">INDEX('Site-uri'!$B$2:$B$20,MATCH(A2167,'Site-uri'!$A$2:$A$20,0))</f>
        <v>ecbtax.com</v>
      </c>
      <c r="C2167" s="10" t="s">
        <v>176</v>
      </c>
      <c r="D2167" s="10" t="s">
        <v>225</v>
      </c>
      <c r="E2167" s="10" t="str">
        <f aca="false">INDEX(Canale!$C$2:$C$30,MATCH(C2167,Canale!$A$2:$A$30,0))</f>
        <v>github</v>
      </c>
      <c r="F2167" s="10" t="str">
        <f aca="false">INDEX(Canale!$D$2:$D$30,MATCH(C2167,Canale!$A$2:$A$30,0))</f>
        <v>referral</v>
      </c>
      <c r="G2167" s="10" t="str">
        <f aca="false">INDEX('Site-uri'!$C$2:$C$20,MATCH(A2167,'Site-uri'!$A$2:$A$20,0))</f>
        <v>/</v>
      </c>
      <c r="H2167" s="10" t="str">
        <f aca="false">Config!$B$3</f>
        <v>2610_ff_lansare</v>
      </c>
      <c r="I2167" s="10" t="str">
        <f aca="false">D2167&amp;"_"&amp;Config!$B$4</f>
        <v>cald_general</v>
      </c>
      <c r="J2167" s="10" t="str">
        <f aca="false">"https://"&amp;B2167&amp;G2167&amp;"?utm_source="&amp;E2167&amp;"&amp;utm_medium="&amp;F2167&amp;"&amp;utm_campaign="&amp;H2167&amp;"&amp;utm_content="&amp;I2167</f>
        <v>https://ecbtax.com/?utm_source=github&amp;utm_medium=referral&amp;utm_campaign=2610_ff_lansare&amp;utm_content=cald_general</v>
      </c>
    </row>
    <row r="2168" customFormat="false" ht="15" hidden="false" customHeight="false" outlineLevel="0" collapsed="false">
      <c r="A2168" s="10" t="s">
        <v>97</v>
      </c>
      <c r="B2168" s="10" t="str">
        <f aca="false">INDEX('Site-uri'!$B$2:$B$20,MATCH(A2168,'Site-uri'!$A$2:$A$20,0))</f>
        <v>ecbtax.com</v>
      </c>
      <c r="C2168" s="10" t="s">
        <v>176</v>
      </c>
      <c r="D2168" s="10" t="s">
        <v>231</v>
      </c>
      <c r="E2168" s="10" t="str">
        <f aca="false">INDEX(Canale!$C$2:$C$30,MATCH(C2168,Canale!$A$2:$A$30,0))</f>
        <v>github</v>
      </c>
      <c r="F2168" s="10" t="str">
        <f aca="false">INDEX(Canale!$D$2:$D$30,MATCH(C2168,Canale!$A$2:$A$30,0))</f>
        <v>referral</v>
      </c>
      <c r="G2168" s="10" t="str">
        <f aca="false">INDEX('Site-uri'!$C$2:$C$20,MATCH(A2168,'Site-uri'!$A$2:$A$20,0))</f>
        <v>/</v>
      </c>
      <c r="H2168" s="10" t="str">
        <f aca="false">Config!$B$3</f>
        <v>2610_ff_lansare</v>
      </c>
      <c r="I2168" s="10" t="str">
        <f aca="false">D2168&amp;"_"&amp;Config!$B$4</f>
        <v>fierbinte_general</v>
      </c>
      <c r="J2168" s="10" t="str">
        <f aca="false">"https://"&amp;B2168&amp;G2168&amp;"?utm_source="&amp;E2168&amp;"&amp;utm_medium="&amp;F2168&amp;"&amp;utm_campaign="&amp;H2168&amp;"&amp;utm_content="&amp;I2168</f>
        <v>https://ecbtax.com/?utm_source=github&amp;utm_medium=referral&amp;utm_campaign=2610_ff_lansare&amp;utm_content=fierbinte_general</v>
      </c>
    </row>
    <row r="2169" customFormat="false" ht="15" hidden="false" customHeight="false" outlineLevel="0" collapsed="false">
      <c r="A2169" s="10" t="s">
        <v>97</v>
      </c>
      <c r="B2169" s="10" t="str">
        <f aca="false">INDEX('Site-uri'!$B$2:$B$20,MATCH(A2169,'Site-uri'!$A$2:$A$20,0))</f>
        <v>ecbtax.com</v>
      </c>
      <c r="C2169" s="10" t="s">
        <v>176</v>
      </c>
      <c r="D2169" s="10" t="s">
        <v>237</v>
      </c>
      <c r="E2169" s="10" t="str">
        <f aca="false">INDEX(Canale!$C$2:$C$30,MATCH(C2169,Canale!$A$2:$A$30,0))</f>
        <v>github</v>
      </c>
      <c r="F2169" s="10" t="str">
        <f aca="false">INDEX(Canale!$D$2:$D$30,MATCH(C2169,Canale!$A$2:$A$30,0))</f>
        <v>referral</v>
      </c>
      <c r="G2169" s="10" t="str">
        <f aca="false">INDEX('Site-uri'!$C$2:$C$20,MATCH(A2169,'Site-uri'!$A$2:$A$20,0))</f>
        <v>/</v>
      </c>
      <c r="H2169" s="10" t="str">
        <f aca="false">Config!$B$3</f>
        <v>2610_ff_lansare</v>
      </c>
      <c r="I2169" s="10" t="str">
        <f aca="false">D2169&amp;"_"&amp;Config!$B$4</f>
        <v>client_general</v>
      </c>
      <c r="J2169" s="10" t="str">
        <f aca="false">"https://"&amp;B2169&amp;G2169&amp;"?utm_source="&amp;E2169&amp;"&amp;utm_medium="&amp;F2169&amp;"&amp;utm_campaign="&amp;H2169&amp;"&amp;utm_content="&amp;I2169</f>
        <v>https://ecbtax.com/?utm_source=github&amp;utm_medium=referral&amp;utm_campaign=2610_ff_lansare&amp;utm_content=client_general</v>
      </c>
    </row>
    <row r="2170" customFormat="false" ht="15" hidden="false" customHeight="false" outlineLevel="0" collapsed="false">
      <c r="A2170" s="10" t="s">
        <v>97</v>
      </c>
      <c r="B2170" s="10" t="str">
        <f aca="false">INDEX('Site-uri'!$B$2:$B$20,MATCH(A2170,'Site-uri'!$A$2:$A$20,0))</f>
        <v>ecbtax.com</v>
      </c>
      <c r="C2170" s="10" t="s">
        <v>179</v>
      </c>
      <c r="D2170" s="10" t="s">
        <v>219</v>
      </c>
      <c r="E2170" s="10" t="str">
        <f aca="false">INDEX(Canale!$C$2:$C$30,MATCH(C2170,Canale!$A$2:$A$30,0))</f>
        <v>kdp_book</v>
      </c>
      <c r="F2170" s="10" t="str">
        <f aca="false">INDEX(Canale!$D$2:$D$30,MATCH(C2170,Canale!$A$2:$A$30,0))</f>
        <v>book</v>
      </c>
      <c r="G2170" s="10" t="str">
        <f aca="false">INDEX('Site-uri'!$C$2:$C$20,MATCH(A2170,'Site-uri'!$A$2:$A$20,0))</f>
        <v>/</v>
      </c>
      <c r="H2170" s="10" t="str">
        <f aca="false">Config!$B$3</f>
        <v>2610_ff_lansare</v>
      </c>
      <c r="I2170" s="10" t="str">
        <f aca="false">D2170&amp;"_"&amp;Config!$B$4</f>
        <v>rece_general</v>
      </c>
      <c r="J2170" s="10" t="str">
        <f aca="false">"https://"&amp;B2170&amp;G2170&amp;"?utm_source="&amp;E2170&amp;"&amp;utm_medium="&amp;F2170&amp;"&amp;utm_campaign="&amp;H2170&amp;"&amp;utm_content="&amp;I2170</f>
        <v>https://ecbtax.com/?utm_source=kdp_book&amp;utm_medium=book&amp;utm_campaign=2610_ff_lansare&amp;utm_content=rece_general</v>
      </c>
    </row>
    <row r="2171" customFormat="false" ht="15" hidden="false" customHeight="false" outlineLevel="0" collapsed="false">
      <c r="A2171" s="10" t="s">
        <v>97</v>
      </c>
      <c r="B2171" s="10" t="str">
        <f aca="false">INDEX('Site-uri'!$B$2:$B$20,MATCH(A2171,'Site-uri'!$A$2:$A$20,0))</f>
        <v>ecbtax.com</v>
      </c>
      <c r="C2171" s="10" t="s">
        <v>179</v>
      </c>
      <c r="D2171" s="10" t="s">
        <v>225</v>
      </c>
      <c r="E2171" s="10" t="str">
        <f aca="false">INDEX(Canale!$C$2:$C$30,MATCH(C2171,Canale!$A$2:$A$30,0))</f>
        <v>kdp_book</v>
      </c>
      <c r="F2171" s="10" t="str">
        <f aca="false">INDEX(Canale!$D$2:$D$30,MATCH(C2171,Canale!$A$2:$A$30,0))</f>
        <v>book</v>
      </c>
      <c r="G2171" s="10" t="str">
        <f aca="false">INDEX('Site-uri'!$C$2:$C$20,MATCH(A2171,'Site-uri'!$A$2:$A$20,0))</f>
        <v>/</v>
      </c>
      <c r="H2171" s="10" t="str">
        <f aca="false">Config!$B$3</f>
        <v>2610_ff_lansare</v>
      </c>
      <c r="I2171" s="10" t="str">
        <f aca="false">D2171&amp;"_"&amp;Config!$B$4</f>
        <v>cald_general</v>
      </c>
      <c r="J2171" s="10" t="str">
        <f aca="false">"https://"&amp;B2171&amp;G2171&amp;"?utm_source="&amp;E2171&amp;"&amp;utm_medium="&amp;F2171&amp;"&amp;utm_campaign="&amp;H2171&amp;"&amp;utm_content="&amp;I2171</f>
        <v>https://ecbtax.com/?utm_source=kdp_book&amp;utm_medium=book&amp;utm_campaign=2610_ff_lansare&amp;utm_content=cald_general</v>
      </c>
    </row>
    <row r="2172" customFormat="false" ht="15" hidden="false" customHeight="false" outlineLevel="0" collapsed="false">
      <c r="A2172" s="10" t="s">
        <v>97</v>
      </c>
      <c r="B2172" s="10" t="str">
        <f aca="false">INDEX('Site-uri'!$B$2:$B$20,MATCH(A2172,'Site-uri'!$A$2:$A$20,0))</f>
        <v>ecbtax.com</v>
      </c>
      <c r="C2172" s="10" t="s">
        <v>179</v>
      </c>
      <c r="D2172" s="10" t="s">
        <v>231</v>
      </c>
      <c r="E2172" s="10" t="str">
        <f aca="false">INDEX(Canale!$C$2:$C$30,MATCH(C2172,Canale!$A$2:$A$30,0))</f>
        <v>kdp_book</v>
      </c>
      <c r="F2172" s="10" t="str">
        <f aca="false">INDEX(Canale!$D$2:$D$30,MATCH(C2172,Canale!$A$2:$A$30,0))</f>
        <v>book</v>
      </c>
      <c r="G2172" s="10" t="str">
        <f aca="false">INDEX('Site-uri'!$C$2:$C$20,MATCH(A2172,'Site-uri'!$A$2:$A$20,0))</f>
        <v>/</v>
      </c>
      <c r="H2172" s="10" t="str">
        <f aca="false">Config!$B$3</f>
        <v>2610_ff_lansare</v>
      </c>
      <c r="I2172" s="10" t="str">
        <f aca="false">D2172&amp;"_"&amp;Config!$B$4</f>
        <v>fierbinte_general</v>
      </c>
      <c r="J2172" s="10" t="str">
        <f aca="false">"https://"&amp;B2172&amp;G2172&amp;"?utm_source="&amp;E2172&amp;"&amp;utm_medium="&amp;F2172&amp;"&amp;utm_campaign="&amp;H2172&amp;"&amp;utm_content="&amp;I2172</f>
        <v>https://ecbtax.com/?utm_source=kdp_book&amp;utm_medium=book&amp;utm_campaign=2610_ff_lansare&amp;utm_content=fierbinte_general</v>
      </c>
    </row>
    <row r="2173" customFormat="false" ht="15" hidden="false" customHeight="false" outlineLevel="0" collapsed="false">
      <c r="A2173" s="10" t="s">
        <v>97</v>
      </c>
      <c r="B2173" s="10" t="str">
        <f aca="false">INDEX('Site-uri'!$B$2:$B$20,MATCH(A2173,'Site-uri'!$A$2:$A$20,0))</f>
        <v>ecbtax.com</v>
      </c>
      <c r="C2173" s="10" t="s">
        <v>179</v>
      </c>
      <c r="D2173" s="10" t="s">
        <v>237</v>
      </c>
      <c r="E2173" s="10" t="str">
        <f aca="false">INDEX(Canale!$C$2:$C$30,MATCH(C2173,Canale!$A$2:$A$30,0))</f>
        <v>kdp_book</v>
      </c>
      <c r="F2173" s="10" t="str">
        <f aca="false">INDEX(Canale!$D$2:$D$30,MATCH(C2173,Canale!$A$2:$A$30,0))</f>
        <v>book</v>
      </c>
      <c r="G2173" s="10" t="str">
        <f aca="false">INDEX('Site-uri'!$C$2:$C$20,MATCH(A2173,'Site-uri'!$A$2:$A$20,0))</f>
        <v>/</v>
      </c>
      <c r="H2173" s="10" t="str">
        <f aca="false">Config!$B$3</f>
        <v>2610_ff_lansare</v>
      </c>
      <c r="I2173" s="10" t="str">
        <f aca="false">D2173&amp;"_"&amp;Config!$B$4</f>
        <v>client_general</v>
      </c>
      <c r="J2173" s="10" t="str">
        <f aca="false">"https://"&amp;B2173&amp;G2173&amp;"?utm_source="&amp;E2173&amp;"&amp;utm_medium="&amp;F2173&amp;"&amp;utm_campaign="&amp;H2173&amp;"&amp;utm_content="&amp;I2173</f>
        <v>https://ecbtax.com/?utm_source=kdp_book&amp;utm_medium=book&amp;utm_campaign=2610_ff_lansare&amp;utm_content=client_general</v>
      </c>
    </row>
    <row r="2174" customFormat="false" ht="15" hidden="false" customHeight="false" outlineLevel="0" collapsed="false">
      <c r="A2174" s="10" t="s">
        <v>97</v>
      </c>
      <c r="B2174" s="10" t="str">
        <f aca="false">INDEX('Site-uri'!$B$2:$B$20,MATCH(A2174,'Site-uri'!$A$2:$A$20,0))</f>
        <v>ecbtax.com</v>
      </c>
      <c r="C2174" s="10" t="s">
        <v>184</v>
      </c>
      <c r="D2174" s="10" t="s">
        <v>219</v>
      </c>
      <c r="E2174" s="10" t="str">
        <f aca="false">INDEX(Canale!$C$2:$C$30,MATCH(C2174,Canale!$A$2:$A$30,0))</f>
        <v>udemy</v>
      </c>
      <c r="F2174" s="10" t="str">
        <f aca="false">INDEX(Canale!$D$2:$D$30,MATCH(C2174,Canale!$A$2:$A$30,0))</f>
        <v>course</v>
      </c>
      <c r="G2174" s="10" t="str">
        <f aca="false">INDEX('Site-uri'!$C$2:$C$20,MATCH(A2174,'Site-uri'!$A$2:$A$20,0))</f>
        <v>/</v>
      </c>
      <c r="H2174" s="10" t="str">
        <f aca="false">Config!$B$3</f>
        <v>2610_ff_lansare</v>
      </c>
      <c r="I2174" s="10" t="str">
        <f aca="false">D2174&amp;"_"&amp;Config!$B$4</f>
        <v>rece_general</v>
      </c>
      <c r="J2174" s="10" t="str">
        <f aca="false">"https://"&amp;B2174&amp;G2174&amp;"?utm_source="&amp;E2174&amp;"&amp;utm_medium="&amp;F2174&amp;"&amp;utm_campaign="&amp;H2174&amp;"&amp;utm_content="&amp;I2174</f>
        <v>https://ecbtax.com/?utm_source=udemy&amp;utm_medium=course&amp;utm_campaign=2610_ff_lansare&amp;utm_content=rece_general</v>
      </c>
    </row>
    <row r="2175" customFormat="false" ht="15" hidden="false" customHeight="false" outlineLevel="0" collapsed="false">
      <c r="A2175" s="10" t="s">
        <v>97</v>
      </c>
      <c r="B2175" s="10" t="str">
        <f aca="false">INDEX('Site-uri'!$B$2:$B$20,MATCH(A2175,'Site-uri'!$A$2:$A$20,0))</f>
        <v>ecbtax.com</v>
      </c>
      <c r="C2175" s="10" t="s">
        <v>184</v>
      </c>
      <c r="D2175" s="10" t="s">
        <v>225</v>
      </c>
      <c r="E2175" s="10" t="str">
        <f aca="false">INDEX(Canale!$C$2:$C$30,MATCH(C2175,Canale!$A$2:$A$30,0))</f>
        <v>udemy</v>
      </c>
      <c r="F2175" s="10" t="str">
        <f aca="false">INDEX(Canale!$D$2:$D$30,MATCH(C2175,Canale!$A$2:$A$30,0))</f>
        <v>course</v>
      </c>
      <c r="G2175" s="10" t="str">
        <f aca="false">INDEX('Site-uri'!$C$2:$C$20,MATCH(A2175,'Site-uri'!$A$2:$A$20,0))</f>
        <v>/</v>
      </c>
      <c r="H2175" s="10" t="str">
        <f aca="false">Config!$B$3</f>
        <v>2610_ff_lansare</v>
      </c>
      <c r="I2175" s="10" t="str">
        <f aca="false">D2175&amp;"_"&amp;Config!$B$4</f>
        <v>cald_general</v>
      </c>
      <c r="J2175" s="10" t="str">
        <f aca="false">"https://"&amp;B2175&amp;G2175&amp;"?utm_source="&amp;E2175&amp;"&amp;utm_medium="&amp;F2175&amp;"&amp;utm_campaign="&amp;H2175&amp;"&amp;utm_content="&amp;I2175</f>
        <v>https://ecbtax.com/?utm_source=udemy&amp;utm_medium=course&amp;utm_campaign=2610_ff_lansare&amp;utm_content=cald_general</v>
      </c>
    </row>
    <row r="2176" customFormat="false" ht="15" hidden="false" customHeight="false" outlineLevel="0" collapsed="false">
      <c r="A2176" s="10" t="s">
        <v>97</v>
      </c>
      <c r="B2176" s="10" t="str">
        <f aca="false">INDEX('Site-uri'!$B$2:$B$20,MATCH(A2176,'Site-uri'!$A$2:$A$20,0))</f>
        <v>ecbtax.com</v>
      </c>
      <c r="C2176" s="10" t="s">
        <v>184</v>
      </c>
      <c r="D2176" s="10" t="s">
        <v>231</v>
      </c>
      <c r="E2176" s="10" t="str">
        <f aca="false">INDEX(Canale!$C$2:$C$30,MATCH(C2176,Canale!$A$2:$A$30,0))</f>
        <v>udemy</v>
      </c>
      <c r="F2176" s="10" t="str">
        <f aca="false">INDEX(Canale!$D$2:$D$30,MATCH(C2176,Canale!$A$2:$A$30,0))</f>
        <v>course</v>
      </c>
      <c r="G2176" s="10" t="str">
        <f aca="false">INDEX('Site-uri'!$C$2:$C$20,MATCH(A2176,'Site-uri'!$A$2:$A$20,0))</f>
        <v>/</v>
      </c>
      <c r="H2176" s="10" t="str">
        <f aca="false">Config!$B$3</f>
        <v>2610_ff_lansare</v>
      </c>
      <c r="I2176" s="10" t="str">
        <f aca="false">D2176&amp;"_"&amp;Config!$B$4</f>
        <v>fierbinte_general</v>
      </c>
      <c r="J2176" s="10" t="str">
        <f aca="false">"https://"&amp;B2176&amp;G2176&amp;"?utm_source="&amp;E2176&amp;"&amp;utm_medium="&amp;F2176&amp;"&amp;utm_campaign="&amp;H2176&amp;"&amp;utm_content="&amp;I2176</f>
        <v>https://ecbtax.com/?utm_source=udemy&amp;utm_medium=course&amp;utm_campaign=2610_ff_lansare&amp;utm_content=fierbinte_general</v>
      </c>
    </row>
    <row r="2177" customFormat="false" ht="15" hidden="false" customHeight="false" outlineLevel="0" collapsed="false">
      <c r="A2177" s="10" t="s">
        <v>97</v>
      </c>
      <c r="B2177" s="10" t="str">
        <f aca="false">INDEX('Site-uri'!$B$2:$B$20,MATCH(A2177,'Site-uri'!$A$2:$A$20,0))</f>
        <v>ecbtax.com</v>
      </c>
      <c r="C2177" s="10" t="s">
        <v>184</v>
      </c>
      <c r="D2177" s="10" t="s">
        <v>237</v>
      </c>
      <c r="E2177" s="10" t="str">
        <f aca="false">INDEX(Canale!$C$2:$C$30,MATCH(C2177,Canale!$A$2:$A$30,0))</f>
        <v>udemy</v>
      </c>
      <c r="F2177" s="10" t="str">
        <f aca="false">INDEX(Canale!$D$2:$D$30,MATCH(C2177,Canale!$A$2:$A$30,0))</f>
        <v>course</v>
      </c>
      <c r="G2177" s="10" t="str">
        <f aca="false">INDEX('Site-uri'!$C$2:$C$20,MATCH(A2177,'Site-uri'!$A$2:$A$20,0))</f>
        <v>/</v>
      </c>
      <c r="H2177" s="10" t="str">
        <f aca="false">Config!$B$3</f>
        <v>2610_ff_lansare</v>
      </c>
      <c r="I2177" s="10" t="str">
        <f aca="false">D2177&amp;"_"&amp;Config!$B$4</f>
        <v>client_general</v>
      </c>
      <c r="J2177" s="10" t="str">
        <f aca="false">"https://"&amp;B2177&amp;G2177&amp;"?utm_source="&amp;E2177&amp;"&amp;utm_medium="&amp;F2177&amp;"&amp;utm_campaign="&amp;H2177&amp;"&amp;utm_content="&amp;I2177</f>
        <v>https://ecbtax.com/?utm_source=udemy&amp;utm_medium=course&amp;utm_campaign=2610_ff_lansare&amp;utm_content=client_general</v>
      </c>
    </row>
    <row r="2178" customFormat="false" ht="15" hidden="false" customHeight="false" outlineLevel="0" collapsed="false">
      <c r="A2178" s="10" t="s">
        <v>97</v>
      </c>
      <c r="B2178" s="10" t="str">
        <f aca="false">INDEX('Site-uri'!$B$2:$B$20,MATCH(A2178,'Site-uri'!$A$2:$A$20,0))</f>
        <v>ecbtax.com</v>
      </c>
      <c r="C2178" s="10" t="s">
        <v>187</v>
      </c>
      <c r="D2178" s="10" t="s">
        <v>219</v>
      </c>
      <c r="E2178" s="10" t="str">
        <f aca="false">INDEX(Canale!$C$2:$C$30,MATCH(C2178,Canale!$A$2:$A$30,0))</f>
        <v>directory</v>
      </c>
      <c r="F2178" s="10" t="str">
        <f aca="false">INDEX(Canale!$D$2:$D$30,MATCH(C2178,Canale!$A$2:$A$30,0))</f>
        <v>referral</v>
      </c>
      <c r="G2178" s="10" t="str">
        <f aca="false">INDEX('Site-uri'!$C$2:$C$20,MATCH(A2178,'Site-uri'!$A$2:$A$20,0))</f>
        <v>/</v>
      </c>
      <c r="H2178" s="10" t="str">
        <f aca="false">Config!$B$3</f>
        <v>2610_ff_lansare</v>
      </c>
      <c r="I2178" s="10" t="str">
        <f aca="false">D2178&amp;"_"&amp;Config!$B$4</f>
        <v>rece_general</v>
      </c>
      <c r="J2178" s="10" t="str">
        <f aca="false">"https://"&amp;B2178&amp;G2178&amp;"?utm_source="&amp;E2178&amp;"&amp;utm_medium="&amp;F2178&amp;"&amp;utm_campaign="&amp;H2178&amp;"&amp;utm_content="&amp;I2178</f>
        <v>https://ecbtax.com/?utm_source=directory&amp;utm_medium=referral&amp;utm_campaign=2610_ff_lansare&amp;utm_content=rece_general</v>
      </c>
    </row>
    <row r="2179" customFormat="false" ht="15" hidden="false" customHeight="false" outlineLevel="0" collapsed="false">
      <c r="A2179" s="10" t="s">
        <v>97</v>
      </c>
      <c r="B2179" s="10" t="str">
        <f aca="false">INDEX('Site-uri'!$B$2:$B$20,MATCH(A2179,'Site-uri'!$A$2:$A$20,0))</f>
        <v>ecbtax.com</v>
      </c>
      <c r="C2179" s="10" t="s">
        <v>187</v>
      </c>
      <c r="D2179" s="10" t="s">
        <v>225</v>
      </c>
      <c r="E2179" s="10" t="str">
        <f aca="false">INDEX(Canale!$C$2:$C$30,MATCH(C2179,Canale!$A$2:$A$30,0))</f>
        <v>directory</v>
      </c>
      <c r="F2179" s="10" t="str">
        <f aca="false">INDEX(Canale!$D$2:$D$30,MATCH(C2179,Canale!$A$2:$A$30,0))</f>
        <v>referral</v>
      </c>
      <c r="G2179" s="10" t="str">
        <f aca="false">INDEX('Site-uri'!$C$2:$C$20,MATCH(A2179,'Site-uri'!$A$2:$A$20,0))</f>
        <v>/</v>
      </c>
      <c r="H2179" s="10" t="str">
        <f aca="false">Config!$B$3</f>
        <v>2610_ff_lansare</v>
      </c>
      <c r="I2179" s="10" t="str">
        <f aca="false">D2179&amp;"_"&amp;Config!$B$4</f>
        <v>cald_general</v>
      </c>
      <c r="J2179" s="10" t="str">
        <f aca="false">"https://"&amp;B2179&amp;G2179&amp;"?utm_source="&amp;E2179&amp;"&amp;utm_medium="&amp;F2179&amp;"&amp;utm_campaign="&amp;H2179&amp;"&amp;utm_content="&amp;I2179</f>
        <v>https://ecbtax.com/?utm_source=directory&amp;utm_medium=referral&amp;utm_campaign=2610_ff_lansare&amp;utm_content=cald_general</v>
      </c>
    </row>
    <row r="2180" customFormat="false" ht="15" hidden="false" customHeight="false" outlineLevel="0" collapsed="false">
      <c r="A2180" s="10" t="s">
        <v>97</v>
      </c>
      <c r="B2180" s="10" t="str">
        <f aca="false">INDEX('Site-uri'!$B$2:$B$20,MATCH(A2180,'Site-uri'!$A$2:$A$20,0))</f>
        <v>ecbtax.com</v>
      </c>
      <c r="C2180" s="10" t="s">
        <v>187</v>
      </c>
      <c r="D2180" s="10" t="s">
        <v>231</v>
      </c>
      <c r="E2180" s="10" t="str">
        <f aca="false">INDEX(Canale!$C$2:$C$30,MATCH(C2180,Canale!$A$2:$A$30,0))</f>
        <v>directory</v>
      </c>
      <c r="F2180" s="10" t="str">
        <f aca="false">INDEX(Canale!$D$2:$D$30,MATCH(C2180,Canale!$A$2:$A$30,0))</f>
        <v>referral</v>
      </c>
      <c r="G2180" s="10" t="str">
        <f aca="false">INDEX('Site-uri'!$C$2:$C$20,MATCH(A2180,'Site-uri'!$A$2:$A$20,0))</f>
        <v>/</v>
      </c>
      <c r="H2180" s="10" t="str">
        <f aca="false">Config!$B$3</f>
        <v>2610_ff_lansare</v>
      </c>
      <c r="I2180" s="10" t="str">
        <f aca="false">D2180&amp;"_"&amp;Config!$B$4</f>
        <v>fierbinte_general</v>
      </c>
      <c r="J2180" s="10" t="str">
        <f aca="false">"https://"&amp;B2180&amp;G2180&amp;"?utm_source="&amp;E2180&amp;"&amp;utm_medium="&amp;F2180&amp;"&amp;utm_campaign="&amp;H2180&amp;"&amp;utm_content="&amp;I2180</f>
        <v>https://ecbtax.com/?utm_source=directory&amp;utm_medium=referral&amp;utm_campaign=2610_ff_lansare&amp;utm_content=fierbinte_general</v>
      </c>
    </row>
    <row r="2181" customFormat="false" ht="15" hidden="false" customHeight="false" outlineLevel="0" collapsed="false">
      <c r="A2181" s="10" t="s">
        <v>97</v>
      </c>
      <c r="B2181" s="10" t="str">
        <f aca="false">INDEX('Site-uri'!$B$2:$B$20,MATCH(A2181,'Site-uri'!$A$2:$A$20,0))</f>
        <v>ecbtax.com</v>
      </c>
      <c r="C2181" s="10" t="s">
        <v>187</v>
      </c>
      <c r="D2181" s="10" t="s">
        <v>237</v>
      </c>
      <c r="E2181" s="10" t="str">
        <f aca="false">INDEX(Canale!$C$2:$C$30,MATCH(C2181,Canale!$A$2:$A$30,0))</f>
        <v>directory</v>
      </c>
      <c r="F2181" s="10" t="str">
        <f aca="false">INDEX(Canale!$D$2:$D$30,MATCH(C2181,Canale!$A$2:$A$30,0))</f>
        <v>referral</v>
      </c>
      <c r="G2181" s="10" t="str">
        <f aca="false">INDEX('Site-uri'!$C$2:$C$20,MATCH(A2181,'Site-uri'!$A$2:$A$20,0))</f>
        <v>/</v>
      </c>
      <c r="H2181" s="10" t="str">
        <f aca="false">Config!$B$3</f>
        <v>2610_ff_lansare</v>
      </c>
      <c r="I2181" s="10" t="str">
        <f aca="false">D2181&amp;"_"&amp;Config!$B$4</f>
        <v>client_general</v>
      </c>
      <c r="J2181" s="10" t="str">
        <f aca="false">"https://"&amp;B2181&amp;G2181&amp;"?utm_source="&amp;E2181&amp;"&amp;utm_medium="&amp;F2181&amp;"&amp;utm_campaign="&amp;H2181&amp;"&amp;utm_content="&amp;I2181</f>
        <v>https://ecbtax.com/?utm_source=directory&amp;utm_medium=referral&amp;utm_campaign=2610_ff_lansare&amp;utm_content=client_general</v>
      </c>
    </row>
    <row r="2182" customFormat="false" ht="15" hidden="false" customHeight="false" outlineLevel="0" collapsed="false">
      <c r="A2182" s="10" t="s">
        <v>97</v>
      </c>
      <c r="B2182" s="10" t="str">
        <f aca="false">INDEX('Site-uri'!$B$2:$B$20,MATCH(A2182,'Site-uri'!$A$2:$A$20,0))</f>
        <v>ecbtax.com</v>
      </c>
      <c r="C2182" s="10" t="s">
        <v>191</v>
      </c>
      <c r="D2182" s="10" t="s">
        <v>219</v>
      </c>
      <c r="E2182" s="10" t="str">
        <f aca="false">INDEX(Canale!$C$2:$C$30,MATCH(C2182,Canale!$A$2:$A$30,0))</f>
        <v>partner</v>
      </c>
      <c r="F2182" s="10" t="str">
        <f aca="false">INDEX(Canale!$D$2:$D$30,MATCH(C2182,Canale!$A$2:$A$30,0))</f>
        <v>partner</v>
      </c>
      <c r="G2182" s="10" t="str">
        <f aca="false">INDEX('Site-uri'!$C$2:$C$20,MATCH(A2182,'Site-uri'!$A$2:$A$20,0))</f>
        <v>/</v>
      </c>
      <c r="H2182" s="10" t="str">
        <f aca="false">Config!$B$3</f>
        <v>2610_ff_lansare</v>
      </c>
      <c r="I2182" s="10" t="str">
        <f aca="false">D2182&amp;"_"&amp;Config!$B$4</f>
        <v>rece_general</v>
      </c>
      <c r="J2182" s="10" t="str">
        <f aca="false">"https://"&amp;B2182&amp;G2182&amp;"?utm_source="&amp;E2182&amp;"&amp;utm_medium="&amp;F2182&amp;"&amp;utm_campaign="&amp;H2182&amp;"&amp;utm_content="&amp;I2182</f>
        <v>https://ecbtax.com/?utm_source=partner&amp;utm_medium=partner&amp;utm_campaign=2610_ff_lansare&amp;utm_content=rece_general</v>
      </c>
    </row>
    <row r="2183" customFormat="false" ht="15" hidden="false" customHeight="false" outlineLevel="0" collapsed="false">
      <c r="A2183" s="10" t="s">
        <v>97</v>
      </c>
      <c r="B2183" s="10" t="str">
        <f aca="false">INDEX('Site-uri'!$B$2:$B$20,MATCH(A2183,'Site-uri'!$A$2:$A$20,0))</f>
        <v>ecbtax.com</v>
      </c>
      <c r="C2183" s="10" t="s">
        <v>191</v>
      </c>
      <c r="D2183" s="10" t="s">
        <v>225</v>
      </c>
      <c r="E2183" s="10" t="str">
        <f aca="false">INDEX(Canale!$C$2:$C$30,MATCH(C2183,Canale!$A$2:$A$30,0))</f>
        <v>partner</v>
      </c>
      <c r="F2183" s="10" t="str">
        <f aca="false">INDEX(Canale!$D$2:$D$30,MATCH(C2183,Canale!$A$2:$A$30,0))</f>
        <v>partner</v>
      </c>
      <c r="G2183" s="10" t="str">
        <f aca="false">INDEX('Site-uri'!$C$2:$C$20,MATCH(A2183,'Site-uri'!$A$2:$A$20,0))</f>
        <v>/</v>
      </c>
      <c r="H2183" s="10" t="str">
        <f aca="false">Config!$B$3</f>
        <v>2610_ff_lansare</v>
      </c>
      <c r="I2183" s="10" t="str">
        <f aca="false">D2183&amp;"_"&amp;Config!$B$4</f>
        <v>cald_general</v>
      </c>
      <c r="J2183" s="10" t="str">
        <f aca="false">"https://"&amp;B2183&amp;G2183&amp;"?utm_source="&amp;E2183&amp;"&amp;utm_medium="&amp;F2183&amp;"&amp;utm_campaign="&amp;H2183&amp;"&amp;utm_content="&amp;I2183</f>
        <v>https://ecbtax.com/?utm_source=partner&amp;utm_medium=partner&amp;utm_campaign=2610_ff_lansare&amp;utm_content=cald_general</v>
      </c>
    </row>
    <row r="2184" customFormat="false" ht="15" hidden="false" customHeight="false" outlineLevel="0" collapsed="false">
      <c r="A2184" s="10" t="s">
        <v>97</v>
      </c>
      <c r="B2184" s="10" t="str">
        <f aca="false">INDEX('Site-uri'!$B$2:$B$20,MATCH(A2184,'Site-uri'!$A$2:$A$20,0))</f>
        <v>ecbtax.com</v>
      </c>
      <c r="C2184" s="10" t="s">
        <v>191</v>
      </c>
      <c r="D2184" s="10" t="s">
        <v>231</v>
      </c>
      <c r="E2184" s="10" t="str">
        <f aca="false">INDEX(Canale!$C$2:$C$30,MATCH(C2184,Canale!$A$2:$A$30,0))</f>
        <v>partner</v>
      </c>
      <c r="F2184" s="10" t="str">
        <f aca="false">INDEX(Canale!$D$2:$D$30,MATCH(C2184,Canale!$A$2:$A$30,0))</f>
        <v>partner</v>
      </c>
      <c r="G2184" s="10" t="str">
        <f aca="false">INDEX('Site-uri'!$C$2:$C$20,MATCH(A2184,'Site-uri'!$A$2:$A$20,0))</f>
        <v>/</v>
      </c>
      <c r="H2184" s="10" t="str">
        <f aca="false">Config!$B$3</f>
        <v>2610_ff_lansare</v>
      </c>
      <c r="I2184" s="10" t="str">
        <f aca="false">D2184&amp;"_"&amp;Config!$B$4</f>
        <v>fierbinte_general</v>
      </c>
      <c r="J2184" s="10" t="str">
        <f aca="false">"https://"&amp;B2184&amp;G2184&amp;"?utm_source="&amp;E2184&amp;"&amp;utm_medium="&amp;F2184&amp;"&amp;utm_campaign="&amp;H2184&amp;"&amp;utm_content="&amp;I2184</f>
        <v>https://ecbtax.com/?utm_source=partner&amp;utm_medium=partner&amp;utm_campaign=2610_ff_lansare&amp;utm_content=fierbinte_general</v>
      </c>
    </row>
    <row r="2185" customFormat="false" ht="15" hidden="false" customHeight="false" outlineLevel="0" collapsed="false">
      <c r="A2185" s="10" t="s">
        <v>97</v>
      </c>
      <c r="B2185" s="10" t="str">
        <f aca="false">INDEX('Site-uri'!$B$2:$B$20,MATCH(A2185,'Site-uri'!$A$2:$A$20,0))</f>
        <v>ecbtax.com</v>
      </c>
      <c r="C2185" s="10" t="s">
        <v>191</v>
      </c>
      <c r="D2185" s="10" t="s">
        <v>237</v>
      </c>
      <c r="E2185" s="10" t="str">
        <f aca="false">INDEX(Canale!$C$2:$C$30,MATCH(C2185,Canale!$A$2:$A$30,0))</f>
        <v>partner</v>
      </c>
      <c r="F2185" s="10" t="str">
        <f aca="false">INDEX(Canale!$D$2:$D$30,MATCH(C2185,Canale!$A$2:$A$30,0))</f>
        <v>partner</v>
      </c>
      <c r="G2185" s="10" t="str">
        <f aca="false">INDEX('Site-uri'!$C$2:$C$20,MATCH(A2185,'Site-uri'!$A$2:$A$20,0))</f>
        <v>/</v>
      </c>
      <c r="H2185" s="10" t="str">
        <f aca="false">Config!$B$3</f>
        <v>2610_ff_lansare</v>
      </c>
      <c r="I2185" s="10" t="str">
        <f aca="false">D2185&amp;"_"&amp;Config!$B$4</f>
        <v>client_general</v>
      </c>
      <c r="J2185" s="10" t="str">
        <f aca="false">"https://"&amp;B2185&amp;G2185&amp;"?utm_source="&amp;E2185&amp;"&amp;utm_medium="&amp;F2185&amp;"&amp;utm_campaign="&amp;H2185&amp;"&amp;utm_content="&amp;I2185</f>
        <v>https://ecbtax.com/?utm_source=partner&amp;utm_medium=partner&amp;utm_campaign=2610_ff_lansare&amp;utm_content=client_general</v>
      </c>
    </row>
    <row r="2186" customFormat="false" ht="15" hidden="false" customHeight="false" outlineLevel="0" collapsed="false">
      <c r="A2186" s="10" t="s">
        <v>97</v>
      </c>
      <c r="B2186" s="10" t="str">
        <f aca="false">INDEX('Site-uri'!$B$2:$B$20,MATCH(A2186,'Site-uri'!$A$2:$A$20,0))</f>
        <v>ecbtax.com</v>
      </c>
      <c r="C2186" s="10" t="s">
        <v>193</v>
      </c>
      <c r="D2186" s="10" t="s">
        <v>219</v>
      </c>
      <c r="E2186" s="10" t="str">
        <f aca="false">INDEX(Canale!$C$2:$C$30,MATCH(C2186,Canale!$A$2:$A$30,0))</f>
        <v>pdf_proposal</v>
      </c>
      <c r="F2186" s="10" t="str">
        <f aca="false">INDEX(Canale!$D$2:$D$30,MATCH(C2186,Canale!$A$2:$A$30,0))</f>
        <v>document</v>
      </c>
      <c r="G2186" s="10" t="str">
        <f aca="false">INDEX('Site-uri'!$C$2:$C$20,MATCH(A2186,'Site-uri'!$A$2:$A$20,0))</f>
        <v>/</v>
      </c>
      <c r="H2186" s="10" t="str">
        <f aca="false">Config!$B$3</f>
        <v>2610_ff_lansare</v>
      </c>
      <c r="I2186" s="10" t="str">
        <f aca="false">D2186&amp;"_"&amp;Config!$B$4</f>
        <v>rece_general</v>
      </c>
      <c r="J2186" s="10" t="str">
        <f aca="false">"https://"&amp;B2186&amp;G2186&amp;"?utm_source="&amp;E2186&amp;"&amp;utm_medium="&amp;F2186&amp;"&amp;utm_campaign="&amp;H2186&amp;"&amp;utm_content="&amp;I2186</f>
        <v>https://ecbtax.com/?utm_source=pdf_proposal&amp;utm_medium=document&amp;utm_campaign=2610_ff_lansare&amp;utm_content=rece_general</v>
      </c>
    </row>
    <row r="2187" customFormat="false" ht="15" hidden="false" customHeight="false" outlineLevel="0" collapsed="false">
      <c r="A2187" s="10" t="s">
        <v>97</v>
      </c>
      <c r="B2187" s="10" t="str">
        <f aca="false">INDEX('Site-uri'!$B$2:$B$20,MATCH(A2187,'Site-uri'!$A$2:$A$20,0))</f>
        <v>ecbtax.com</v>
      </c>
      <c r="C2187" s="10" t="s">
        <v>193</v>
      </c>
      <c r="D2187" s="10" t="s">
        <v>225</v>
      </c>
      <c r="E2187" s="10" t="str">
        <f aca="false">INDEX(Canale!$C$2:$C$30,MATCH(C2187,Canale!$A$2:$A$30,0))</f>
        <v>pdf_proposal</v>
      </c>
      <c r="F2187" s="10" t="str">
        <f aca="false">INDEX(Canale!$D$2:$D$30,MATCH(C2187,Canale!$A$2:$A$30,0))</f>
        <v>document</v>
      </c>
      <c r="G2187" s="10" t="str">
        <f aca="false">INDEX('Site-uri'!$C$2:$C$20,MATCH(A2187,'Site-uri'!$A$2:$A$20,0))</f>
        <v>/</v>
      </c>
      <c r="H2187" s="10" t="str">
        <f aca="false">Config!$B$3</f>
        <v>2610_ff_lansare</v>
      </c>
      <c r="I2187" s="10" t="str">
        <f aca="false">D2187&amp;"_"&amp;Config!$B$4</f>
        <v>cald_general</v>
      </c>
      <c r="J2187" s="10" t="str">
        <f aca="false">"https://"&amp;B2187&amp;G2187&amp;"?utm_source="&amp;E2187&amp;"&amp;utm_medium="&amp;F2187&amp;"&amp;utm_campaign="&amp;H2187&amp;"&amp;utm_content="&amp;I2187</f>
        <v>https://ecbtax.com/?utm_source=pdf_proposal&amp;utm_medium=document&amp;utm_campaign=2610_ff_lansare&amp;utm_content=cald_general</v>
      </c>
    </row>
    <row r="2188" customFormat="false" ht="15" hidden="false" customHeight="false" outlineLevel="0" collapsed="false">
      <c r="A2188" s="10" t="s">
        <v>97</v>
      </c>
      <c r="B2188" s="10" t="str">
        <f aca="false">INDEX('Site-uri'!$B$2:$B$20,MATCH(A2188,'Site-uri'!$A$2:$A$20,0))</f>
        <v>ecbtax.com</v>
      </c>
      <c r="C2188" s="10" t="s">
        <v>193</v>
      </c>
      <c r="D2188" s="10" t="s">
        <v>231</v>
      </c>
      <c r="E2188" s="10" t="str">
        <f aca="false">INDEX(Canale!$C$2:$C$30,MATCH(C2188,Canale!$A$2:$A$30,0))</f>
        <v>pdf_proposal</v>
      </c>
      <c r="F2188" s="10" t="str">
        <f aca="false">INDEX(Canale!$D$2:$D$30,MATCH(C2188,Canale!$A$2:$A$30,0))</f>
        <v>document</v>
      </c>
      <c r="G2188" s="10" t="str">
        <f aca="false">INDEX('Site-uri'!$C$2:$C$20,MATCH(A2188,'Site-uri'!$A$2:$A$20,0))</f>
        <v>/</v>
      </c>
      <c r="H2188" s="10" t="str">
        <f aca="false">Config!$B$3</f>
        <v>2610_ff_lansare</v>
      </c>
      <c r="I2188" s="10" t="str">
        <f aca="false">D2188&amp;"_"&amp;Config!$B$4</f>
        <v>fierbinte_general</v>
      </c>
      <c r="J2188" s="10" t="str">
        <f aca="false">"https://"&amp;B2188&amp;G2188&amp;"?utm_source="&amp;E2188&amp;"&amp;utm_medium="&amp;F2188&amp;"&amp;utm_campaign="&amp;H2188&amp;"&amp;utm_content="&amp;I2188</f>
        <v>https://ecbtax.com/?utm_source=pdf_proposal&amp;utm_medium=document&amp;utm_campaign=2610_ff_lansare&amp;utm_content=fierbinte_general</v>
      </c>
    </row>
    <row r="2189" customFormat="false" ht="15" hidden="false" customHeight="false" outlineLevel="0" collapsed="false">
      <c r="A2189" s="10" t="s">
        <v>97</v>
      </c>
      <c r="B2189" s="10" t="str">
        <f aca="false">INDEX('Site-uri'!$B$2:$B$20,MATCH(A2189,'Site-uri'!$A$2:$A$20,0))</f>
        <v>ecbtax.com</v>
      </c>
      <c r="C2189" s="10" t="s">
        <v>193</v>
      </c>
      <c r="D2189" s="10" t="s">
        <v>237</v>
      </c>
      <c r="E2189" s="10" t="str">
        <f aca="false">INDEX(Canale!$C$2:$C$30,MATCH(C2189,Canale!$A$2:$A$30,0))</f>
        <v>pdf_proposal</v>
      </c>
      <c r="F2189" s="10" t="str">
        <f aca="false">INDEX(Canale!$D$2:$D$30,MATCH(C2189,Canale!$A$2:$A$30,0))</f>
        <v>document</v>
      </c>
      <c r="G2189" s="10" t="str">
        <f aca="false">INDEX('Site-uri'!$C$2:$C$20,MATCH(A2189,'Site-uri'!$A$2:$A$20,0))</f>
        <v>/</v>
      </c>
      <c r="H2189" s="10" t="str">
        <f aca="false">Config!$B$3</f>
        <v>2610_ff_lansare</v>
      </c>
      <c r="I2189" s="10" t="str">
        <f aca="false">D2189&amp;"_"&amp;Config!$B$4</f>
        <v>client_general</v>
      </c>
      <c r="J2189" s="10" t="str">
        <f aca="false">"https://"&amp;B2189&amp;G2189&amp;"?utm_source="&amp;E2189&amp;"&amp;utm_medium="&amp;F2189&amp;"&amp;utm_campaign="&amp;H2189&amp;"&amp;utm_content="&amp;I2189</f>
        <v>https://ecbtax.com/?utm_source=pdf_proposal&amp;utm_medium=document&amp;utm_campaign=2610_ff_lansare&amp;utm_content=client_general</v>
      </c>
    </row>
    <row r="2190" customFormat="false" ht="15" hidden="false" customHeight="false" outlineLevel="0" collapsed="false">
      <c r="A2190" s="10" t="s">
        <v>97</v>
      </c>
      <c r="B2190" s="10" t="str">
        <f aca="false">INDEX('Site-uri'!$B$2:$B$20,MATCH(A2190,'Site-uri'!$A$2:$A$20,0))</f>
        <v>ecbtax.com</v>
      </c>
      <c r="C2190" s="10" t="s">
        <v>198</v>
      </c>
      <c r="D2190" s="10" t="s">
        <v>219</v>
      </c>
      <c r="E2190" s="10" t="str">
        <f aca="false">INDEX(Canale!$C$2:$C$30,MATCH(C2190,Canale!$A$2:$A$30,0))</f>
        <v>qr_print</v>
      </c>
      <c r="F2190" s="10" t="str">
        <f aca="false">INDEX(Canale!$D$2:$D$30,MATCH(C2190,Canale!$A$2:$A$30,0))</f>
        <v>qr</v>
      </c>
      <c r="G2190" s="10" t="str">
        <f aca="false">INDEX('Site-uri'!$C$2:$C$20,MATCH(A2190,'Site-uri'!$A$2:$A$20,0))</f>
        <v>/</v>
      </c>
      <c r="H2190" s="10" t="str">
        <f aca="false">Config!$B$3</f>
        <v>2610_ff_lansare</v>
      </c>
      <c r="I2190" s="10" t="str">
        <f aca="false">D2190&amp;"_"&amp;Config!$B$4</f>
        <v>rece_general</v>
      </c>
      <c r="J2190" s="10" t="str">
        <f aca="false">"https://"&amp;B2190&amp;G2190&amp;"?utm_source="&amp;E2190&amp;"&amp;utm_medium="&amp;F2190&amp;"&amp;utm_campaign="&amp;H2190&amp;"&amp;utm_content="&amp;I2190</f>
        <v>https://ecbtax.com/?utm_source=qr_print&amp;utm_medium=qr&amp;utm_campaign=2610_ff_lansare&amp;utm_content=rece_general</v>
      </c>
    </row>
    <row r="2191" customFormat="false" ht="15" hidden="false" customHeight="false" outlineLevel="0" collapsed="false">
      <c r="A2191" s="10" t="s">
        <v>97</v>
      </c>
      <c r="B2191" s="10" t="str">
        <f aca="false">INDEX('Site-uri'!$B$2:$B$20,MATCH(A2191,'Site-uri'!$A$2:$A$20,0))</f>
        <v>ecbtax.com</v>
      </c>
      <c r="C2191" s="10" t="s">
        <v>198</v>
      </c>
      <c r="D2191" s="10" t="s">
        <v>225</v>
      </c>
      <c r="E2191" s="10" t="str">
        <f aca="false">INDEX(Canale!$C$2:$C$30,MATCH(C2191,Canale!$A$2:$A$30,0))</f>
        <v>qr_print</v>
      </c>
      <c r="F2191" s="10" t="str">
        <f aca="false">INDEX(Canale!$D$2:$D$30,MATCH(C2191,Canale!$A$2:$A$30,0))</f>
        <v>qr</v>
      </c>
      <c r="G2191" s="10" t="str">
        <f aca="false">INDEX('Site-uri'!$C$2:$C$20,MATCH(A2191,'Site-uri'!$A$2:$A$20,0))</f>
        <v>/</v>
      </c>
      <c r="H2191" s="10" t="str">
        <f aca="false">Config!$B$3</f>
        <v>2610_ff_lansare</v>
      </c>
      <c r="I2191" s="10" t="str">
        <f aca="false">D2191&amp;"_"&amp;Config!$B$4</f>
        <v>cald_general</v>
      </c>
      <c r="J2191" s="10" t="str">
        <f aca="false">"https://"&amp;B2191&amp;G2191&amp;"?utm_source="&amp;E2191&amp;"&amp;utm_medium="&amp;F2191&amp;"&amp;utm_campaign="&amp;H2191&amp;"&amp;utm_content="&amp;I2191</f>
        <v>https://ecbtax.com/?utm_source=qr_print&amp;utm_medium=qr&amp;utm_campaign=2610_ff_lansare&amp;utm_content=cald_general</v>
      </c>
    </row>
    <row r="2192" customFormat="false" ht="15" hidden="false" customHeight="false" outlineLevel="0" collapsed="false">
      <c r="A2192" s="10" t="s">
        <v>97</v>
      </c>
      <c r="B2192" s="10" t="str">
        <f aca="false">INDEX('Site-uri'!$B$2:$B$20,MATCH(A2192,'Site-uri'!$A$2:$A$20,0))</f>
        <v>ecbtax.com</v>
      </c>
      <c r="C2192" s="10" t="s">
        <v>198</v>
      </c>
      <c r="D2192" s="10" t="s">
        <v>231</v>
      </c>
      <c r="E2192" s="10" t="str">
        <f aca="false">INDEX(Canale!$C$2:$C$30,MATCH(C2192,Canale!$A$2:$A$30,0))</f>
        <v>qr_print</v>
      </c>
      <c r="F2192" s="10" t="str">
        <f aca="false">INDEX(Canale!$D$2:$D$30,MATCH(C2192,Canale!$A$2:$A$30,0))</f>
        <v>qr</v>
      </c>
      <c r="G2192" s="10" t="str">
        <f aca="false">INDEX('Site-uri'!$C$2:$C$20,MATCH(A2192,'Site-uri'!$A$2:$A$20,0))</f>
        <v>/</v>
      </c>
      <c r="H2192" s="10" t="str">
        <f aca="false">Config!$B$3</f>
        <v>2610_ff_lansare</v>
      </c>
      <c r="I2192" s="10" t="str">
        <f aca="false">D2192&amp;"_"&amp;Config!$B$4</f>
        <v>fierbinte_general</v>
      </c>
      <c r="J2192" s="10" t="str">
        <f aca="false">"https://"&amp;B2192&amp;G2192&amp;"?utm_source="&amp;E2192&amp;"&amp;utm_medium="&amp;F2192&amp;"&amp;utm_campaign="&amp;H2192&amp;"&amp;utm_content="&amp;I2192</f>
        <v>https://ecbtax.com/?utm_source=qr_print&amp;utm_medium=qr&amp;utm_campaign=2610_ff_lansare&amp;utm_content=fierbinte_general</v>
      </c>
    </row>
    <row r="2193" customFormat="false" ht="15" hidden="false" customHeight="false" outlineLevel="0" collapsed="false">
      <c r="A2193" s="10" t="s">
        <v>97</v>
      </c>
      <c r="B2193" s="10" t="str">
        <f aca="false">INDEX('Site-uri'!$B$2:$B$20,MATCH(A2193,'Site-uri'!$A$2:$A$20,0))</f>
        <v>ecbtax.com</v>
      </c>
      <c r="C2193" s="10" t="s">
        <v>198</v>
      </c>
      <c r="D2193" s="10" t="s">
        <v>237</v>
      </c>
      <c r="E2193" s="10" t="str">
        <f aca="false">INDEX(Canale!$C$2:$C$30,MATCH(C2193,Canale!$A$2:$A$30,0))</f>
        <v>qr_print</v>
      </c>
      <c r="F2193" s="10" t="str">
        <f aca="false">INDEX(Canale!$D$2:$D$30,MATCH(C2193,Canale!$A$2:$A$30,0))</f>
        <v>qr</v>
      </c>
      <c r="G2193" s="10" t="str">
        <f aca="false">INDEX('Site-uri'!$C$2:$C$20,MATCH(A2193,'Site-uri'!$A$2:$A$20,0))</f>
        <v>/</v>
      </c>
      <c r="H2193" s="10" t="str">
        <f aca="false">Config!$B$3</f>
        <v>2610_ff_lansare</v>
      </c>
      <c r="I2193" s="10" t="str">
        <f aca="false">D2193&amp;"_"&amp;Config!$B$4</f>
        <v>client_general</v>
      </c>
      <c r="J2193" s="10" t="str">
        <f aca="false">"https://"&amp;B2193&amp;G2193&amp;"?utm_source="&amp;E2193&amp;"&amp;utm_medium="&amp;F2193&amp;"&amp;utm_campaign="&amp;H2193&amp;"&amp;utm_content="&amp;I2193</f>
        <v>https://ecbtax.com/?utm_source=qr_print&amp;utm_medium=qr&amp;utm_campaign=2610_ff_lansare&amp;utm_content=client_general</v>
      </c>
    </row>
    <row r="2194" customFormat="false" ht="15" hidden="false" customHeight="false" outlineLevel="0" collapsed="false">
      <c r="A2194" s="10" t="s">
        <v>97</v>
      </c>
      <c r="B2194" s="10" t="str">
        <f aca="false">INDEX('Site-uri'!$B$2:$B$20,MATCH(A2194,'Site-uri'!$A$2:$A$20,0))</f>
        <v>ecbtax.com</v>
      </c>
      <c r="C2194" s="10" t="s">
        <v>202</v>
      </c>
      <c r="D2194" s="10" t="s">
        <v>219</v>
      </c>
      <c r="E2194" s="10" t="str">
        <f aca="false">INDEX(Canale!$C$2:$C$30,MATCH(C2194,Canale!$A$2:$A$30,0))</f>
        <v>event</v>
      </c>
      <c r="F2194" s="10" t="str">
        <f aca="false">INDEX(Canale!$D$2:$D$30,MATCH(C2194,Canale!$A$2:$A$30,0))</f>
        <v>event</v>
      </c>
      <c r="G2194" s="10" t="str">
        <f aca="false">INDEX('Site-uri'!$C$2:$C$20,MATCH(A2194,'Site-uri'!$A$2:$A$20,0))</f>
        <v>/</v>
      </c>
      <c r="H2194" s="10" t="str">
        <f aca="false">Config!$B$3</f>
        <v>2610_ff_lansare</v>
      </c>
      <c r="I2194" s="10" t="str">
        <f aca="false">D2194&amp;"_"&amp;Config!$B$4</f>
        <v>rece_general</v>
      </c>
      <c r="J2194" s="10" t="str">
        <f aca="false">"https://"&amp;B2194&amp;G2194&amp;"?utm_source="&amp;E2194&amp;"&amp;utm_medium="&amp;F2194&amp;"&amp;utm_campaign="&amp;H2194&amp;"&amp;utm_content="&amp;I2194</f>
        <v>https://ecbtax.com/?utm_source=event&amp;utm_medium=event&amp;utm_campaign=2610_ff_lansare&amp;utm_content=rece_general</v>
      </c>
    </row>
    <row r="2195" customFormat="false" ht="15" hidden="false" customHeight="false" outlineLevel="0" collapsed="false">
      <c r="A2195" s="10" t="s">
        <v>97</v>
      </c>
      <c r="B2195" s="10" t="str">
        <f aca="false">INDEX('Site-uri'!$B$2:$B$20,MATCH(A2195,'Site-uri'!$A$2:$A$20,0))</f>
        <v>ecbtax.com</v>
      </c>
      <c r="C2195" s="10" t="s">
        <v>202</v>
      </c>
      <c r="D2195" s="10" t="s">
        <v>225</v>
      </c>
      <c r="E2195" s="10" t="str">
        <f aca="false">INDEX(Canale!$C$2:$C$30,MATCH(C2195,Canale!$A$2:$A$30,0))</f>
        <v>event</v>
      </c>
      <c r="F2195" s="10" t="str">
        <f aca="false">INDEX(Canale!$D$2:$D$30,MATCH(C2195,Canale!$A$2:$A$30,0))</f>
        <v>event</v>
      </c>
      <c r="G2195" s="10" t="str">
        <f aca="false">INDEX('Site-uri'!$C$2:$C$20,MATCH(A2195,'Site-uri'!$A$2:$A$20,0))</f>
        <v>/</v>
      </c>
      <c r="H2195" s="10" t="str">
        <f aca="false">Config!$B$3</f>
        <v>2610_ff_lansare</v>
      </c>
      <c r="I2195" s="10" t="str">
        <f aca="false">D2195&amp;"_"&amp;Config!$B$4</f>
        <v>cald_general</v>
      </c>
      <c r="J2195" s="10" t="str">
        <f aca="false">"https://"&amp;B2195&amp;G2195&amp;"?utm_source="&amp;E2195&amp;"&amp;utm_medium="&amp;F2195&amp;"&amp;utm_campaign="&amp;H2195&amp;"&amp;utm_content="&amp;I2195</f>
        <v>https://ecbtax.com/?utm_source=event&amp;utm_medium=event&amp;utm_campaign=2610_ff_lansare&amp;utm_content=cald_general</v>
      </c>
    </row>
    <row r="2196" customFormat="false" ht="15" hidden="false" customHeight="false" outlineLevel="0" collapsed="false">
      <c r="A2196" s="10" t="s">
        <v>97</v>
      </c>
      <c r="B2196" s="10" t="str">
        <f aca="false">INDEX('Site-uri'!$B$2:$B$20,MATCH(A2196,'Site-uri'!$A$2:$A$20,0))</f>
        <v>ecbtax.com</v>
      </c>
      <c r="C2196" s="10" t="s">
        <v>202</v>
      </c>
      <c r="D2196" s="10" t="s">
        <v>231</v>
      </c>
      <c r="E2196" s="10" t="str">
        <f aca="false">INDEX(Canale!$C$2:$C$30,MATCH(C2196,Canale!$A$2:$A$30,0))</f>
        <v>event</v>
      </c>
      <c r="F2196" s="10" t="str">
        <f aca="false">INDEX(Canale!$D$2:$D$30,MATCH(C2196,Canale!$A$2:$A$30,0))</f>
        <v>event</v>
      </c>
      <c r="G2196" s="10" t="str">
        <f aca="false">INDEX('Site-uri'!$C$2:$C$20,MATCH(A2196,'Site-uri'!$A$2:$A$20,0))</f>
        <v>/</v>
      </c>
      <c r="H2196" s="10" t="str">
        <f aca="false">Config!$B$3</f>
        <v>2610_ff_lansare</v>
      </c>
      <c r="I2196" s="10" t="str">
        <f aca="false">D2196&amp;"_"&amp;Config!$B$4</f>
        <v>fierbinte_general</v>
      </c>
      <c r="J2196" s="10" t="str">
        <f aca="false">"https://"&amp;B2196&amp;G2196&amp;"?utm_source="&amp;E2196&amp;"&amp;utm_medium="&amp;F2196&amp;"&amp;utm_campaign="&amp;H2196&amp;"&amp;utm_content="&amp;I2196</f>
        <v>https://ecbtax.com/?utm_source=event&amp;utm_medium=event&amp;utm_campaign=2610_ff_lansare&amp;utm_content=fierbinte_general</v>
      </c>
    </row>
    <row r="2197" customFormat="false" ht="15" hidden="false" customHeight="false" outlineLevel="0" collapsed="false">
      <c r="A2197" s="10" t="s">
        <v>97</v>
      </c>
      <c r="B2197" s="10" t="str">
        <f aca="false">INDEX('Site-uri'!$B$2:$B$20,MATCH(A2197,'Site-uri'!$A$2:$A$20,0))</f>
        <v>ecbtax.com</v>
      </c>
      <c r="C2197" s="10" t="s">
        <v>202</v>
      </c>
      <c r="D2197" s="10" t="s">
        <v>237</v>
      </c>
      <c r="E2197" s="10" t="str">
        <f aca="false">INDEX(Canale!$C$2:$C$30,MATCH(C2197,Canale!$A$2:$A$30,0))</f>
        <v>event</v>
      </c>
      <c r="F2197" s="10" t="str">
        <f aca="false">INDEX(Canale!$D$2:$D$30,MATCH(C2197,Canale!$A$2:$A$30,0))</f>
        <v>event</v>
      </c>
      <c r="G2197" s="10" t="str">
        <f aca="false">INDEX('Site-uri'!$C$2:$C$20,MATCH(A2197,'Site-uri'!$A$2:$A$20,0))</f>
        <v>/</v>
      </c>
      <c r="H2197" s="10" t="str">
        <f aca="false">Config!$B$3</f>
        <v>2610_ff_lansare</v>
      </c>
      <c r="I2197" s="10" t="str">
        <f aca="false">D2197&amp;"_"&amp;Config!$B$4</f>
        <v>client_general</v>
      </c>
      <c r="J2197" s="10" t="str">
        <f aca="false">"https://"&amp;B2197&amp;G2197&amp;"?utm_source="&amp;E2197&amp;"&amp;utm_medium="&amp;F2197&amp;"&amp;utm_campaign="&amp;H2197&amp;"&amp;utm_content="&amp;I2197</f>
        <v>https://ecbtax.com/?utm_source=event&amp;utm_medium=event&amp;utm_campaign=2610_ff_lansare&amp;utm_content=client_general</v>
      </c>
    </row>
    <row r="2198" customFormat="false" ht="15" hidden="false" customHeight="false" outlineLevel="0" collapsed="false">
      <c r="A2198" s="10" t="s">
        <v>97</v>
      </c>
      <c r="B2198" s="10" t="str">
        <f aca="false">INDEX('Site-uri'!$B$2:$B$20,MATCH(A2198,'Site-uri'!$A$2:$A$20,0))</f>
        <v>ecbtax.com</v>
      </c>
      <c r="C2198" s="10" t="s">
        <v>204</v>
      </c>
      <c r="D2198" s="10" t="s">
        <v>219</v>
      </c>
      <c r="E2198" s="10" t="str">
        <f aca="false">INDEX(Canale!$C$2:$C$30,MATCH(C2198,Canale!$A$2:$A$30,0))</f>
        <v>a2a_agent_card</v>
      </c>
      <c r="F2198" s="10" t="str">
        <f aca="false">INDEX(Canale!$D$2:$D$30,MATCH(C2198,Canale!$A$2:$A$30,0))</f>
        <v>agent</v>
      </c>
      <c r="G2198" s="10" t="str">
        <f aca="false">INDEX('Site-uri'!$C$2:$C$20,MATCH(A2198,'Site-uri'!$A$2:$A$20,0))</f>
        <v>/</v>
      </c>
      <c r="H2198" s="10" t="str">
        <f aca="false">Config!$B$3</f>
        <v>2610_ff_lansare</v>
      </c>
      <c r="I2198" s="10" t="str">
        <f aca="false">D2198&amp;"_"&amp;Config!$B$4</f>
        <v>rece_general</v>
      </c>
      <c r="J2198" s="10" t="str">
        <f aca="false">"https://"&amp;B2198&amp;G2198&amp;"?utm_source="&amp;E2198&amp;"&amp;utm_medium="&amp;F2198&amp;"&amp;utm_campaign="&amp;H2198&amp;"&amp;utm_content="&amp;I2198</f>
        <v>https://ecbtax.com/?utm_source=a2a_agent_card&amp;utm_medium=agent&amp;utm_campaign=2610_ff_lansare&amp;utm_content=rece_general</v>
      </c>
    </row>
    <row r="2199" customFormat="false" ht="15" hidden="false" customHeight="false" outlineLevel="0" collapsed="false">
      <c r="A2199" s="10" t="s">
        <v>97</v>
      </c>
      <c r="B2199" s="10" t="str">
        <f aca="false">INDEX('Site-uri'!$B$2:$B$20,MATCH(A2199,'Site-uri'!$A$2:$A$20,0))</f>
        <v>ecbtax.com</v>
      </c>
      <c r="C2199" s="10" t="s">
        <v>204</v>
      </c>
      <c r="D2199" s="10" t="s">
        <v>225</v>
      </c>
      <c r="E2199" s="10" t="str">
        <f aca="false">INDEX(Canale!$C$2:$C$30,MATCH(C2199,Canale!$A$2:$A$30,0))</f>
        <v>a2a_agent_card</v>
      </c>
      <c r="F2199" s="10" t="str">
        <f aca="false">INDEX(Canale!$D$2:$D$30,MATCH(C2199,Canale!$A$2:$A$30,0))</f>
        <v>agent</v>
      </c>
      <c r="G2199" s="10" t="str">
        <f aca="false">INDEX('Site-uri'!$C$2:$C$20,MATCH(A2199,'Site-uri'!$A$2:$A$20,0))</f>
        <v>/</v>
      </c>
      <c r="H2199" s="10" t="str">
        <f aca="false">Config!$B$3</f>
        <v>2610_ff_lansare</v>
      </c>
      <c r="I2199" s="10" t="str">
        <f aca="false">D2199&amp;"_"&amp;Config!$B$4</f>
        <v>cald_general</v>
      </c>
      <c r="J2199" s="10" t="str">
        <f aca="false">"https://"&amp;B2199&amp;G2199&amp;"?utm_source="&amp;E2199&amp;"&amp;utm_medium="&amp;F2199&amp;"&amp;utm_campaign="&amp;H2199&amp;"&amp;utm_content="&amp;I2199</f>
        <v>https://ecbtax.com/?utm_source=a2a_agent_card&amp;utm_medium=agent&amp;utm_campaign=2610_ff_lansare&amp;utm_content=cald_general</v>
      </c>
    </row>
    <row r="2200" customFormat="false" ht="15" hidden="false" customHeight="false" outlineLevel="0" collapsed="false">
      <c r="A2200" s="10" t="s">
        <v>97</v>
      </c>
      <c r="B2200" s="10" t="str">
        <f aca="false">INDEX('Site-uri'!$B$2:$B$20,MATCH(A2200,'Site-uri'!$A$2:$A$20,0))</f>
        <v>ecbtax.com</v>
      </c>
      <c r="C2200" s="10" t="s">
        <v>204</v>
      </c>
      <c r="D2200" s="10" t="s">
        <v>231</v>
      </c>
      <c r="E2200" s="10" t="str">
        <f aca="false">INDEX(Canale!$C$2:$C$30,MATCH(C2200,Canale!$A$2:$A$30,0))</f>
        <v>a2a_agent_card</v>
      </c>
      <c r="F2200" s="10" t="str">
        <f aca="false">INDEX(Canale!$D$2:$D$30,MATCH(C2200,Canale!$A$2:$A$30,0))</f>
        <v>agent</v>
      </c>
      <c r="G2200" s="10" t="str">
        <f aca="false">INDEX('Site-uri'!$C$2:$C$20,MATCH(A2200,'Site-uri'!$A$2:$A$20,0))</f>
        <v>/</v>
      </c>
      <c r="H2200" s="10" t="str">
        <f aca="false">Config!$B$3</f>
        <v>2610_ff_lansare</v>
      </c>
      <c r="I2200" s="10" t="str">
        <f aca="false">D2200&amp;"_"&amp;Config!$B$4</f>
        <v>fierbinte_general</v>
      </c>
      <c r="J2200" s="10" t="str">
        <f aca="false">"https://"&amp;B2200&amp;G2200&amp;"?utm_source="&amp;E2200&amp;"&amp;utm_medium="&amp;F2200&amp;"&amp;utm_campaign="&amp;H2200&amp;"&amp;utm_content="&amp;I2200</f>
        <v>https://ecbtax.com/?utm_source=a2a_agent_card&amp;utm_medium=agent&amp;utm_campaign=2610_ff_lansare&amp;utm_content=fierbinte_general</v>
      </c>
    </row>
    <row r="2201" customFormat="false" ht="15" hidden="false" customHeight="false" outlineLevel="0" collapsed="false">
      <c r="A2201" s="10" t="s">
        <v>97</v>
      </c>
      <c r="B2201" s="10" t="str">
        <f aca="false">INDEX('Site-uri'!$B$2:$B$20,MATCH(A2201,'Site-uri'!$A$2:$A$20,0))</f>
        <v>ecbtax.com</v>
      </c>
      <c r="C2201" s="10" t="s">
        <v>204</v>
      </c>
      <c r="D2201" s="10" t="s">
        <v>237</v>
      </c>
      <c r="E2201" s="10" t="str">
        <f aca="false">INDEX(Canale!$C$2:$C$30,MATCH(C2201,Canale!$A$2:$A$30,0))</f>
        <v>a2a_agent_card</v>
      </c>
      <c r="F2201" s="10" t="str">
        <f aca="false">INDEX(Canale!$D$2:$D$30,MATCH(C2201,Canale!$A$2:$A$30,0))</f>
        <v>agent</v>
      </c>
      <c r="G2201" s="10" t="str">
        <f aca="false">INDEX('Site-uri'!$C$2:$C$20,MATCH(A2201,'Site-uri'!$A$2:$A$20,0))</f>
        <v>/</v>
      </c>
      <c r="H2201" s="10" t="str">
        <f aca="false">Config!$B$3</f>
        <v>2610_ff_lansare</v>
      </c>
      <c r="I2201" s="10" t="str">
        <f aca="false">D2201&amp;"_"&amp;Config!$B$4</f>
        <v>client_general</v>
      </c>
      <c r="J2201" s="10" t="str">
        <f aca="false">"https://"&amp;B2201&amp;G2201&amp;"?utm_source="&amp;E2201&amp;"&amp;utm_medium="&amp;F2201&amp;"&amp;utm_campaign="&amp;H2201&amp;"&amp;utm_content="&amp;I2201</f>
        <v>https://ecbtax.com/?utm_source=a2a_agent_card&amp;utm_medium=agent&amp;utm_campaign=2610_ff_lansare&amp;utm_content=client_general</v>
      </c>
    </row>
    <row r="2202" customFormat="false" ht="15" hidden="false" customHeight="false" outlineLevel="0" collapsed="false">
      <c r="A2202" s="10" t="s">
        <v>97</v>
      </c>
      <c r="B2202" s="10" t="str">
        <f aca="false">INDEX('Site-uri'!$B$2:$B$20,MATCH(A2202,'Site-uri'!$A$2:$A$20,0))</f>
        <v>ecbtax.com</v>
      </c>
      <c r="C2202" s="10" t="s">
        <v>209</v>
      </c>
      <c r="D2202" s="10" t="s">
        <v>219</v>
      </c>
      <c r="E2202" s="10" t="str">
        <f aca="false">INDEX(Canale!$C$2:$C$30,MATCH(C2202,Canale!$A$2:$A$30,0))</f>
        <v>llms_txt</v>
      </c>
      <c r="F2202" s="10" t="str">
        <f aca="false">INDEX(Canale!$D$2:$D$30,MATCH(C2202,Canale!$A$2:$A$30,0))</f>
        <v>ai_web</v>
      </c>
      <c r="G2202" s="10" t="str">
        <f aca="false">INDEX('Site-uri'!$C$2:$C$20,MATCH(A2202,'Site-uri'!$A$2:$A$20,0))</f>
        <v>/</v>
      </c>
      <c r="H2202" s="10" t="str">
        <f aca="false">Config!$B$3</f>
        <v>2610_ff_lansare</v>
      </c>
      <c r="I2202" s="10" t="str">
        <f aca="false">D2202&amp;"_"&amp;Config!$B$4</f>
        <v>rece_general</v>
      </c>
      <c r="J2202" s="10" t="str">
        <f aca="false">"https://"&amp;B2202&amp;G2202&amp;"?utm_source="&amp;E2202&amp;"&amp;utm_medium="&amp;F2202&amp;"&amp;utm_campaign="&amp;H2202&amp;"&amp;utm_content="&amp;I2202</f>
        <v>https://ecbtax.com/?utm_source=llms_txt&amp;utm_medium=ai_web&amp;utm_campaign=2610_ff_lansare&amp;utm_content=rece_general</v>
      </c>
    </row>
    <row r="2203" customFormat="false" ht="15" hidden="false" customHeight="false" outlineLevel="0" collapsed="false">
      <c r="A2203" s="10" t="s">
        <v>97</v>
      </c>
      <c r="B2203" s="10" t="str">
        <f aca="false">INDEX('Site-uri'!$B$2:$B$20,MATCH(A2203,'Site-uri'!$A$2:$A$20,0))</f>
        <v>ecbtax.com</v>
      </c>
      <c r="C2203" s="10" t="s">
        <v>209</v>
      </c>
      <c r="D2203" s="10" t="s">
        <v>225</v>
      </c>
      <c r="E2203" s="10" t="str">
        <f aca="false">INDEX(Canale!$C$2:$C$30,MATCH(C2203,Canale!$A$2:$A$30,0))</f>
        <v>llms_txt</v>
      </c>
      <c r="F2203" s="10" t="str">
        <f aca="false">INDEX(Canale!$D$2:$D$30,MATCH(C2203,Canale!$A$2:$A$30,0))</f>
        <v>ai_web</v>
      </c>
      <c r="G2203" s="10" t="str">
        <f aca="false">INDEX('Site-uri'!$C$2:$C$20,MATCH(A2203,'Site-uri'!$A$2:$A$20,0))</f>
        <v>/</v>
      </c>
      <c r="H2203" s="10" t="str">
        <f aca="false">Config!$B$3</f>
        <v>2610_ff_lansare</v>
      </c>
      <c r="I2203" s="10" t="str">
        <f aca="false">D2203&amp;"_"&amp;Config!$B$4</f>
        <v>cald_general</v>
      </c>
      <c r="J2203" s="10" t="str">
        <f aca="false">"https://"&amp;B2203&amp;G2203&amp;"?utm_source="&amp;E2203&amp;"&amp;utm_medium="&amp;F2203&amp;"&amp;utm_campaign="&amp;H2203&amp;"&amp;utm_content="&amp;I2203</f>
        <v>https://ecbtax.com/?utm_source=llms_txt&amp;utm_medium=ai_web&amp;utm_campaign=2610_ff_lansare&amp;utm_content=cald_general</v>
      </c>
    </row>
    <row r="2204" customFormat="false" ht="15" hidden="false" customHeight="false" outlineLevel="0" collapsed="false">
      <c r="A2204" s="10" t="s">
        <v>97</v>
      </c>
      <c r="B2204" s="10" t="str">
        <f aca="false">INDEX('Site-uri'!$B$2:$B$20,MATCH(A2204,'Site-uri'!$A$2:$A$20,0))</f>
        <v>ecbtax.com</v>
      </c>
      <c r="C2204" s="10" t="s">
        <v>209</v>
      </c>
      <c r="D2204" s="10" t="s">
        <v>231</v>
      </c>
      <c r="E2204" s="10" t="str">
        <f aca="false">INDEX(Canale!$C$2:$C$30,MATCH(C2204,Canale!$A$2:$A$30,0))</f>
        <v>llms_txt</v>
      </c>
      <c r="F2204" s="10" t="str">
        <f aca="false">INDEX(Canale!$D$2:$D$30,MATCH(C2204,Canale!$A$2:$A$30,0))</f>
        <v>ai_web</v>
      </c>
      <c r="G2204" s="10" t="str">
        <f aca="false">INDEX('Site-uri'!$C$2:$C$20,MATCH(A2204,'Site-uri'!$A$2:$A$20,0))</f>
        <v>/</v>
      </c>
      <c r="H2204" s="10" t="str">
        <f aca="false">Config!$B$3</f>
        <v>2610_ff_lansare</v>
      </c>
      <c r="I2204" s="10" t="str">
        <f aca="false">D2204&amp;"_"&amp;Config!$B$4</f>
        <v>fierbinte_general</v>
      </c>
      <c r="J2204" s="10" t="str">
        <f aca="false">"https://"&amp;B2204&amp;G2204&amp;"?utm_source="&amp;E2204&amp;"&amp;utm_medium="&amp;F2204&amp;"&amp;utm_campaign="&amp;H2204&amp;"&amp;utm_content="&amp;I2204</f>
        <v>https://ecbtax.com/?utm_source=llms_txt&amp;utm_medium=ai_web&amp;utm_campaign=2610_ff_lansare&amp;utm_content=fierbinte_general</v>
      </c>
    </row>
    <row r="2205" customFormat="false" ht="15" hidden="false" customHeight="false" outlineLevel="0" collapsed="false">
      <c r="A2205" s="10" t="s">
        <v>97</v>
      </c>
      <c r="B2205" s="10" t="str">
        <f aca="false">INDEX('Site-uri'!$B$2:$B$20,MATCH(A2205,'Site-uri'!$A$2:$A$20,0))</f>
        <v>ecbtax.com</v>
      </c>
      <c r="C2205" s="10" t="s">
        <v>209</v>
      </c>
      <c r="D2205" s="10" t="s">
        <v>237</v>
      </c>
      <c r="E2205" s="10" t="str">
        <f aca="false">INDEX(Canale!$C$2:$C$30,MATCH(C2205,Canale!$A$2:$A$30,0))</f>
        <v>llms_txt</v>
      </c>
      <c r="F2205" s="10" t="str">
        <f aca="false">INDEX(Canale!$D$2:$D$30,MATCH(C2205,Canale!$A$2:$A$30,0))</f>
        <v>ai_web</v>
      </c>
      <c r="G2205" s="10" t="str">
        <f aca="false">INDEX('Site-uri'!$C$2:$C$20,MATCH(A2205,'Site-uri'!$A$2:$A$20,0))</f>
        <v>/</v>
      </c>
      <c r="H2205" s="10" t="str">
        <f aca="false">Config!$B$3</f>
        <v>2610_ff_lansare</v>
      </c>
      <c r="I2205" s="10" t="str">
        <f aca="false">D2205&amp;"_"&amp;Config!$B$4</f>
        <v>client_general</v>
      </c>
      <c r="J2205" s="10" t="str">
        <f aca="false">"https://"&amp;B2205&amp;G2205&amp;"?utm_source="&amp;E2205&amp;"&amp;utm_medium="&amp;F2205&amp;"&amp;utm_campaign="&amp;H2205&amp;"&amp;utm_content="&amp;I2205</f>
        <v>https://ecbtax.com/?utm_source=llms_txt&amp;utm_medium=ai_web&amp;utm_campaign=2610_ff_lansare&amp;utm_content=client_general</v>
      </c>
    </row>
  </sheetData>
  <autoFilter ref="A1:J22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10"/>
  </cols>
  <sheetData>
    <row r="1" customFormat="false" ht="35.05" hidden="false" customHeight="false" outlineLevel="0" collapsed="false">
      <c r="A1" s="8" t="s">
        <v>249</v>
      </c>
      <c r="B1" s="8" t="s">
        <v>250</v>
      </c>
      <c r="C1" s="8" t="s">
        <v>251</v>
      </c>
      <c r="D1" s="8" t="s">
        <v>252</v>
      </c>
      <c r="E1" s="8" t="s">
        <v>245</v>
      </c>
      <c r="F1" s="8" t="s">
        <v>101</v>
      </c>
      <c r="G1" s="8" t="s">
        <v>102</v>
      </c>
      <c r="H1" s="8" t="s">
        <v>246</v>
      </c>
      <c r="I1" s="8" t="s">
        <v>247</v>
      </c>
      <c r="J1" s="8" t="s">
        <v>248</v>
      </c>
    </row>
    <row r="2" customFormat="false" ht="15" hidden="false" customHeight="false" outlineLevel="0" collapsed="false">
      <c r="A2" s="10" t="s">
        <v>46</v>
      </c>
      <c r="B2" s="10" t="str">
        <f aca="false">INDEX('Site-uri'!$B$2:$B$20,MATCH(A2,'Site-uri'!$A$2:$A$20,0))</f>
        <v>5thelement.ai</v>
      </c>
      <c r="C2" s="10" t="s">
        <v>50</v>
      </c>
      <c r="D2" s="10" t="str">
        <f aca="false">INDEX('Site-uri'!$B$2:$B$20,MATCH(C2,'Site-uri'!$A$2:$A$20,0))</f>
        <v>aiventure.ro</v>
      </c>
      <c r="E2" s="10" t="str">
        <f aca="false">INDEX('Site-uri'!$C$2:$C$20,MATCH(C2,'Site-uri'!$A$2:$A$20,0))</f>
        <v>/</v>
      </c>
      <c r="F2" s="10" t="str">
        <f aca="false">B2</f>
        <v>5thelement.ai</v>
      </c>
      <c r="G2" s="10" t="str">
        <f aca="false">Config!$B$5</f>
        <v>network</v>
      </c>
      <c r="H2" s="10" t="str">
        <f aca="false">Config!$B$3</f>
        <v>2610_ff_lansare</v>
      </c>
      <c r="I2" s="10" t="str">
        <f aca="false">Config!$B$4</f>
        <v>general</v>
      </c>
      <c r="J2" s="10" t="str">
        <f aca="false">"https://"&amp;D2&amp;E2&amp;"?utm_source="&amp;F2&amp;"&amp;utm_medium="&amp;G2&amp;"&amp;utm_campaign="&amp;H2&amp;"&amp;utm_content="&amp;I2</f>
        <v>https://aiventure.ro/?utm_source=5thelement.ai&amp;utm_medium=network&amp;utm_campaign=2610_ff_lansare&amp;utm_content=general</v>
      </c>
    </row>
    <row r="3" customFormat="false" ht="15" hidden="false" customHeight="false" outlineLevel="0" collapsed="false">
      <c r="A3" s="10" t="s">
        <v>46</v>
      </c>
      <c r="B3" s="10" t="str">
        <f aca="false">INDEX('Site-uri'!$B$2:$B$20,MATCH(A3,'Site-uri'!$A$2:$A$20,0))</f>
        <v>5thelement.ai</v>
      </c>
      <c r="C3" s="10" t="s">
        <v>53</v>
      </c>
      <c r="D3" s="10" t="str">
        <f aca="false">INDEX('Site-uri'!$B$2:$B$20,MATCH(C3,'Site-uri'!$A$2:$A$20,0))</f>
        <v>aiventure.uk</v>
      </c>
      <c r="E3" s="10" t="str">
        <f aca="false">INDEX('Site-uri'!$C$2:$C$20,MATCH(C3,'Site-uri'!$A$2:$A$20,0))</f>
        <v>/</v>
      </c>
      <c r="F3" s="10" t="str">
        <f aca="false">B3</f>
        <v>5thelement.ai</v>
      </c>
      <c r="G3" s="10" t="str">
        <f aca="false">Config!$B$5</f>
        <v>network</v>
      </c>
      <c r="H3" s="10" t="str">
        <f aca="false">Config!$B$3</f>
        <v>2610_ff_lansare</v>
      </c>
      <c r="I3" s="10" t="str">
        <f aca="false">Config!$B$4</f>
        <v>general</v>
      </c>
      <c r="J3" s="10" t="str">
        <f aca="false">"https://"&amp;D3&amp;E3&amp;"?utm_source="&amp;F3&amp;"&amp;utm_medium="&amp;G3&amp;"&amp;utm_campaign="&amp;H3&amp;"&amp;utm_content="&amp;I3</f>
        <v>https://aiventure.uk/?utm_source=5thelement.ai&amp;utm_medium=network&amp;utm_campaign=2610_ff_lansare&amp;utm_content=general</v>
      </c>
    </row>
    <row r="4" customFormat="false" ht="15" hidden="false" customHeight="false" outlineLevel="0" collapsed="false">
      <c r="A4" s="10" t="s">
        <v>46</v>
      </c>
      <c r="B4" s="10" t="str">
        <f aca="false">INDEX('Site-uri'!$B$2:$B$20,MATCH(A4,'Site-uri'!$A$2:$A$20,0))</f>
        <v>5thelement.ai</v>
      </c>
      <c r="C4" s="10" t="s">
        <v>56</v>
      </c>
      <c r="D4" s="10" t="str">
        <f aca="false">INDEX('Site-uri'!$B$2:$B$20,MATCH(C4,'Site-uri'!$A$2:$A$20,0))</f>
        <v>3webobs.com</v>
      </c>
      <c r="E4" s="10" t="str">
        <f aca="false">INDEX('Site-uri'!$C$2:$C$20,MATCH(C4,'Site-uri'!$A$2:$A$20,0))</f>
        <v>/</v>
      </c>
      <c r="F4" s="10" t="str">
        <f aca="false">B4</f>
        <v>5thelement.ai</v>
      </c>
      <c r="G4" s="10" t="str">
        <f aca="false">Config!$B$5</f>
        <v>network</v>
      </c>
      <c r="H4" s="10" t="str">
        <f aca="false">Config!$B$3</f>
        <v>2610_ff_lansare</v>
      </c>
      <c r="I4" s="10" t="str">
        <f aca="false">Config!$B$4</f>
        <v>general</v>
      </c>
      <c r="J4" s="10" t="str">
        <f aca="false">"https://"&amp;D4&amp;E4&amp;"?utm_source="&amp;F4&amp;"&amp;utm_medium="&amp;G4&amp;"&amp;utm_campaign="&amp;H4&amp;"&amp;utm_content="&amp;I4</f>
        <v>https://3webobs.com/?utm_source=5thelement.ai&amp;utm_medium=network&amp;utm_campaign=2610_ff_lansare&amp;utm_content=general</v>
      </c>
    </row>
    <row r="5" customFormat="false" ht="15" hidden="false" customHeight="false" outlineLevel="0" collapsed="false">
      <c r="A5" s="10" t="s">
        <v>46</v>
      </c>
      <c r="B5" s="10" t="str">
        <f aca="false">INDEX('Site-uri'!$B$2:$B$20,MATCH(A5,'Site-uri'!$A$2:$A$20,0))</f>
        <v>5thelement.ai</v>
      </c>
      <c r="C5" s="10" t="s">
        <v>59</v>
      </c>
      <c r="D5" s="10" t="str">
        <f aca="false">INDEX('Site-uri'!$B$2:$B$20,MATCH(C5,'Site-uri'!$A$2:$A$20,0))</f>
        <v>ai-lens.eu</v>
      </c>
      <c r="E5" s="10" t="str">
        <f aca="false">INDEX('Site-uri'!$C$2:$C$20,MATCH(C5,'Site-uri'!$A$2:$A$20,0))</f>
        <v>/</v>
      </c>
      <c r="F5" s="10" t="str">
        <f aca="false">B5</f>
        <v>5thelement.ai</v>
      </c>
      <c r="G5" s="10" t="str">
        <f aca="false">Config!$B$5</f>
        <v>network</v>
      </c>
      <c r="H5" s="10" t="str">
        <f aca="false">Config!$B$3</f>
        <v>2610_ff_lansare</v>
      </c>
      <c r="I5" s="10" t="str">
        <f aca="false">Config!$B$4</f>
        <v>general</v>
      </c>
      <c r="J5" s="10" t="str">
        <f aca="false">"https://"&amp;D5&amp;E5&amp;"?utm_source="&amp;F5&amp;"&amp;utm_medium="&amp;G5&amp;"&amp;utm_campaign="&amp;H5&amp;"&amp;utm_content="&amp;I5</f>
        <v>https://ai-lens.eu/?utm_source=5thelement.ai&amp;utm_medium=network&amp;utm_campaign=2610_ff_lansare&amp;utm_content=general</v>
      </c>
    </row>
    <row r="6" customFormat="false" ht="15" hidden="false" customHeight="false" outlineLevel="0" collapsed="false">
      <c r="A6" s="10" t="s">
        <v>46</v>
      </c>
      <c r="B6" s="10" t="str">
        <f aca="false">INDEX('Site-uri'!$B$2:$B$20,MATCH(A6,'Site-uri'!$A$2:$A$20,0))</f>
        <v>5thelement.ai</v>
      </c>
      <c r="C6" s="10" t="s">
        <v>62</v>
      </c>
      <c r="D6" s="10" t="str">
        <f aca="false">INDEX('Site-uri'!$B$2:$B$20,MATCH(C6,'Site-uri'!$A$2:$A$20,0))</f>
        <v>aireadyinjector.com</v>
      </c>
      <c r="E6" s="10" t="str">
        <f aca="false">INDEX('Site-uri'!$C$2:$C$20,MATCH(C6,'Site-uri'!$A$2:$A$20,0))</f>
        <v>/</v>
      </c>
      <c r="F6" s="10" t="str">
        <f aca="false">B6</f>
        <v>5thelement.ai</v>
      </c>
      <c r="G6" s="10" t="str">
        <f aca="false">Config!$B$5</f>
        <v>network</v>
      </c>
      <c r="H6" s="10" t="str">
        <f aca="false">Config!$B$3</f>
        <v>2610_ff_lansare</v>
      </c>
      <c r="I6" s="10" t="str">
        <f aca="false">Config!$B$4</f>
        <v>general</v>
      </c>
      <c r="J6" s="10" t="str">
        <f aca="false">"https://"&amp;D6&amp;E6&amp;"?utm_source="&amp;F6&amp;"&amp;utm_medium="&amp;G6&amp;"&amp;utm_campaign="&amp;H6&amp;"&amp;utm_content="&amp;I6</f>
        <v>https://aireadyinjector.com/?utm_source=5thelement.ai&amp;utm_medium=network&amp;utm_campaign=2610_ff_lansare&amp;utm_content=general</v>
      </c>
    </row>
    <row r="7" customFormat="false" ht="15" hidden="false" customHeight="false" outlineLevel="0" collapsed="false">
      <c r="A7" s="10" t="s">
        <v>46</v>
      </c>
      <c r="B7" s="10" t="str">
        <f aca="false">INDEX('Site-uri'!$B$2:$B$20,MATCH(A7,'Site-uri'!$A$2:$A$20,0))</f>
        <v>5thelement.ai</v>
      </c>
      <c r="C7" s="10" t="s">
        <v>65</v>
      </c>
      <c r="D7" s="10" t="str">
        <f aca="false">INDEX('Site-uri'!$B$2:$B$20,MATCH(C7,'Site-uri'!$A$2:$A$20,0))</f>
        <v>eu-ai-audit.eu</v>
      </c>
      <c r="E7" s="10" t="str">
        <f aca="false">INDEX('Site-uri'!$C$2:$C$20,MATCH(C7,'Site-uri'!$A$2:$A$20,0))</f>
        <v>/</v>
      </c>
      <c r="F7" s="10" t="str">
        <f aca="false">B7</f>
        <v>5thelement.ai</v>
      </c>
      <c r="G7" s="10" t="str">
        <f aca="false">Config!$B$5</f>
        <v>network</v>
      </c>
      <c r="H7" s="10" t="str">
        <f aca="false">Config!$B$3</f>
        <v>2610_ff_lansare</v>
      </c>
      <c r="I7" s="10" t="str">
        <f aca="false">Config!$B$4</f>
        <v>general</v>
      </c>
      <c r="J7" s="10" t="str">
        <f aca="false">"https://"&amp;D7&amp;E7&amp;"?utm_source="&amp;F7&amp;"&amp;utm_medium="&amp;G7&amp;"&amp;utm_campaign="&amp;H7&amp;"&amp;utm_content="&amp;I7</f>
        <v>https://eu-ai-audit.eu/?utm_source=5thelement.ai&amp;utm_medium=network&amp;utm_campaign=2610_ff_lansare&amp;utm_content=general</v>
      </c>
    </row>
    <row r="8" customFormat="false" ht="15" hidden="false" customHeight="false" outlineLevel="0" collapsed="false">
      <c r="A8" s="10" t="s">
        <v>46</v>
      </c>
      <c r="B8" s="10" t="str">
        <f aca="false">INDEX('Site-uri'!$B$2:$B$20,MATCH(A8,'Site-uri'!$A$2:$A$20,0))</f>
        <v>5thelement.ai</v>
      </c>
      <c r="C8" s="10" t="s">
        <v>68</v>
      </c>
      <c r="D8" s="10" t="str">
        <f aca="false">INDEX('Site-uri'!$B$2:$B$20,MATCH(C8,'Site-uri'!$A$2:$A$20,0))</f>
        <v>eu-ai-ready.eu</v>
      </c>
      <c r="E8" s="10" t="str">
        <f aca="false">INDEX('Site-uri'!$C$2:$C$20,MATCH(C8,'Site-uri'!$A$2:$A$20,0))</f>
        <v>/</v>
      </c>
      <c r="F8" s="10" t="str">
        <f aca="false">B8</f>
        <v>5thelement.ai</v>
      </c>
      <c r="G8" s="10" t="str">
        <f aca="false">Config!$B$5</f>
        <v>network</v>
      </c>
      <c r="H8" s="10" t="str">
        <f aca="false">Config!$B$3</f>
        <v>2610_ff_lansare</v>
      </c>
      <c r="I8" s="10" t="str">
        <f aca="false">Config!$B$4</f>
        <v>general</v>
      </c>
      <c r="J8" s="10" t="str">
        <f aca="false">"https://"&amp;D8&amp;E8&amp;"?utm_source="&amp;F8&amp;"&amp;utm_medium="&amp;G8&amp;"&amp;utm_campaign="&amp;H8&amp;"&amp;utm_content="&amp;I8</f>
        <v>https://eu-ai-ready.eu/?utm_source=5thelement.ai&amp;utm_medium=network&amp;utm_campaign=2610_ff_lansare&amp;utm_content=general</v>
      </c>
    </row>
    <row r="9" customFormat="false" ht="15" hidden="false" customHeight="false" outlineLevel="0" collapsed="false">
      <c r="A9" s="10" t="s">
        <v>46</v>
      </c>
      <c r="B9" s="10" t="str">
        <f aca="false">INDEX('Site-uri'!$B$2:$B$20,MATCH(A9,'Site-uri'!$A$2:$A$20,0))</f>
        <v>5thelement.ai</v>
      </c>
      <c r="C9" s="10" t="s">
        <v>70</v>
      </c>
      <c r="D9" s="10" t="str">
        <f aca="false">INDEX('Site-uri'!$B$2:$B$20,MATCH(C9,'Site-uri'!$A$2:$A$20,0))</f>
        <v>eu-ai-act.ro</v>
      </c>
      <c r="E9" s="10" t="str">
        <f aca="false">INDEX('Site-uri'!$C$2:$C$20,MATCH(C9,'Site-uri'!$A$2:$A$20,0))</f>
        <v>/</v>
      </c>
      <c r="F9" s="10" t="str">
        <f aca="false">B9</f>
        <v>5thelement.ai</v>
      </c>
      <c r="G9" s="10" t="str">
        <f aca="false">Config!$B$5</f>
        <v>network</v>
      </c>
      <c r="H9" s="10" t="str">
        <f aca="false">Config!$B$3</f>
        <v>2610_ff_lansare</v>
      </c>
      <c r="I9" s="10" t="str">
        <f aca="false">Config!$B$4</f>
        <v>general</v>
      </c>
      <c r="J9" s="10" t="str">
        <f aca="false">"https://"&amp;D9&amp;E9&amp;"?utm_source="&amp;F9&amp;"&amp;utm_medium="&amp;G9&amp;"&amp;utm_campaign="&amp;H9&amp;"&amp;utm_content="&amp;I9</f>
        <v>https://eu-ai-act.ro/?utm_source=5thelement.ai&amp;utm_medium=network&amp;utm_campaign=2610_ff_lansare&amp;utm_content=general</v>
      </c>
    </row>
    <row r="10" customFormat="false" ht="15" hidden="false" customHeight="false" outlineLevel="0" collapsed="false">
      <c r="A10" s="10" t="s">
        <v>46</v>
      </c>
      <c r="B10" s="10" t="str">
        <f aca="false">INDEX('Site-uri'!$B$2:$B$20,MATCH(A10,'Site-uri'!$A$2:$A$20,0))</f>
        <v>5thelement.ai</v>
      </c>
      <c r="C10" s="10" t="s">
        <v>73</v>
      </c>
      <c r="D10" s="10" t="str">
        <f aca="false">INDEX('Site-uri'!$B$2:$B$20,MATCH(C10,'Site-uri'!$A$2:$A$20,0))</f>
        <v>eu-ai-act-ready.eu</v>
      </c>
      <c r="E10" s="10" t="str">
        <f aca="false">INDEX('Site-uri'!$C$2:$C$20,MATCH(C10,'Site-uri'!$A$2:$A$20,0))</f>
        <v>/</v>
      </c>
      <c r="F10" s="10" t="str">
        <f aca="false">B10</f>
        <v>5thelement.ai</v>
      </c>
      <c r="G10" s="10" t="str">
        <f aca="false">Config!$B$5</f>
        <v>network</v>
      </c>
      <c r="H10" s="10" t="str">
        <f aca="false">Config!$B$3</f>
        <v>2610_ff_lansare</v>
      </c>
      <c r="I10" s="10" t="str">
        <f aca="false">Config!$B$4</f>
        <v>general</v>
      </c>
      <c r="J10" s="10" t="str">
        <f aca="false">"https://"&amp;D10&amp;E10&amp;"?utm_source="&amp;F10&amp;"&amp;utm_medium="&amp;G10&amp;"&amp;utm_campaign="&amp;H10&amp;"&amp;utm_content="&amp;I10</f>
        <v>https://eu-ai-act-ready.eu/?utm_source=5thelement.ai&amp;utm_medium=network&amp;utm_campaign=2610_ff_lansare&amp;utm_content=general</v>
      </c>
    </row>
    <row r="11" customFormat="false" ht="15" hidden="false" customHeight="false" outlineLevel="0" collapsed="false">
      <c r="A11" s="10" t="s">
        <v>46</v>
      </c>
      <c r="B11" s="10" t="str">
        <f aca="false">INDEX('Site-uri'!$B$2:$B$20,MATCH(A11,'Site-uri'!$A$2:$A$20,0))</f>
        <v>5thelement.ai</v>
      </c>
      <c r="C11" s="10" t="s">
        <v>76</v>
      </c>
      <c r="D11" s="10" t="str">
        <f aca="false">INDEX('Site-uri'!$B$2:$B$20,MATCH(C11,'Site-uri'!$A$2:$A$20,0))</f>
        <v>eu-112.ro</v>
      </c>
      <c r="E11" s="10" t="str">
        <f aca="false">INDEX('Site-uri'!$C$2:$C$20,MATCH(C11,'Site-uri'!$A$2:$A$20,0))</f>
        <v>/</v>
      </c>
      <c r="F11" s="10" t="str">
        <f aca="false">B11</f>
        <v>5thelement.ai</v>
      </c>
      <c r="G11" s="10" t="str">
        <f aca="false">Config!$B$5</f>
        <v>network</v>
      </c>
      <c r="H11" s="10" t="str">
        <f aca="false">Config!$B$3</f>
        <v>2610_ff_lansare</v>
      </c>
      <c r="I11" s="10" t="str">
        <f aca="false">Config!$B$4</f>
        <v>general</v>
      </c>
      <c r="J11" s="10" t="str">
        <f aca="false">"https://"&amp;D11&amp;E11&amp;"?utm_source="&amp;F11&amp;"&amp;utm_medium="&amp;G11&amp;"&amp;utm_campaign="&amp;H11&amp;"&amp;utm_content="&amp;I11</f>
        <v>https://eu-112.ro/?utm_source=5thelement.ai&amp;utm_medium=network&amp;utm_campaign=2610_ff_lansare&amp;utm_content=general</v>
      </c>
    </row>
    <row r="12" customFormat="false" ht="15" hidden="false" customHeight="false" outlineLevel="0" collapsed="false">
      <c r="A12" s="10" t="s">
        <v>46</v>
      </c>
      <c r="B12" s="10" t="str">
        <f aca="false">INDEX('Site-uri'!$B$2:$B$20,MATCH(A12,'Site-uri'!$A$2:$A$20,0))</f>
        <v>5thelement.ai</v>
      </c>
      <c r="C12" s="10" t="s">
        <v>79</v>
      </c>
      <c r="D12" s="10" t="str">
        <f aca="false">INDEX('Site-uri'!$B$2:$B$20,MATCH(C12,'Site-uri'!$A$2:$A$20,0))</f>
        <v>eu-112.eu</v>
      </c>
      <c r="E12" s="10" t="str">
        <f aca="false">INDEX('Site-uri'!$C$2:$C$20,MATCH(C12,'Site-uri'!$A$2:$A$20,0))</f>
        <v>/</v>
      </c>
      <c r="F12" s="10" t="str">
        <f aca="false">B12</f>
        <v>5thelement.ai</v>
      </c>
      <c r="G12" s="10" t="str">
        <f aca="false">Config!$B$5</f>
        <v>network</v>
      </c>
      <c r="H12" s="10" t="str">
        <f aca="false">Config!$B$3</f>
        <v>2610_ff_lansare</v>
      </c>
      <c r="I12" s="10" t="str">
        <f aca="false">Config!$B$4</f>
        <v>general</v>
      </c>
      <c r="J12" s="10" t="str">
        <f aca="false">"https://"&amp;D12&amp;E12&amp;"?utm_source="&amp;F12&amp;"&amp;utm_medium="&amp;G12&amp;"&amp;utm_campaign="&amp;H12&amp;"&amp;utm_content="&amp;I12</f>
        <v>https://eu-112.eu/?utm_source=5thelement.ai&amp;utm_medium=network&amp;utm_campaign=2610_ff_lansare&amp;utm_content=general</v>
      </c>
    </row>
    <row r="13" customFormat="false" ht="15" hidden="false" customHeight="false" outlineLevel="0" collapsed="false">
      <c r="A13" s="10" t="s">
        <v>46</v>
      </c>
      <c r="B13" s="10" t="str">
        <f aca="false">INDEX('Site-uri'!$B$2:$B$20,MATCH(A13,'Site-uri'!$A$2:$A$20,0))</f>
        <v>5thelement.ai</v>
      </c>
      <c r="C13" s="10" t="s">
        <v>82</v>
      </c>
      <c r="D13" s="10" t="str">
        <f aca="false">INDEX('Site-uri'!$B$2:$B$20,MATCH(C13,'Site-uri'!$A$2:$A$20,0))</f>
        <v>1clic-ia.eu</v>
      </c>
      <c r="E13" s="10" t="str">
        <f aca="false">INDEX('Site-uri'!$C$2:$C$20,MATCH(C13,'Site-uri'!$A$2:$A$20,0))</f>
        <v>/</v>
      </c>
      <c r="F13" s="10" t="str">
        <f aca="false">B13</f>
        <v>5thelement.ai</v>
      </c>
      <c r="G13" s="10" t="str">
        <f aca="false">Config!$B$5</f>
        <v>network</v>
      </c>
      <c r="H13" s="10" t="str">
        <f aca="false">Config!$B$3</f>
        <v>2610_ff_lansare</v>
      </c>
      <c r="I13" s="10" t="str">
        <f aca="false">Config!$B$4</f>
        <v>general</v>
      </c>
      <c r="J13" s="10" t="str">
        <f aca="false">"https://"&amp;D13&amp;E13&amp;"?utm_source="&amp;F13&amp;"&amp;utm_medium="&amp;G13&amp;"&amp;utm_campaign="&amp;H13&amp;"&amp;utm_content="&amp;I13</f>
        <v>https://1clic-ia.eu/?utm_source=5thelement.ai&amp;utm_medium=network&amp;utm_campaign=2610_ff_lansare&amp;utm_content=general</v>
      </c>
    </row>
    <row r="14" customFormat="false" ht="15" hidden="false" customHeight="false" outlineLevel="0" collapsed="false">
      <c r="A14" s="10" t="s">
        <v>46</v>
      </c>
      <c r="B14" s="10" t="str">
        <f aca="false">INDEX('Site-uri'!$B$2:$B$20,MATCH(A14,'Site-uri'!$A$2:$A$20,0))</f>
        <v>5thelement.ai</v>
      </c>
      <c r="C14" s="10" t="s">
        <v>85</v>
      </c>
      <c r="D14" s="10" t="str">
        <f aca="false">INDEX('Site-uri'!$B$2:$B$20,MATCH(C14,'Site-uri'!$A$2:$A$20,0))</f>
        <v>1clic-ia.fr</v>
      </c>
      <c r="E14" s="10" t="str">
        <f aca="false">INDEX('Site-uri'!$C$2:$C$20,MATCH(C14,'Site-uri'!$A$2:$A$20,0))</f>
        <v>/</v>
      </c>
      <c r="F14" s="10" t="str">
        <f aca="false">B14</f>
        <v>5thelement.ai</v>
      </c>
      <c r="G14" s="10" t="str">
        <f aca="false">Config!$B$5</f>
        <v>network</v>
      </c>
      <c r="H14" s="10" t="str">
        <f aca="false">Config!$B$3</f>
        <v>2610_ff_lansare</v>
      </c>
      <c r="I14" s="10" t="str">
        <f aca="false">Config!$B$4</f>
        <v>general</v>
      </c>
      <c r="J14" s="10" t="str">
        <f aca="false">"https://"&amp;D14&amp;E14&amp;"?utm_source="&amp;F14&amp;"&amp;utm_medium="&amp;G14&amp;"&amp;utm_campaign="&amp;H14&amp;"&amp;utm_content="&amp;I14</f>
        <v>https://1clic-ia.fr/?utm_source=5thelement.ai&amp;utm_medium=network&amp;utm_campaign=2610_ff_lansare&amp;utm_content=general</v>
      </c>
    </row>
    <row r="15" customFormat="false" ht="15" hidden="false" customHeight="false" outlineLevel="0" collapsed="false">
      <c r="A15" s="10" t="s">
        <v>46</v>
      </c>
      <c r="B15" s="10" t="str">
        <f aca="false">INDEX('Site-uri'!$B$2:$B$20,MATCH(A15,'Site-uri'!$A$2:$A$20,0))</f>
        <v>5thelement.ai</v>
      </c>
      <c r="C15" s="10" t="s">
        <v>87</v>
      </c>
      <c r="D15" s="10" t="str">
        <f aca="false">INDEX('Site-uri'!$B$2:$B$20,MATCH(C15,'Site-uri'!$A$2:$A$20,0))</f>
        <v>firmsfinder.eu</v>
      </c>
      <c r="E15" s="10" t="str">
        <f aca="false">INDEX('Site-uri'!$C$2:$C$20,MATCH(C15,'Site-uri'!$A$2:$A$20,0))</f>
        <v>/</v>
      </c>
      <c r="F15" s="10" t="str">
        <f aca="false">B15</f>
        <v>5thelement.ai</v>
      </c>
      <c r="G15" s="10" t="str">
        <f aca="false">Config!$B$5</f>
        <v>network</v>
      </c>
      <c r="H15" s="10" t="str">
        <f aca="false">Config!$B$3</f>
        <v>2610_ff_lansare</v>
      </c>
      <c r="I15" s="10" t="str">
        <f aca="false">Config!$B$4</f>
        <v>general</v>
      </c>
      <c r="J15" s="10" t="str">
        <f aca="false">"https://"&amp;D15&amp;E15&amp;"?utm_source="&amp;F15&amp;"&amp;utm_medium="&amp;G15&amp;"&amp;utm_campaign="&amp;H15&amp;"&amp;utm_content="&amp;I15</f>
        <v>https://firmsfinder.eu/?utm_source=5thelement.ai&amp;utm_medium=network&amp;utm_campaign=2610_ff_lansare&amp;utm_content=general</v>
      </c>
    </row>
    <row r="16" customFormat="false" ht="15" hidden="false" customHeight="false" outlineLevel="0" collapsed="false">
      <c r="A16" s="10" t="s">
        <v>46</v>
      </c>
      <c r="B16" s="10" t="str">
        <f aca="false">INDEX('Site-uri'!$B$2:$B$20,MATCH(A16,'Site-uri'!$A$2:$A$20,0))</f>
        <v>5thelement.ai</v>
      </c>
      <c r="C16" s="10" t="s">
        <v>90</v>
      </c>
      <c r="D16" s="10" t="str">
        <f aca="false">INDEX('Site-uri'!$B$2:$B$20,MATCH(C16,'Site-uri'!$A$2:$A$20,0))</f>
        <v>b2b-ai-library.org</v>
      </c>
      <c r="E16" s="10" t="str">
        <f aca="false">INDEX('Site-uri'!$C$2:$C$20,MATCH(C16,'Site-uri'!$A$2:$A$20,0))</f>
        <v>/</v>
      </c>
      <c r="F16" s="10" t="str">
        <f aca="false">B16</f>
        <v>5thelement.ai</v>
      </c>
      <c r="G16" s="10" t="str">
        <f aca="false">Config!$B$5</f>
        <v>network</v>
      </c>
      <c r="H16" s="10" t="str">
        <f aca="false">Config!$B$3</f>
        <v>2610_ff_lansare</v>
      </c>
      <c r="I16" s="10" t="str">
        <f aca="false">Config!$B$4</f>
        <v>general</v>
      </c>
      <c r="J16" s="10" t="str">
        <f aca="false">"https://"&amp;D16&amp;E16&amp;"?utm_source="&amp;F16&amp;"&amp;utm_medium="&amp;G16&amp;"&amp;utm_campaign="&amp;H16&amp;"&amp;utm_content="&amp;I16</f>
        <v>https://b2b-ai-library.org/?utm_source=5thelement.ai&amp;utm_medium=network&amp;utm_campaign=2610_ff_lansare&amp;utm_content=general</v>
      </c>
    </row>
    <row r="17" customFormat="false" ht="15" hidden="false" customHeight="false" outlineLevel="0" collapsed="false">
      <c r="A17" s="10" t="s">
        <v>46</v>
      </c>
      <c r="B17" s="10" t="str">
        <f aca="false">INDEX('Site-uri'!$B$2:$B$20,MATCH(A17,'Site-uri'!$A$2:$A$20,0))</f>
        <v>5thelement.ai</v>
      </c>
      <c r="C17" s="10" t="s">
        <v>92</v>
      </c>
      <c r="D17" s="10" t="str">
        <f aca="false">INDEX('Site-uri'!$B$2:$B$20,MATCH(C17,'Site-uri'!$A$2:$A$20,0))</f>
        <v>the3webs.com</v>
      </c>
      <c r="E17" s="10" t="str">
        <f aca="false">INDEX('Site-uri'!$C$2:$C$20,MATCH(C17,'Site-uri'!$A$2:$A$20,0))</f>
        <v>/</v>
      </c>
      <c r="F17" s="10" t="str">
        <f aca="false">B17</f>
        <v>5thelement.ai</v>
      </c>
      <c r="G17" s="10" t="str">
        <f aca="false">Config!$B$5</f>
        <v>network</v>
      </c>
      <c r="H17" s="10" t="str">
        <f aca="false">Config!$B$3</f>
        <v>2610_ff_lansare</v>
      </c>
      <c r="I17" s="10" t="str">
        <f aca="false">Config!$B$4</f>
        <v>general</v>
      </c>
      <c r="J17" s="10" t="str">
        <f aca="false">"https://"&amp;D17&amp;E17&amp;"?utm_source="&amp;F17&amp;"&amp;utm_medium="&amp;G17&amp;"&amp;utm_campaign="&amp;H17&amp;"&amp;utm_content="&amp;I17</f>
        <v>https://the3webs.com/?utm_source=5thelement.ai&amp;utm_medium=network&amp;utm_campaign=2610_ff_lansare&amp;utm_content=general</v>
      </c>
    </row>
    <row r="18" customFormat="false" ht="15" hidden="false" customHeight="false" outlineLevel="0" collapsed="false">
      <c r="A18" s="10" t="s">
        <v>46</v>
      </c>
      <c r="B18" s="10" t="str">
        <f aca="false">INDEX('Site-uri'!$B$2:$B$20,MATCH(A18,'Site-uri'!$A$2:$A$20,0))</f>
        <v>5thelement.ai</v>
      </c>
      <c r="C18" s="10" t="s">
        <v>95</v>
      </c>
      <c r="D18" s="10" t="str">
        <f aca="false">INDEX('Site-uri'!$B$2:$B$20,MATCH(C18,'Site-uri'!$A$2:$A$20,0))</f>
        <v>floride-e2.com</v>
      </c>
      <c r="E18" s="10" t="str">
        <f aca="false">INDEX('Site-uri'!$C$2:$C$20,MATCH(C18,'Site-uri'!$A$2:$A$20,0))</f>
        <v>/</v>
      </c>
      <c r="F18" s="10" t="str">
        <f aca="false">B18</f>
        <v>5thelement.ai</v>
      </c>
      <c r="G18" s="10" t="str">
        <f aca="false">Config!$B$5</f>
        <v>network</v>
      </c>
      <c r="H18" s="10" t="str">
        <f aca="false">Config!$B$3</f>
        <v>2610_ff_lansare</v>
      </c>
      <c r="I18" s="10" t="str">
        <f aca="false">Config!$B$4</f>
        <v>general</v>
      </c>
      <c r="J18" s="10" t="str">
        <f aca="false">"https://"&amp;D18&amp;E18&amp;"?utm_source="&amp;F18&amp;"&amp;utm_medium="&amp;G18&amp;"&amp;utm_campaign="&amp;H18&amp;"&amp;utm_content="&amp;I18</f>
        <v>https://floride-e2.com/?utm_source=5thelement.ai&amp;utm_medium=network&amp;utm_campaign=2610_ff_lansare&amp;utm_content=general</v>
      </c>
    </row>
    <row r="19" customFormat="false" ht="15" hidden="false" customHeight="false" outlineLevel="0" collapsed="false">
      <c r="A19" s="10" t="s">
        <v>46</v>
      </c>
      <c r="B19" s="10" t="str">
        <f aca="false">INDEX('Site-uri'!$B$2:$B$20,MATCH(A19,'Site-uri'!$A$2:$A$20,0))</f>
        <v>5thelement.ai</v>
      </c>
      <c r="C19" s="10" t="s">
        <v>97</v>
      </c>
      <c r="D19" s="10" t="str">
        <f aca="false">INDEX('Site-uri'!$B$2:$B$20,MATCH(C19,'Site-uri'!$A$2:$A$20,0))</f>
        <v>ecbtax.com</v>
      </c>
      <c r="E19" s="10" t="str">
        <f aca="false">INDEX('Site-uri'!$C$2:$C$20,MATCH(C19,'Site-uri'!$A$2:$A$20,0))</f>
        <v>/</v>
      </c>
      <c r="F19" s="10" t="str">
        <f aca="false">B19</f>
        <v>5thelement.ai</v>
      </c>
      <c r="G19" s="10" t="str">
        <f aca="false">Config!$B$5</f>
        <v>network</v>
      </c>
      <c r="H19" s="10" t="str">
        <f aca="false">Config!$B$3</f>
        <v>2610_ff_lansare</v>
      </c>
      <c r="I19" s="10" t="str">
        <f aca="false">Config!$B$4</f>
        <v>general</v>
      </c>
      <c r="J19" s="10" t="str">
        <f aca="false">"https://"&amp;D19&amp;E19&amp;"?utm_source="&amp;F19&amp;"&amp;utm_medium="&amp;G19&amp;"&amp;utm_campaign="&amp;H19&amp;"&amp;utm_content="&amp;I19</f>
        <v>https://ecbtax.com/?utm_source=5thelement.ai&amp;utm_medium=network&amp;utm_campaign=2610_ff_lansare&amp;utm_content=general</v>
      </c>
    </row>
    <row r="20" customFormat="false" ht="15" hidden="false" customHeight="false" outlineLevel="0" collapsed="false">
      <c r="A20" s="10" t="s">
        <v>50</v>
      </c>
      <c r="B20" s="10" t="str">
        <f aca="false">INDEX('Site-uri'!$B$2:$B$20,MATCH(A20,'Site-uri'!$A$2:$A$20,0))</f>
        <v>aiventure.ro</v>
      </c>
      <c r="C20" s="10" t="s">
        <v>46</v>
      </c>
      <c r="D20" s="10" t="str">
        <f aca="false">INDEX('Site-uri'!$B$2:$B$20,MATCH(C20,'Site-uri'!$A$2:$A$20,0))</f>
        <v>5thelement.ai</v>
      </c>
      <c r="E20" s="10" t="str">
        <f aca="false">INDEX('Site-uri'!$C$2:$C$20,MATCH(C20,'Site-uri'!$A$2:$A$20,0))</f>
        <v>/</v>
      </c>
      <c r="F20" s="10" t="str">
        <f aca="false">B20</f>
        <v>aiventure.ro</v>
      </c>
      <c r="G20" s="10" t="str">
        <f aca="false">Config!$B$5</f>
        <v>network</v>
      </c>
      <c r="H20" s="10" t="str">
        <f aca="false">Config!$B$3</f>
        <v>2610_ff_lansare</v>
      </c>
      <c r="I20" s="10" t="str">
        <f aca="false">Config!$B$4</f>
        <v>general</v>
      </c>
      <c r="J20" s="10" t="str">
        <f aca="false">"https://"&amp;D20&amp;E20&amp;"?utm_source="&amp;F20&amp;"&amp;utm_medium="&amp;G20&amp;"&amp;utm_campaign="&amp;H20&amp;"&amp;utm_content="&amp;I20</f>
        <v>https://5thelement.ai/?utm_source=aiventure.ro&amp;utm_medium=network&amp;utm_campaign=2610_ff_lansare&amp;utm_content=general</v>
      </c>
    </row>
    <row r="21" customFormat="false" ht="15" hidden="false" customHeight="false" outlineLevel="0" collapsed="false">
      <c r="A21" s="10" t="s">
        <v>50</v>
      </c>
      <c r="B21" s="10" t="str">
        <f aca="false">INDEX('Site-uri'!$B$2:$B$20,MATCH(A21,'Site-uri'!$A$2:$A$20,0))</f>
        <v>aiventure.ro</v>
      </c>
      <c r="C21" s="10" t="s">
        <v>53</v>
      </c>
      <c r="D21" s="10" t="str">
        <f aca="false">INDEX('Site-uri'!$B$2:$B$20,MATCH(C21,'Site-uri'!$A$2:$A$20,0))</f>
        <v>aiventure.uk</v>
      </c>
      <c r="E21" s="10" t="str">
        <f aca="false">INDEX('Site-uri'!$C$2:$C$20,MATCH(C21,'Site-uri'!$A$2:$A$20,0))</f>
        <v>/</v>
      </c>
      <c r="F21" s="10" t="str">
        <f aca="false">B21</f>
        <v>aiventure.ro</v>
      </c>
      <c r="G21" s="10" t="str">
        <f aca="false">Config!$B$5</f>
        <v>network</v>
      </c>
      <c r="H21" s="10" t="str">
        <f aca="false">Config!$B$3</f>
        <v>2610_ff_lansare</v>
      </c>
      <c r="I21" s="10" t="str">
        <f aca="false">Config!$B$4</f>
        <v>general</v>
      </c>
      <c r="J21" s="10" t="str">
        <f aca="false">"https://"&amp;D21&amp;E21&amp;"?utm_source="&amp;F21&amp;"&amp;utm_medium="&amp;G21&amp;"&amp;utm_campaign="&amp;H21&amp;"&amp;utm_content="&amp;I21</f>
        <v>https://aiventure.uk/?utm_source=aiventure.ro&amp;utm_medium=network&amp;utm_campaign=2610_ff_lansare&amp;utm_content=general</v>
      </c>
    </row>
    <row r="22" customFormat="false" ht="15" hidden="false" customHeight="false" outlineLevel="0" collapsed="false">
      <c r="A22" s="10" t="s">
        <v>50</v>
      </c>
      <c r="B22" s="10" t="str">
        <f aca="false">INDEX('Site-uri'!$B$2:$B$20,MATCH(A22,'Site-uri'!$A$2:$A$20,0))</f>
        <v>aiventure.ro</v>
      </c>
      <c r="C22" s="10" t="s">
        <v>56</v>
      </c>
      <c r="D22" s="10" t="str">
        <f aca="false">INDEX('Site-uri'!$B$2:$B$20,MATCH(C22,'Site-uri'!$A$2:$A$20,0))</f>
        <v>3webobs.com</v>
      </c>
      <c r="E22" s="10" t="str">
        <f aca="false">INDEX('Site-uri'!$C$2:$C$20,MATCH(C22,'Site-uri'!$A$2:$A$20,0))</f>
        <v>/</v>
      </c>
      <c r="F22" s="10" t="str">
        <f aca="false">B22</f>
        <v>aiventure.ro</v>
      </c>
      <c r="G22" s="10" t="str">
        <f aca="false">Config!$B$5</f>
        <v>network</v>
      </c>
      <c r="H22" s="10" t="str">
        <f aca="false">Config!$B$3</f>
        <v>2610_ff_lansare</v>
      </c>
      <c r="I22" s="10" t="str">
        <f aca="false">Config!$B$4</f>
        <v>general</v>
      </c>
      <c r="J22" s="10" t="str">
        <f aca="false">"https://"&amp;D22&amp;E22&amp;"?utm_source="&amp;F22&amp;"&amp;utm_medium="&amp;G22&amp;"&amp;utm_campaign="&amp;H22&amp;"&amp;utm_content="&amp;I22</f>
        <v>https://3webobs.com/?utm_source=aiventure.ro&amp;utm_medium=network&amp;utm_campaign=2610_ff_lansare&amp;utm_content=general</v>
      </c>
    </row>
    <row r="23" customFormat="false" ht="15" hidden="false" customHeight="false" outlineLevel="0" collapsed="false">
      <c r="A23" s="10" t="s">
        <v>50</v>
      </c>
      <c r="B23" s="10" t="str">
        <f aca="false">INDEX('Site-uri'!$B$2:$B$20,MATCH(A23,'Site-uri'!$A$2:$A$20,0))</f>
        <v>aiventure.ro</v>
      </c>
      <c r="C23" s="10" t="s">
        <v>59</v>
      </c>
      <c r="D23" s="10" t="str">
        <f aca="false">INDEX('Site-uri'!$B$2:$B$20,MATCH(C23,'Site-uri'!$A$2:$A$20,0))</f>
        <v>ai-lens.eu</v>
      </c>
      <c r="E23" s="10" t="str">
        <f aca="false">INDEX('Site-uri'!$C$2:$C$20,MATCH(C23,'Site-uri'!$A$2:$A$20,0))</f>
        <v>/</v>
      </c>
      <c r="F23" s="10" t="str">
        <f aca="false">B23</f>
        <v>aiventure.ro</v>
      </c>
      <c r="G23" s="10" t="str">
        <f aca="false">Config!$B$5</f>
        <v>network</v>
      </c>
      <c r="H23" s="10" t="str">
        <f aca="false">Config!$B$3</f>
        <v>2610_ff_lansare</v>
      </c>
      <c r="I23" s="10" t="str">
        <f aca="false">Config!$B$4</f>
        <v>general</v>
      </c>
      <c r="J23" s="10" t="str">
        <f aca="false">"https://"&amp;D23&amp;E23&amp;"?utm_source="&amp;F23&amp;"&amp;utm_medium="&amp;G23&amp;"&amp;utm_campaign="&amp;H23&amp;"&amp;utm_content="&amp;I23</f>
        <v>https://ai-lens.eu/?utm_source=aiventure.ro&amp;utm_medium=network&amp;utm_campaign=2610_ff_lansare&amp;utm_content=general</v>
      </c>
    </row>
    <row r="24" customFormat="false" ht="15" hidden="false" customHeight="false" outlineLevel="0" collapsed="false">
      <c r="A24" s="10" t="s">
        <v>50</v>
      </c>
      <c r="B24" s="10" t="str">
        <f aca="false">INDEX('Site-uri'!$B$2:$B$20,MATCH(A24,'Site-uri'!$A$2:$A$20,0))</f>
        <v>aiventure.ro</v>
      </c>
      <c r="C24" s="10" t="s">
        <v>62</v>
      </c>
      <c r="D24" s="10" t="str">
        <f aca="false">INDEX('Site-uri'!$B$2:$B$20,MATCH(C24,'Site-uri'!$A$2:$A$20,0))</f>
        <v>aireadyinjector.com</v>
      </c>
      <c r="E24" s="10" t="str">
        <f aca="false">INDEX('Site-uri'!$C$2:$C$20,MATCH(C24,'Site-uri'!$A$2:$A$20,0))</f>
        <v>/</v>
      </c>
      <c r="F24" s="10" t="str">
        <f aca="false">B24</f>
        <v>aiventure.ro</v>
      </c>
      <c r="G24" s="10" t="str">
        <f aca="false">Config!$B$5</f>
        <v>network</v>
      </c>
      <c r="H24" s="10" t="str">
        <f aca="false">Config!$B$3</f>
        <v>2610_ff_lansare</v>
      </c>
      <c r="I24" s="10" t="str">
        <f aca="false">Config!$B$4</f>
        <v>general</v>
      </c>
      <c r="J24" s="10" t="str">
        <f aca="false">"https://"&amp;D24&amp;E24&amp;"?utm_source="&amp;F24&amp;"&amp;utm_medium="&amp;G24&amp;"&amp;utm_campaign="&amp;H24&amp;"&amp;utm_content="&amp;I24</f>
        <v>https://aireadyinjector.com/?utm_source=aiventure.ro&amp;utm_medium=network&amp;utm_campaign=2610_ff_lansare&amp;utm_content=general</v>
      </c>
    </row>
    <row r="25" customFormat="false" ht="15" hidden="false" customHeight="false" outlineLevel="0" collapsed="false">
      <c r="A25" s="10" t="s">
        <v>50</v>
      </c>
      <c r="B25" s="10" t="str">
        <f aca="false">INDEX('Site-uri'!$B$2:$B$20,MATCH(A25,'Site-uri'!$A$2:$A$20,0))</f>
        <v>aiventure.ro</v>
      </c>
      <c r="C25" s="10" t="s">
        <v>65</v>
      </c>
      <c r="D25" s="10" t="str">
        <f aca="false">INDEX('Site-uri'!$B$2:$B$20,MATCH(C25,'Site-uri'!$A$2:$A$20,0))</f>
        <v>eu-ai-audit.eu</v>
      </c>
      <c r="E25" s="10" t="str">
        <f aca="false">INDEX('Site-uri'!$C$2:$C$20,MATCH(C25,'Site-uri'!$A$2:$A$20,0))</f>
        <v>/</v>
      </c>
      <c r="F25" s="10" t="str">
        <f aca="false">B25</f>
        <v>aiventure.ro</v>
      </c>
      <c r="G25" s="10" t="str">
        <f aca="false">Config!$B$5</f>
        <v>network</v>
      </c>
      <c r="H25" s="10" t="str">
        <f aca="false">Config!$B$3</f>
        <v>2610_ff_lansare</v>
      </c>
      <c r="I25" s="10" t="str">
        <f aca="false">Config!$B$4</f>
        <v>general</v>
      </c>
      <c r="J25" s="10" t="str">
        <f aca="false">"https://"&amp;D25&amp;E25&amp;"?utm_source="&amp;F25&amp;"&amp;utm_medium="&amp;G25&amp;"&amp;utm_campaign="&amp;H25&amp;"&amp;utm_content="&amp;I25</f>
        <v>https://eu-ai-audit.eu/?utm_source=aiventure.ro&amp;utm_medium=network&amp;utm_campaign=2610_ff_lansare&amp;utm_content=general</v>
      </c>
    </row>
    <row r="26" customFormat="false" ht="15" hidden="false" customHeight="false" outlineLevel="0" collapsed="false">
      <c r="A26" s="10" t="s">
        <v>50</v>
      </c>
      <c r="B26" s="10" t="str">
        <f aca="false">INDEX('Site-uri'!$B$2:$B$20,MATCH(A26,'Site-uri'!$A$2:$A$20,0))</f>
        <v>aiventure.ro</v>
      </c>
      <c r="C26" s="10" t="s">
        <v>68</v>
      </c>
      <c r="D26" s="10" t="str">
        <f aca="false">INDEX('Site-uri'!$B$2:$B$20,MATCH(C26,'Site-uri'!$A$2:$A$20,0))</f>
        <v>eu-ai-ready.eu</v>
      </c>
      <c r="E26" s="10" t="str">
        <f aca="false">INDEX('Site-uri'!$C$2:$C$20,MATCH(C26,'Site-uri'!$A$2:$A$20,0))</f>
        <v>/</v>
      </c>
      <c r="F26" s="10" t="str">
        <f aca="false">B26</f>
        <v>aiventure.ro</v>
      </c>
      <c r="G26" s="10" t="str">
        <f aca="false">Config!$B$5</f>
        <v>network</v>
      </c>
      <c r="H26" s="10" t="str">
        <f aca="false">Config!$B$3</f>
        <v>2610_ff_lansare</v>
      </c>
      <c r="I26" s="10" t="str">
        <f aca="false">Config!$B$4</f>
        <v>general</v>
      </c>
      <c r="J26" s="10" t="str">
        <f aca="false">"https://"&amp;D26&amp;E26&amp;"?utm_source="&amp;F26&amp;"&amp;utm_medium="&amp;G26&amp;"&amp;utm_campaign="&amp;H26&amp;"&amp;utm_content="&amp;I26</f>
        <v>https://eu-ai-ready.eu/?utm_source=aiventure.ro&amp;utm_medium=network&amp;utm_campaign=2610_ff_lansare&amp;utm_content=general</v>
      </c>
    </row>
    <row r="27" customFormat="false" ht="15" hidden="false" customHeight="false" outlineLevel="0" collapsed="false">
      <c r="A27" s="10" t="s">
        <v>50</v>
      </c>
      <c r="B27" s="10" t="str">
        <f aca="false">INDEX('Site-uri'!$B$2:$B$20,MATCH(A27,'Site-uri'!$A$2:$A$20,0))</f>
        <v>aiventure.ro</v>
      </c>
      <c r="C27" s="10" t="s">
        <v>70</v>
      </c>
      <c r="D27" s="10" t="str">
        <f aca="false">INDEX('Site-uri'!$B$2:$B$20,MATCH(C27,'Site-uri'!$A$2:$A$20,0))</f>
        <v>eu-ai-act.ro</v>
      </c>
      <c r="E27" s="10" t="str">
        <f aca="false">INDEX('Site-uri'!$C$2:$C$20,MATCH(C27,'Site-uri'!$A$2:$A$20,0))</f>
        <v>/</v>
      </c>
      <c r="F27" s="10" t="str">
        <f aca="false">B27</f>
        <v>aiventure.ro</v>
      </c>
      <c r="G27" s="10" t="str">
        <f aca="false">Config!$B$5</f>
        <v>network</v>
      </c>
      <c r="H27" s="10" t="str">
        <f aca="false">Config!$B$3</f>
        <v>2610_ff_lansare</v>
      </c>
      <c r="I27" s="10" t="str">
        <f aca="false">Config!$B$4</f>
        <v>general</v>
      </c>
      <c r="J27" s="10" t="str">
        <f aca="false">"https://"&amp;D27&amp;E27&amp;"?utm_source="&amp;F27&amp;"&amp;utm_medium="&amp;G27&amp;"&amp;utm_campaign="&amp;H27&amp;"&amp;utm_content="&amp;I27</f>
        <v>https://eu-ai-act.ro/?utm_source=aiventure.ro&amp;utm_medium=network&amp;utm_campaign=2610_ff_lansare&amp;utm_content=general</v>
      </c>
    </row>
    <row r="28" customFormat="false" ht="15" hidden="false" customHeight="false" outlineLevel="0" collapsed="false">
      <c r="A28" s="10" t="s">
        <v>50</v>
      </c>
      <c r="B28" s="10" t="str">
        <f aca="false">INDEX('Site-uri'!$B$2:$B$20,MATCH(A28,'Site-uri'!$A$2:$A$20,0))</f>
        <v>aiventure.ro</v>
      </c>
      <c r="C28" s="10" t="s">
        <v>73</v>
      </c>
      <c r="D28" s="10" t="str">
        <f aca="false">INDEX('Site-uri'!$B$2:$B$20,MATCH(C28,'Site-uri'!$A$2:$A$20,0))</f>
        <v>eu-ai-act-ready.eu</v>
      </c>
      <c r="E28" s="10" t="str">
        <f aca="false">INDEX('Site-uri'!$C$2:$C$20,MATCH(C28,'Site-uri'!$A$2:$A$20,0))</f>
        <v>/</v>
      </c>
      <c r="F28" s="10" t="str">
        <f aca="false">B28</f>
        <v>aiventure.ro</v>
      </c>
      <c r="G28" s="10" t="str">
        <f aca="false">Config!$B$5</f>
        <v>network</v>
      </c>
      <c r="H28" s="10" t="str">
        <f aca="false">Config!$B$3</f>
        <v>2610_ff_lansare</v>
      </c>
      <c r="I28" s="10" t="str">
        <f aca="false">Config!$B$4</f>
        <v>general</v>
      </c>
      <c r="J28" s="10" t="str">
        <f aca="false">"https://"&amp;D28&amp;E28&amp;"?utm_source="&amp;F28&amp;"&amp;utm_medium="&amp;G28&amp;"&amp;utm_campaign="&amp;H28&amp;"&amp;utm_content="&amp;I28</f>
        <v>https://eu-ai-act-ready.eu/?utm_source=aiventure.ro&amp;utm_medium=network&amp;utm_campaign=2610_ff_lansare&amp;utm_content=general</v>
      </c>
    </row>
    <row r="29" customFormat="false" ht="15" hidden="false" customHeight="false" outlineLevel="0" collapsed="false">
      <c r="A29" s="10" t="s">
        <v>50</v>
      </c>
      <c r="B29" s="10" t="str">
        <f aca="false">INDEX('Site-uri'!$B$2:$B$20,MATCH(A29,'Site-uri'!$A$2:$A$20,0))</f>
        <v>aiventure.ro</v>
      </c>
      <c r="C29" s="10" t="s">
        <v>76</v>
      </c>
      <c r="D29" s="10" t="str">
        <f aca="false">INDEX('Site-uri'!$B$2:$B$20,MATCH(C29,'Site-uri'!$A$2:$A$20,0))</f>
        <v>eu-112.ro</v>
      </c>
      <c r="E29" s="10" t="str">
        <f aca="false">INDEX('Site-uri'!$C$2:$C$20,MATCH(C29,'Site-uri'!$A$2:$A$20,0))</f>
        <v>/</v>
      </c>
      <c r="F29" s="10" t="str">
        <f aca="false">B29</f>
        <v>aiventure.ro</v>
      </c>
      <c r="G29" s="10" t="str">
        <f aca="false">Config!$B$5</f>
        <v>network</v>
      </c>
      <c r="H29" s="10" t="str">
        <f aca="false">Config!$B$3</f>
        <v>2610_ff_lansare</v>
      </c>
      <c r="I29" s="10" t="str">
        <f aca="false">Config!$B$4</f>
        <v>general</v>
      </c>
      <c r="J29" s="10" t="str">
        <f aca="false">"https://"&amp;D29&amp;E29&amp;"?utm_source="&amp;F29&amp;"&amp;utm_medium="&amp;G29&amp;"&amp;utm_campaign="&amp;H29&amp;"&amp;utm_content="&amp;I29</f>
        <v>https://eu-112.ro/?utm_source=aiventure.ro&amp;utm_medium=network&amp;utm_campaign=2610_ff_lansare&amp;utm_content=general</v>
      </c>
    </row>
    <row r="30" customFormat="false" ht="15" hidden="false" customHeight="false" outlineLevel="0" collapsed="false">
      <c r="A30" s="10" t="s">
        <v>50</v>
      </c>
      <c r="B30" s="10" t="str">
        <f aca="false">INDEX('Site-uri'!$B$2:$B$20,MATCH(A30,'Site-uri'!$A$2:$A$20,0))</f>
        <v>aiventure.ro</v>
      </c>
      <c r="C30" s="10" t="s">
        <v>79</v>
      </c>
      <c r="D30" s="10" t="str">
        <f aca="false">INDEX('Site-uri'!$B$2:$B$20,MATCH(C30,'Site-uri'!$A$2:$A$20,0))</f>
        <v>eu-112.eu</v>
      </c>
      <c r="E30" s="10" t="str">
        <f aca="false">INDEX('Site-uri'!$C$2:$C$20,MATCH(C30,'Site-uri'!$A$2:$A$20,0))</f>
        <v>/</v>
      </c>
      <c r="F30" s="10" t="str">
        <f aca="false">B30</f>
        <v>aiventure.ro</v>
      </c>
      <c r="G30" s="10" t="str">
        <f aca="false">Config!$B$5</f>
        <v>network</v>
      </c>
      <c r="H30" s="10" t="str">
        <f aca="false">Config!$B$3</f>
        <v>2610_ff_lansare</v>
      </c>
      <c r="I30" s="10" t="str">
        <f aca="false">Config!$B$4</f>
        <v>general</v>
      </c>
      <c r="J30" s="10" t="str">
        <f aca="false">"https://"&amp;D30&amp;E30&amp;"?utm_source="&amp;F30&amp;"&amp;utm_medium="&amp;G30&amp;"&amp;utm_campaign="&amp;H30&amp;"&amp;utm_content="&amp;I30</f>
        <v>https://eu-112.eu/?utm_source=aiventure.ro&amp;utm_medium=network&amp;utm_campaign=2610_ff_lansare&amp;utm_content=general</v>
      </c>
    </row>
    <row r="31" customFormat="false" ht="15" hidden="false" customHeight="false" outlineLevel="0" collapsed="false">
      <c r="A31" s="10" t="s">
        <v>50</v>
      </c>
      <c r="B31" s="10" t="str">
        <f aca="false">INDEX('Site-uri'!$B$2:$B$20,MATCH(A31,'Site-uri'!$A$2:$A$20,0))</f>
        <v>aiventure.ro</v>
      </c>
      <c r="C31" s="10" t="s">
        <v>82</v>
      </c>
      <c r="D31" s="10" t="str">
        <f aca="false">INDEX('Site-uri'!$B$2:$B$20,MATCH(C31,'Site-uri'!$A$2:$A$20,0))</f>
        <v>1clic-ia.eu</v>
      </c>
      <c r="E31" s="10" t="str">
        <f aca="false">INDEX('Site-uri'!$C$2:$C$20,MATCH(C31,'Site-uri'!$A$2:$A$20,0))</f>
        <v>/</v>
      </c>
      <c r="F31" s="10" t="str">
        <f aca="false">B31</f>
        <v>aiventure.ro</v>
      </c>
      <c r="G31" s="10" t="str">
        <f aca="false">Config!$B$5</f>
        <v>network</v>
      </c>
      <c r="H31" s="10" t="str">
        <f aca="false">Config!$B$3</f>
        <v>2610_ff_lansare</v>
      </c>
      <c r="I31" s="10" t="str">
        <f aca="false">Config!$B$4</f>
        <v>general</v>
      </c>
      <c r="J31" s="10" t="str">
        <f aca="false">"https://"&amp;D31&amp;E31&amp;"?utm_source="&amp;F31&amp;"&amp;utm_medium="&amp;G31&amp;"&amp;utm_campaign="&amp;H31&amp;"&amp;utm_content="&amp;I31</f>
        <v>https://1clic-ia.eu/?utm_source=aiventure.ro&amp;utm_medium=network&amp;utm_campaign=2610_ff_lansare&amp;utm_content=general</v>
      </c>
    </row>
    <row r="32" customFormat="false" ht="15" hidden="false" customHeight="false" outlineLevel="0" collapsed="false">
      <c r="A32" s="10" t="s">
        <v>50</v>
      </c>
      <c r="B32" s="10" t="str">
        <f aca="false">INDEX('Site-uri'!$B$2:$B$20,MATCH(A32,'Site-uri'!$A$2:$A$20,0))</f>
        <v>aiventure.ro</v>
      </c>
      <c r="C32" s="10" t="s">
        <v>85</v>
      </c>
      <c r="D32" s="10" t="str">
        <f aca="false">INDEX('Site-uri'!$B$2:$B$20,MATCH(C32,'Site-uri'!$A$2:$A$20,0))</f>
        <v>1clic-ia.fr</v>
      </c>
      <c r="E32" s="10" t="str">
        <f aca="false">INDEX('Site-uri'!$C$2:$C$20,MATCH(C32,'Site-uri'!$A$2:$A$20,0))</f>
        <v>/</v>
      </c>
      <c r="F32" s="10" t="str">
        <f aca="false">B32</f>
        <v>aiventure.ro</v>
      </c>
      <c r="G32" s="10" t="str">
        <f aca="false">Config!$B$5</f>
        <v>network</v>
      </c>
      <c r="H32" s="10" t="str">
        <f aca="false">Config!$B$3</f>
        <v>2610_ff_lansare</v>
      </c>
      <c r="I32" s="10" t="str">
        <f aca="false">Config!$B$4</f>
        <v>general</v>
      </c>
      <c r="J32" s="10" t="str">
        <f aca="false">"https://"&amp;D32&amp;E32&amp;"?utm_source="&amp;F32&amp;"&amp;utm_medium="&amp;G32&amp;"&amp;utm_campaign="&amp;H32&amp;"&amp;utm_content="&amp;I32</f>
        <v>https://1clic-ia.fr/?utm_source=aiventure.ro&amp;utm_medium=network&amp;utm_campaign=2610_ff_lansare&amp;utm_content=general</v>
      </c>
    </row>
    <row r="33" customFormat="false" ht="15" hidden="false" customHeight="false" outlineLevel="0" collapsed="false">
      <c r="A33" s="10" t="s">
        <v>50</v>
      </c>
      <c r="B33" s="10" t="str">
        <f aca="false">INDEX('Site-uri'!$B$2:$B$20,MATCH(A33,'Site-uri'!$A$2:$A$20,0))</f>
        <v>aiventure.ro</v>
      </c>
      <c r="C33" s="10" t="s">
        <v>87</v>
      </c>
      <c r="D33" s="10" t="str">
        <f aca="false">INDEX('Site-uri'!$B$2:$B$20,MATCH(C33,'Site-uri'!$A$2:$A$20,0))</f>
        <v>firmsfinder.eu</v>
      </c>
      <c r="E33" s="10" t="str">
        <f aca="false">INDEX('Site-uri'!$C$2:$C$20,MATCH(C33,'Site-uri'!$A$2:$A$20,0))</f>
        <v>/</v>
      </c>
      <c r="F33" s="10" t="str">
        <f aca="false">B33</f>
        <v>aiventure.ro</v>
      </c>
      <c r="G33" s="10" t="str">
        <f aca="false">Config!$B$5</f>
        <v>network</v>
      </c>
      <c r="H33" s="10" t="str">
        <f aca="false">Config!$B$3</f>
        <v>2610_ff_lansare</v>
      </c>
      <c r="I33" s="10" t="str">
        <f aca="false">Config!$B$4</f>
        <v>general</v>
      </c>
      <c r="J33" s="10" t="str">
        <f aca="false">"https://"&amp;D33&amp;E33&amp;"?utm_source="&amp;F33&amp;"&amp;utm_medium="&amp;G33&amp;"&amp;utm_campaign="&amp;H33&amp;"&amp;utm_content="&amp;I33</f>
        <v>https://firmsfinder.eu/?utm_source=aiventure.ro&amp;utm_medium=network&amp;utm_campaign=2610_ff_lansare&amp;utm_content=general</v>
      </c>
    </row>
    <row r="34" customFormat="false" ht="15" hidden="false" customHeight="false" outlineLevel="0" collapsed="false">
      <c r="A34" s="10" t="s">
        <v>50</v>
      </c>
      <c r="B34" s="10" t="str">
        <f aca="false">INDEX('Site-uri'!$B$2:$B$20,MATCH(A34,'Site-uri'!$A$2:$A$20,0))</f>
        <v>aiventure.ro</v>
      </c>
      <c r="C34" s="10" t="s">
        <v>90</v>
      </c>
      <c r="D34" s="10" t="str">
        <f aca="false">INDEX('Site-uri'!$B$2:$B$20,MATCH(C34,'Site-uri'!$A$2:$A$20,0))</f>
        <v>b2b-ai-library.org</v>
      </c>
      <c r="E34" s="10" t="str">
        <f aca="false">INDEX('Site-uri'!$C$2:$C$20,MATCH(C34,'Site-uri'!$A$2:$A$20,0))</f>
        <v>/</v>
      </c>
      <c r="F34" s="10" t="str">
        <f aca="false">B34</f>
        <v>aiventure.ro</v>
      </c>
      <c r="G34" s="10" t="str">
        <f aca="false">Config!$B$5</f>
        <v>network</v>
      </c>
      <c r="H34" s="10" t="str">
        <f aca="false">Config!$B$3</f>
        <v>2610_ff_lansare</v>
      </c>
      <c r="I34" s="10" t="str">
        <f aca="false">Config!$B$4</f>
        <v>general</v>
      </c>
      <c r="J34" s="10" t="str">
        <f aca="false">"https://"&amp;D34&amp;E34&amp;"?utm_source="&amp;F34&amp;"&amp;utm_medium="&amp;G34&amp;"&amp;utm_campaign="&amp;H34&amp;"&amp;utm_content="&amp;I34</f>
        <v>https://b2b-ai-library.org/?utm_source=aiventure.ro&amp;utm_medium=network&amp;utm_campaign=2610_ff_lansare&amp;utm_content=general</v>
      </c>
    </row>
    <row r="35" customFormat="false" ht="15" hidden="false" customHeight="false" outlineLevel="0" collapsed="false">
      <c r="A35" s="10" t="s">
        <v>50</v>
      </c>
      <c r="B35" s="10" t="str">
        <f aca="false">INDEX('Site-uri'!$B$2:$B$20,MATCH(A35,'Site-uri'!$A$2:$A$20,0))</f>
        <v>aiventure.ro</v>
      </c>
      <c r="C35" s="10" t="s">
        <v>92</v>
      </c>
      <c r="D35" s="10" t="str">
        <f aca="false">INDEX('Site-uri'!$B$2:$B$20,MATCH(C35,'Site-uri'!$A$2:$A$20,0))</f>
        <v>the3webs.com</v>
      </c>
      <c r="E35" s="10" t="str">
        <f aca="false">INDEX('Site-uri'!$C$2:$C$20,MATCH(C35,'Site-uri'!$A$2:$A$20,0))</f>
        <v>/</v>
      </c>
      <c r="F35" s="10" t="str">
        <f aca="false">B35</f>
        <v>aiventure.ro</v>
      </c>
      <c r="G35" s="10" t="str">
        <f aca="false">Config!$B$5</f>
        <v>network</v>
      </c>
      <c r="H35" s="10" t="str">
        <f aca="false">Config!$B$3</f>
        <v>2610_ff_lansare</v>
      </c>
      <c r="I35" s="10" t="str">
        <f aca="false">Config!$B$4</f>
        <v>general</v>
      </c>
      <c r="J35" s="10" t="str">
        <f aca="false">"https://"&amp;D35&amp;E35&amp;"?utm_source="&amp;F35&amp;"&amp;utm_medium="&amp;G35&amp;"&amp;utm_campaign="&amp;H35&amp;"&amp;utm_content="&amp;I35</f>
        <v>https://the3webs.com/?utm_source=aiventure.ro&amp;utm_medium=network&amp;utm_campaign=2610_ff_lansare&amp;utm_content=general</v>
      </c>
    </row>
    <row r="36" customFormat="false" ht="15" hidden="false" customHeight="false" outlineLevel="0" collapsed="false">
      <c r="A36" s="10" t="s">
        <v>50</v>
      </c>
      <c r="B36" s="10" t="str">
        <f aca="false">INDEX('Site-uri'!$B$2:$B$20,MATCH(A36,'Site-uri'!$A$2:$A$20,0))</f>
        <v>aiventure.ro</v>
      </c>
      <c r="C36" s="10" t="s">
        <v>95</v>
      </c>
      <c r="D36" s="10" t="str">
        <f aca="false">INDEX('Site-uri'!$B$2:$B$20,MATCH(C36,'Site-uri'!$A$2:$A$20,0))</f>
        <v>floride-e2.com</v>
      </c>
      <c r="E36" s="10" t="str">
        <f aca="false">INDEX('Site-uri'!$C$2:$C$20,MATCH(C36,'Site-uri'!$A$2:$A$20,0))</f>
        <v>/</v>
      </c>
      <c r="F36" s="10" t="str">
        <f aca="false">B36</f>
        <v>aiventure.ro</v>
      </c>
      <c r="G36" s="10" t="str">
        <f aca="false">Config!$B$5</f>
        <v>network</v>
      </c>
      <c r="H36" s="10" t="str">
        <f aca="false">Config!$B$3</f>
        <v>2610_ff_lansare</v>
      </c>
      <c r="I36" s="10" t="str">
        <f aca="false">Config!$B$4</f>
        <v>general</v>
      </c>
      <c r="J36" s="10" t="str">
        <f aca="false">"https://"&amp;D36&amp;E36&amp;"?utm_source="&amp;F36&amp;"&amp;utm_medium="&amp;G36&amp;"&amp;utm_campaign="&amp;H36&amp;"&amp;utm_content="&amp;I36</f>
        <v>https://floride-e2.com/?utm_source=aiventure.ro&amp;utm_medium=network&amp;utm_campaign=2610_ff_lansare&amp;utm_content=general</v>
      </c>
    </row>
    <row r="37" customFormat="false" ht="15" hidden="false" customHeight="false" outlineLevel="0" collapsed="false">
      <c r="A37" s="10" t="s">
        <v>50</v>
      </c>
      <c r="B37" s="10" t="str">
        <f aca="false">INDEX('Site-uri'!$B$2:$B$20,MATCH(A37,'Site-uri'!$A$2:$A$20,0))</f>
        <v>aiventure.ro</v>
      </c>
      <c r="C37" s="10" t="s">
        <v>97</v>
      </c>
      <c r="D37" s="10" t="str">
        <f aca="false">INDEX('Site-uri'!$B$2:$B$20,MATCH(C37,'Site-uri'!$A$2:$A$20,0))</f>
        <v>ecbtax.com</v>
      </c>
      <c r="E37" s="10" t="str">
        <f aca="false">INDEX('Site-uri'!$C$2:$C$20,MATCH(C37,'Site-uri'!$A$2:$A$20,0))</f>
        <v>/</v>
      </c>
      <c r="F37" s="10" t="str">
        <f aca="false">B37</f>
        <v>aiventure.ro</v>
      </c>
      <c r="G37" s="10" t="str">
        <f aca="false">Config!$B$5</f>
        <v>network</v>
      </c>
      <c r="H37" s="10" t="str">
        <f aca="false">Config!$B$3</f>
        <v>2610_ff_lansare</v>
      </c>
      <c r="I37" s="10" t="str">
        <f aca="false">Config!$B$4</f>
        <v>general</v>
      </c>
      <c r="J37" s="10" t="str">
        <f aca="false">"https://"&amp;D37&amp;E37&amp;"?utm_source="&amp;F37&amp;"&amp;utm_medium="&amp;G37&amp;"&amp;utm_campaign="&amp;H37&amp;"&amp;utm_content="&amp;I37</f>
        <v>https://ecbtax.com/?utm_source=aiventure.ro&amp;utm_medium=network&amp;utm_campaign=2610_ff_lansare&amp;utm_content=general</v>
      </c>
    </row>
    <row r="38" customFormat="false" ht="15" hidden="false" customHeight="false" outlineLevel="0" collapsed="false">
      <c r="A38" s="10" t="s">
        <v>53</v>
      </c>
      <c r="B38" s="10" t="str">
        <f aca="false">INDEX('Site-uri'!$B$2:$B$20,MATCH(A38,'Site-uri'!$A$2:$A$20,0))</f>
        <v>aiventure.uk</v>
      </c>
      <c r="C38" s="10" t="s">
        <v>46</v>
      </c>
      <c r="D38" s="10" t="str">
        <f aca="false">INDEX('Site-uri'!$B$2:$B$20,MATCH(C38,'Site-uri'!$A$2:$A$20,0))</f>
        <v>5thelement.ai</v>
      </c>
      <c r="E38" s="10" t="str">
        <f aca="false">INDEX('Site-uri'!$C$2:$C$20,MATCH(C38,'Site-uri'!$A$2:$A$20,0))</f>
        <v>/</v>
      </c>
      <c r="F38" s="10" t="str">
        <f aca="false">B38</f>
        <v>aiventure.uk</v>
      </c>
      <c r="G38" s="10" t="str">
        <f aca="false">Config!$B$5</f>
        <v>network</v>
      </c>
      <c r="H38" s="10" t="str">
        <f aca="false">Config!$B$3</f>
        <v>2610_ff_lansare</v>
      </c>
      <c r="I38" s="10" t="str">
        <f aca="false">Config!$B$4</f>
        <v>general</v>
      </c>
      <c r="J38" s="10" t="str">
        <f aca="false">"https://"&amp;D38&amp;E38&amp;"?utm_source="&amp;F38&amp;"&amp;utm_medium="&amp;G38&amp;"&amp;utm_campaign="&amp;H38&amp;"&amp;utm_content="&amp;I38</f>
        <v>https://5thelement.ai/?utm_source=aiventure.uk&amp;utm_medium=network&amp;utm_campaign=2610_ff_lansare&amp;utm_content=general</v>
      </c>
    </row>
    <row r="39" customFormat="false" ht="15" hidden="false" customHeight="false" outlineLevel="0" collapsed="false">
      <c r="A39" s="10" t="s">
        <v>53</v>
      </c>
      <c r="B39" s="10" t="str">
        <f aca="false">INDEX('Site-uri'!$B$2:$B$20,MATCH(A39,'Site-uri'!$A$2:$A$20,0))</f>
        <v>aiventure.uk</v>
      </c>
      <c r="C39" s="10" t="s">
        <v>50</v>
      </c>
      <c r="D39" s="10" t="str">
        <f aca="false">INDEX('Site-uri'!$B$2:$B$20,MATCH(C39,'Site-uri'!$A$2:$A$20,0))</f>
        <v>aiventure.ro</v>
      </c>
      <c r="E39" s="10" t="str">
        <f aca="false">INDEX('Site-uri'!$C$2:$C$20,MATCH(C39,'Site-uri'!$A$2:$A$20,0))</f>
        <v>/</v>
      </c>
      <c r="F39" s="10" t="str">
        <f aca="false">B39</f>
        <v>aiventure.uk</v>
      </c>
      <c r="G39" s="10" t="str">
        <f aca="false">Config!$B$5</f>
        <v>network</v>
      </c>
      <c r="H39" s="10" t="str">
        <f aca="false">Config!$B$3</f>
        <v>2610_ff_lansare</v>
      </c>
      <c r="I39" s="10" t="str">
        <f aca="false">Config!$B$4</f>
        <v>general</v>
      </c>
      <c r="J39" s="10" t="str">
        <f aca="false">"https://"&amp;D39&amp;E39&amp;"?utm_source="&amp;F39&amp;"&amp;utm_medium="&amp;G39&amp;"&amp;utm_campaign="&amp;H39&amp;"&amp;utm_content="&amp;I39</f>
        <v>https://aiventure.ro/?utm_source=aiventure.uk&amp;utm_medium=network&amp;utm_campaign=2610_ff_lansare&amp;utm_content=general</v>
      </c>
    </row>
    <row r="40" customFormat="false" ht="15" hidden="false" customHeight="false" outlineLevel="0" collapsed="false">
      <c r="A40" s="10" t="s">
        <v>53</v>
      </c>
      <c r="B40" s="10" t="str">
        <f aca="false">INDEX('Site-uri'!$B$2:$B$20,MATCH(A40,'Site-uri'!$A$2:$A$20,0))</f>
        <v>aiventure.uk</v>
      </c>
      <c r="C40" s="10" t="s">
        <v>56</v>
      </c>
      <c r="D40" s="10" t="str">
        <f aca="false">INDEX('Site-uri'!$B$2:$B$20,MATCH(C40,'Site-uri'!$A$2:$A$20,0))</f>
        <v>3webobs.com</v>
      </c>
      <c r="E40" s="10" t="str">
        <f aca="false">INDEX('Site-uri'!$C$2:$C$20,MATCH(C40,'Site-uri'!$A$2:$A$20,0))</f>
        <v>/</v>
      </c>
      <c r="F40" s="10" t="str">
        <f aca="false">B40</f>
        <v>aiventure.uk</v>
      </c>
      <c r="G40" s="10" t="str">
        <f aca="false">Config!$B$5</f>
        <v>network</v>
      </c>
      <c r="H40" s="10" t="str">
        <f aca="false">Config!$B$3</f>
        <v>2610_ff_lansare</v>
      </c>
      <c r="I40" s="10" t="str">
        <f aca="false">Config!$B$4</f>
        <v>general</v>
      </c>
      <c r="J40" s="10" t="str">
        <f aca="false">"https://"&amp;D40&amp;E40&amp;"?utm_source="&amp;F40&amp;"&amp;utm_medium="&amp;G40&amp;"&amp;utm_campaign="&amp;H40&amp;"&amp;utm_content="&amp;I40</f>
        <v>https://3webobs.com/?utm_source=aiventure.uk&amp;utm_medium=network&amp;utm_campaign=2610_ff_lansare&amp;utm_content=general</v>
      </c>
    </row>
    <row r="41" customFormat="false" ht="15" hidden="false" customHeight="false" outlineLevel="0" collapsed="false">
      <c r="A41" s="10" t="s">
        <v>53</v>
      </c>
      <c r="B41" s="10" t="str">
        <f aca="false">INDEX('Site-uri'!$B$2:$B$20,MATCH(A41,'Site-uri'!$A$2:$A$20,0))</f>
        <v>aiventure.uk</v>
      </c>
      <c r="C41" s="10" t="s">
        <v>59</v>
      </c>
      <c r="D41" s="10" t="str">
        <f aca="false">INDEX('Site-uri'!$B$2:$B$20,MATCH(C41,'Site-uri'!$A$2:$A$20,0))</f>
        <v>ai-lens.eu</v>
      </c>
      <c r="E41" s="10" t="str">
        <f aca="false">INDEX('Site-uri'!$C$2:$C$20,MATCH(C41,'Site-uri'!$A$2:$A$20,0))</f>
        <v>/</v>
      </c>
      <c r="F41" s="10" t="str">
        <f aca="false">B41</f>
        <v>aiventure.uk</v>
      </c>
      <c r="G41" s="10" t="str">
        <f aca="false">Config!$B$5</f>
        <v>network</v>
      </c>
      <c r="H41" s="10" t="str">
        <f aca="false">Config!$B$3</f>
        <v>2610_ff_lansare</v>
      </c>
      <c r="I41" s="10" t="str">
        <f aca="false">Config!$B$4</f>
        <v>general</v>
      </c>
      <c r="J41" s="10" t="str">
        <f aca="false">"https://"&amp;D41&amp;E41&amp;"?utm_source="&amp;F41&amp;"&amp;utm_medium="&amp;G41&amp;"&amp;utm_campaign="&amp;H41&amp;"&amp;utm_content="&amp;I41</f>
        <v>https://ai-lens.eu/?utm_source=aiventure.uk&amp;utm_medium=network&amp;utm_campaign=2610_ff_lansare&amp;utm_content=general</v>
      </c>
    </row>
    <row r="42" customFormat="false" ht="15" hidden="false" customHeight="false" outlineLevel="0" collapsed="false">
      <c r="A42" s="10" t="s">
        <v>53</v>
      </c>
      <c r="B42" s="10" t="str">
        <f aca="false">INDEX('Site-uri'!$B$2:$B$20,MATCH(A42,'Site-uri'!$A$2:$A$20,0))</f>
        <v>aiventure.uk</v>
      </c>
      <c r="C42" s="10" t="s">
        <v>62</v>
      </c>
      <c r="D42" s="10" t="str">
        <f aca="false">INDEX('Site-uri'!$B$2:$B$20,MATCH(C42,'Site-uri'!$A$2:$A$20,0))</f>
        <v>aireadyinjector.com</v>
      </c>
      <c r="E42" s="10" t="str">
        <f aca="false">INDEX('Site-uri'!$C$2:$C$20,MATCH(C42,'Site-uri'!$A$2:$A$20,0))</f>
        <v>/</v>
      </c>
      <c r="F42" s="10" t="str">
        <f aca="false">B42</f>
        <v>aiventure.uk</v>
      </c>
      <c r="G42" s="10" t="str">
        <f aca="false">Config!$B$5</f>
        <v>network</v>
      </c>
      <c r="H42" s="10" t="str">
        <f aca="false">Config!$B$3</f>
        <v>2610_ff_lansare</v>
      </c>
      <c r="I42" s="10" t="str">
        <f aca="false">Config!$B$4</f>
        <v>general</v>
      </c>
      <c r="J42" s="10" t="str">
        <f aca="false">"https://"&amp;D42&amp;E42&amp;"?utm_source="&amp;F42&amp;"&amp;utm_medium="&amp;G42&amp;"&amp;utm_campaign="&amp;H42&amp;"&amp;utm_content="&amp;I42</f>
        <v>https://aireadyinjector.com/?utm_source=aiventure.uk&amp;utm_medium=network&amp;utm_campaign=2610_ff_lansare&amp;utm_content=general</v>
      </c>
    </row>
    <row r="43" customFormat="false" ht="15" hidden="false" customHeight="false" outlineLevel="0" collapsed="false">
      <c r="A43" s="10" t="s">
        <v>53</v>
      </c>
      <c r="B43" s="10" t="str">
        <f aca="false">INDEX('Site-uri'!$B$2:$B$20,MATCH(A43,'Site-uri'!$A$2:$A$20,0))</f>
        <v>aiventure.uk</v>
      </c>
      <c r="C43" s="10" t="s">
        <v>65</v>
      </c>
      <c r="D43" s="10" t="str">
        <f aca="false">INDEX('Site-uri'!$B$2:$B$20,MATCH(C43,'Site-uri'!$A$2:$A$20,0))</f>
        <v>eu-ai-audit.eu</v>
      </c>
      <c r="E43" s="10" t="str">
        <f aca="false">INDEX('Site-uri'!$C$2:$C$20,MATCH(C43,'Site-uri'!$A$2:$A$20,0))</f>
        <v>/</v>
      </c>
      <c r="F43" s="10" t="str">
        <f aca="false">B43</f>
        <v>aiventure.uk</v>
      </c>
      <c r="G43" s="10" t="str">
        <f aca="false">Config!$B$5</f>
        <v>network</v>
      </c>
      <c r="H43" s="10" t="str">
        <f aca="false">Config!$B$3</f>
        <v>2610_ff_lansare</v>
      </c>
      <c r="I43" s="10" t="str">
        <f aca="false">Config!$B$4</f>
        <v>general</v>
      </c>
      <c r="J43" s="10" t="str">
        <f aca="false">"https://"&amp;D43&amp;E43&amp;"?utm_source="&amp;F43&amp;"&amp;utm_medium="&amp;G43&amp;"&amp;utm_campaign="&amp;H43&amp;"&amp;utm_content="&amp;I43</f>
        <v>https://eu-ai-audit.eu/?utm_source=aiventure.uk&amp;utm_medium=network&amp;utm_campaign=2610_ff_lansare&amp;utm_content=general</v>
      </c>
    </row>
    <row r="44" customFormat="false" ht="15" hidden="false" customHeight="false" outlineLevel="0" collapsed="false">
      <c r="A44" s="10" t="s">
        <v>53</v>
      </c>
      <c r="B44" s="10" t="str">
        <f aca="false">INDEX('Site-uri'!$B$2:$B$20,MATCH(A44,'Site-uri'!$A$2:$A$20,0))</f>
        <v>aiventure.uk</v>
      </c>
      <c r="C44" s="10" t="s">
        <v>68</v>
      </c>
      <c r="D44" s="10" t="str">
        <f aca="false">INDEX('Site-uri'!$B$2:$B$20,MATCH(C44,'Site-uri'!$A$2:$A$20,0))</f>
        <v>eu-ai-ready.eu</v>
      </c>
      <c r="E44" s="10" t="str">
        <f aca="false">INDEX('Site-uri'!$C$2:$C$20,MATCH(C44,'Site-uri'!$A$2:$A$20,0))</f>
        <v>/</v>
      </c>
      <c r="F44" s="10" t="str">
        <f aca="false">B44</f>
        <v>aiventure.uk</v>
      </c>
      <c r="G44" s="10" t="str">
        <f aca="false">Config!$B$5</f>
        <v>network</v>
      </c>
      <c r="H44" s="10" t="str">
        <f aca="false">Config!$B$3</f>
        <v>2610_ff_lansare</v>
      </c>
      <c r="I44" s="10" t="str">
        <f aca="false">Config!$B$4</f>
        <v>general</v>
      </c>
      <c r="J44" s="10" t="str">
        <f aca="false">"https://"&amp;D44&amp;E44&amp;"?utm_source="&amp;F44&amp;"&amp;utm_medium="&amp;G44&amp;"&amp;utm_campaign="&amp;H44&amp;"&amp;utm_content="&amp;I44</f>
        <v>https://eu-ai-ready.eu/?utm_source=aiventure.uk&amp;utm_medium=network&amp;utm_campaign=2610_ff_lansare&amp;utm_content=general</v>
      </c>
    </row>
    <row r="45" customFormat="false" ht="15" hidden="false" customHeight="false" outlineLevel="0" collapsed="false">
      <c r="A45" s="10" t="s">
        <v>53</v>
      </c>
      <c r="B45" s="10" t="str">
        <f aca="false">INDEX('Site-uri'!$B$2:$B$20,MATCH(A45,'Site-uri'!$A$2:$A$20,0))</f>
        <v>aiventure.uk</v>
      </c>
      <c r="C45" s="10" t="s">
        <v>70</v>
      </c>
      <c r="D45" s="10" t="str">
        <f aca="false">INDEX('Site-uri'!$B$2:$B$20,MATCH(C45,'Site-uri'!$A$2:$A$20,0))</f>
        <v>eu-ai-act.ro</v>
      </c>
      <c r="E45" s="10" t="str">
        <f aca="false">INDEX('Site-uri'!$C$2:$C$20,MATCH(C45,'Site-uri'!$A$2:$A$20,0))</f>
        <v>/</v>
      </c>
      <c r="F45" s="10" t="str">
        <f aca="false">B45</f>
        <v>aiventure.uk</v>
      </c>
      <c r="G45" s="10" t="str">
        <f aca="false">Config!$B$5</f>
        <v>network</v>
      </c>
      <c r="H45" s="10" t="str">
        <f aca="false">Config!$B$3</f>
        <v>2610_ff_lansare</v>
      </c>
      <c r="I45" s="10" t="str">
        <f aca="false">Config!$B$4</f>
        <v>general</v>
      </c>
      <c r="J45" s="10" t="str">
        <f aca="false">"https://"&amp;D45&amp;E45&amp;"?utm_source="&amp;F45&amp;"&amp;utm_medium="&amp;G45&amp;"&amp;utm_campaign="&amp;H45&amp;"&amp;utm_content="&amp;I45</f>
        <v>https://eu-ai-act.ro/?utm_source=aiventure.uk&amp;utm_medium=network&amp;utm_campaign=2610_ff_lansare&amp;utm_content=general</v>
      </c>
    </row>
    <row r="46" customFormat="false" ht="15" hidden="false" customHeight="false" outlineLevel="0" collapsed="false">
      <c r="A46" s="10" t="s">
        <v>53</v>
      </c>
      <c r="B46" s="10" t="str">
        <f aca="false">INDEX('Site-uri'!$B$2:$B$20,MATCH(A46,'Site-uri'!$A$2:$A$20,0))</f>
        <v>aiventure.uk</v>
      </c>
      <c r="C46" s="10" t="s">
        <v>73</v>
      </c>
      <c r="D46" s="10" t="str">
        <f aca="false">INDEX('Site-uri'!$B$2:$B$20,MATCH(C46,'Site-uri'!$A$2:$A$20,0))</f>
        <v>eu-ai-act-ready.eu</v>
      </c>
      <c r="E46" s="10" t="str">
        <f aca="false">INDEX('Site-uri'!$C$2:$C$20,MATCH(C46,'Site-uri'!$A$2:$A$20,0))</f>
        <v>/</v>
      </c>
      <c r="F46" s="10" t="str">
        <f aca="false">B46</f>
        <v>aiventure.uk</v>
      </c>
      <c r="G46" s="10" t="str">
        <f aca="false">Config!$B$5</f>
        <v>network</v>
      </c>
      <c r="H46" s="10" t="str">
        <f aca="false">Config!$B$3</f>
        <v>2610_ff_lansare</v>
      </c>
      <c r="I46" s="10" t="str">
        <f aca="false">Config!$B$4</f>
        <v>general</v>
      </c>
      <c r="J46" s="10" t="str">
        <f aca="false">"https://"&amp;D46&amp;E46&amp;"?utm_source="&amp;F46&amp;"&amp;utm_medium="&amp;G46&amp;"&amp;utm_campaign="&amp;H46&amp;"&amp;utm_content="&amp;I46</f>
        <v>https://eu-ai-act-ready.eu/?utm_source=aiventure.uk&amp;utm_medium=network&amp;utm_campaign=2610_ff_lansare&amp;utm_content=general</v>
      </c>
    </row>
    <row r="47" customFormat="false" ht="15" hidden="false" customHeight="false" outlineLevel="0" collapsed="false">
      <c r="A47" s="10" t="s">
        <v>53</v>
      </c>
      <c r="B47" s="10" t="str">
        <f aca="false">INDEX('Site-uri'!$B$2:$B$20,MATCH(A47,'Site-uri'!$A$2:$A$20,0))</f>
        <v>aiventure.uk</v>
      </c>
      <c r="C47" s="10" t="s">
        <v>76</v>
      </c>
      <c r="D47" s="10" t="str">
        <f aca="false">INDEX('Site-uri'!$B$2:$B$20,MATCH(C47,'Site-uri'!$A$2:$A$20,0))</f>
        <v>eu-112.ro</v>
      </c>
      <c r="E47" s="10" t="str">
        <f aca="false">INDEX('Site-uri'!$C$2:$C$20,MATCH(C47,'Site-uri'!$A$2:$A$20,0))</f>
        <v>/</v>
      </c>
      <c r="F47" s="10" t="str">
        <f aca="false">B47</f>
        <v>aiventure.uk</v>
      </c>
      <c r="G47" s="10" t="str">
        <f aca="false">Config!$B$5</f>
        <v>network</v>
      </c>
      <c r="H47" s="10" t="str">
        <f aca="false">Config!$B$3</f>
        <v>2610_ff_lansare</v>
      </c>
      <c r="I47" s="10" t="str">
        <f aca="false">Config!$B$4</f>
        <v>general</v>
      </c>
      <c r="J47" s="10" t="str">
        <f aca="false">"https://"&amp;D47&amp;E47&amp;"?utm_source="&amp;F47&amp;"&amp;utm_medium="&amp;G47&amp;"&amp;utm_campaign="&amp;H47&amp;"&amp;utm_content="&amp;I47</f>
        <v>https://eu-112.ro/?utm_source=aiventure.uk&amp;utm_medium=network&amp;utm_campaign=2610_ff_lansare&amp;utm_content=general</v>
      </c>
    </row>
    <row r="48" customFormat="false" ht="15" hidden="false" customHeight="false" outlineLevel="0" collapsed="false">
      <c r="A48" s="10" t="s">
        <v>53</v>
      </c>
      <c r="B48" s="10" t="str">
        <f aca="false">INDEX('Site-uri'!$B$2:$B$20,MATCH(A48,'Site-uri'!$A$2:$A$20,0))</f>
        <v>aiventure.uk</v>
      </c>
      <c r="C48" s="10" t="s">
        <v>79</v>
      </c>
      <c r="D48" s="10" t="str">
        <f aca="false">INDEX('Site-uri'!$B$2:$B$20,MATCH(C48,'Site-uri'!$A$2:$A$20,0))</f>
        <v>eu-112.eu</v>
      </c>
      <c r="E48" s="10" t="str">
        <f aca="false">INDEX('Site-uri'!$C$2:$C$20,MATCH(C48,'Site-uri'!$A$2:$A$20,0))</f>
        <v>/</v>
      </c>
      <c r="F48" s="10" t="str">
        <f aca="false">B48</f>
        <v>aiventure.uk</v>
      </c>
      <c r="G48" s="10" t="str">
        <f aca="false">Config!$B$5</f>
        <v>network</v>
      </c>
      <c r="H48" s="10" t="str">
        <f aca="false">Config!$B$3</f>
        <v>2610_ff_lansare</v>
      </c>
      <c r="I48" s="10" t="str">
        <f aca="false">Config!$B$4</f>
        <v>general</v>
      </c>
      <c r="J48" s="10" t="str">
        <f aca="false">"https://"&amp;D48&amp;E48&amp;"?utm_source="&amp;F48&amp;"&amp;utm_medium="&amp;G48&amp;"&amp;utm_campaign="&amp;H48&amp;"&amp;utm_content="&amp;I48</f>
        <v>https://eu-112.eu/?utm_source=aiventure.uk&amp;utm_medium=network&amp;utm_campaign=2610_ff_lansare&amp;utm_content=general</v>
      </c>
    </row>
    <row r="49" customFormat="false" ht="15" hidden="false" customHeight="false" outlineLevel="0" collapsed="false">
      <c r="A49" s="10" t="s">
        <v>53</v>
      </c>
      <c r="B49" s="10" t="str">
        <f aca="false">INDEX('Site-uri'!$B$2:$B$20,MATCH(A49,'Site-uri'!$A$2:$A$20,0))</f>
        <v>aiventure.uk</v>
      </c>
      <c r="C49" s="10" t="s">
        <v>82</v>
      </c>
      <c r="D49" s="10" t="str">
        <f aca="false">INDEX('Site-uri'!$B$2:$B$20,MATCH(C49,'Site-uri'!$A$2:$A$20,0))</f>
        <v>1clic-ia.eu</v>
      </c>
      <c r="E49" s="10" t="str">
        <f aca="false">INDEX('Site-uri'!$C$2:$C$20,MATCH(C49,'Site-uri'!$A$2:$A$20,0))</f>
        <v>/</v>
      </c>
      <c r="F49" s="10" t="str">
        <f aca="false">B49</f>
        <v>aiventure.uk</v>
      </c>
      <c r="G49" s="10" t="str">
        <f aca="false">Config!$B$5</f>
        <v>network</v>
      </c>
      <c r="H49" s="10" t="str">
        <f aca="false">Config!$B$3</f>
        <v>2610_ff_lansare</v>
      </c>
      <c r="I49" s="10" t="str">
        <f aca="false">Config!$B$4</f>
        <v>general</v>
      </c>
      <c r="J49" s="10" t="str">
        <f aca="false">"https://"&amp;D49&amp;E49&amp;"?utm_source="&amp;F49&amp;"&amp;utm_medium="&amp;G49&amp;"&amp;utm_campaign="&amp;H49&amp;"&amp;utm_content="&amp;I49</f>
        <v>https://1clic-ia.eu/?utm_source=aiventure.uk&amp;utm_medium=network&amp;utm_campaign=2610_ff_lansare&amp;utm_content=general</v>
      </c>
    </row>
    <row r="50" customFormat="false" ht="15" hidden="false" customHeight="false" outlineLevel="0" collapsed="false">
      <c r="A50" s="10" t="s">
        <v>53</v>
      </c>
      <c r="B50" s="10" t="str">
        <f aca="false">INDEX('Site-uri'!$B$2:$B$20,MATCH(A50,'Site-uri'!$A$2:$A$20,0))</f>
        <v>aiventure.uk</v>
      </c>
      <c r="C50" s="10" t="s">
        <v>85</v>
      </c>
      <c r="D50" s="10" t="str">
        <f aca="false">INDEX('Site-uri'!$B$2:$B$20,MATCH(C50,'Site-uri'!$A$2:$A$20,0))</f>
        <v>1clic-ia.fr</v>
      </c>
      <c r="E50" s="10" t="str">
        <f aca="false">INDEX('Site-uri'!$C$2:$C$20,MATCH(C50,'Site-uri'!$A$2:$A$20,0))</f>
        <v>/</v>
      </c>
      <c r="F50" s="10" t="str">
        <f aca="false">B50</f>
        <v>aiventure.uk</v>
      </c>
      <c r="G50" s="10" t="str">
        <f aca="false">Config!$B$5</f>
        <v>network</v>
      </c>
      <c r="H50" s="10" t="str">
        <f aca="false">Config!$B$3</f>
        <v>2610_ff_lansare</v>
      </c>
      <c r="I50" s="10" t="str">
        <f aca="false">Config!$B$4</f>
        <v>general</v>
      </c>
      <c r="J50" s="10" t="str">
        <f aca="false">"https://"&amp;D50&amp;E50&amp;"?utm_source="&amp;F50&amp;"&amp;utm_medium="&amp;G50&amp;"&amp;utm_campaign="&amp;H50&amp;"&amp;utm_content="&amp;I50</f>
        <v>https://1clic-ia.fr/?utm_source=aiventure.uk&amp;utm_medium=network&amp;utm_campaign=2610_ff_lansare&amp;utm_content=general</v>
      </c>
    </row>
    <row r="51" customFormat="false" ht="15" hidden="false" customHeight="false" outlineLevel="0" collapsed="false">
      <c r="A51" s="10" t="s">
        <v>53</v>
      </c>
      <c r="B51" s="10" t="str">
        <f aca="false">INDEX('Site-uri'!$B$2:$B$20,MATCH(A51,'Site-uri'!$A$2:$A$20,0))</f>
        <v>aiventure.uk</v>
      </c>
      <c r="C51" s="10" t="s">
        <v>87</v>
      </c>
      <c r="D51" s="10" t="str">
        <f aca="false">INDEX('Site-uri'!$B$2:$B$20,MATCH(C51,'Site-uri'!$A$2:$A$20,0))</f>
        <v>firmsfinder.eu</v>
      </c>
      <c r="E51" s="10" t="str">
        <f aca="false">INDEX('Site-uri'!$C$2:$C$20,MATCH(C51,'Site-uri'!$A$2:$A$20,0))</f>
        <v>/</v>
      </c>
      <c r="F51" s="10" t="str">
        <f aca="false">B51</f>
        <v>aiventure.uk</v>
      </c>
      <c r="G51" s="10" t="str">
        <f aca="false">Config!$B$5</f>
        <v>network</v>
      </c>
      <c r="H51" s="10" t="str">
        <f aca="false">Config!$B$3</f>
        <v>2610_ff_lansare</v>
      </c>
      <c r="I51" s="10" t="str">
        <f aca="false">Config!$B$4</f>
        <v>general</v>
      </c>
      <c r="J51" s="10" t="str">
        <f aca="false">"https://"&amp;D51&amp;E51&amp;"?utm_source="&amp;F51&amp;"&amp;utm_medium="&amp;G51&amp;"&amp;utm_campaign="&amp;H51&amp;"&amp;utm_content="&amp;I51</f>
        <v>https://firmsfinder.eu/?utm_source=aiventure.uk&amp;utm_medium=network&amp;utm_campaign=2610_ff_lansare&amp;utm_content=general</v>
      </c>
    </row>
    <row r="52" customFormat="false" ht="15" hidden="false" customHeight="false" outlineLevel="0" collapsed="false">
      <c r="A52" s="10" t="s">
        <v>53</v>
      </c>
      <c r="B52" s="10" t="str">
        <f aca="false">INDEX('Site-uri'!$B$2:$B$20,MATCH(A52,'Site-uri'!$A$2:$A$20,0))</f>
        <v>aiventure.uk</v>
      </c>
      <c r="C52" s="10" t="s">
        <v>90</v>
      </c>
      <c r="D52" s="10" t="str">
        <f aca="false">INDEX('Site-uri'!$B$2:$B$20,MATCH(C52,'Site-uri'!$A$2:$A$20,0))</f>
        <v>b2b-ai-library.org</v>
      </c>
      <c r="E52" s="10" t="str">
        <f aca="false">INDEX('Site-uri'!$C$2:$C$20,MATCH(C52,'Site-uri'!$A$2:$A$20,0))</f>
        <v>/</v>
      </c>
      <c r="F52" s="10" t="str">
        <f aca="false">B52</f>
        <v>aiventure.uk</v>
      </c>
      <c r="G52" s="10" t="str">
        <f aca="false">Config!$B$5</f>
        <v>network</v>
      </c>
      <c r="H52" s="10" t="str">
        <f aca="false">Config!$B$3</f>
        <v>2610_ff_lansare</v>
      </c>
      <c r="I52" s="10" t="str">
        <f aca="false">Config!$B$4</f>
        <v>general</v>
      </c>
      <c r="J52" s="10" t="str">
        <f aca="false">"https://"&amp;D52&amp;E52&amp;"?utm_source="&amp;F52&amp;"&amp;utm_medium="&amp;G52&amp;"&amp;utm_campaign="&amp;H52&amp;"&amp;utm_content="&amp;I52</f>
        <v>https://b2b-ai-library.org/?utm_source=aiventure.uk&amp;utm_medium=network&amp;utm_campaign=2610_ff_lansare&amp;utm_content=general</v>
      </c>
    </row>
    <row r="53" customFormat="false" ht="15" hidden="false" customHeight="false" outlineLevel="0" collapsed="false">
      <c r="A53" s="10" t="s">
        <v>53</v>
      </c>
      <c r="B53" s="10" t="str">
        <f aca="false">INDEX('Site-uri'!$B$2:$B$20,MATCH(A53,'Site-uri'!$A$2:$A$20,0))</f>
        <v>aiventure.uk</v>
      </c>
      <c r="C53" s="10" t="s">
        <v>92</v>
      </c>
      <c r="D53" s="10" t="str">
        <f aca="false">INDEX('Site-uri'!$B$2:$B$20,MATCH(C53,'Site-uri'!$A$2:$A$20,0))</f>
        <v>the3webs.com</v>
      </c>
      <c r="E53" s="10" t="str">
        <f aca="false">INDEX('Site-uri'!$C$2:$C$20,MATCH(C53,'Site-uri'!$A$2:$A$20,0))</f>
        <v>/</v>
      </c>
      <c r="F53" s="10" t="str">
        <f aca="false">B53</f>
        <v>aiventure.uk</v>
      </c>
      <c r="G53" s="10" t="str">
        <f aca="false">Config!$B$5</f>
        <v>network</v>
      </c>
      <c r="H53" s="10" t="str">
        <f aca="false">Config!$B$3</f>
        <v>2610_ff_lansare</v>
      </c>
      <c r="I53" s="10" t="str">
        <f aca="false">Config!$B$4</f>
        <v>general</v>
      </c>
      <c r="J53" s="10" t="str">
        <f aca="false">"https://"&amp;D53&amp;E53&amp;"?utm_source="&amp;F53&amp;"&amp;utm_medium="&amp;G53&amp;"&amp;utm_campaign="&amp;H53&amp;"&amp;utm_content="&amp;I53</f>
        <v>https://the3webs.com/?utm_source=aiventure.uk&amp;utm_medium=network&amp;utm_campaign=2610_ff_lansare&amp;utm_content=general</v>
      </c>
    </row>
    <row r="54" customFormat="false" ht="15" hidden="false" customHeight="false" outlineLevel="0" collapsed="false">
      <c r="A54" s="10" t="s">
        <v>53</v>
      </c>
      <c r="B54" s="10" t="str">
        <f aca="false">INDEX('Site-uri'!$B$2:$B$20,MATCH(A54,'Site-uri'!$A$2:$A$20,0))</f>
        <v>aiventure.uk</v>
      </c>
      <c r="C54" s="10" t="s">
        <v>95</v>
      </c>
      <c r="D54" s="10" t="str">
        <f aca="false">INDEX('Site-uri'!$B$2:$B$20,MATCH(C54,'Site-uri'!$A$2:$A$20,0))</f>
        <v>floride-e2.com</v>
      </c>
      <c r="E54" s="10" t="str">
        <f aca="false">INDEX('Site-uri'!$C$2:$C$20,MATCH(C54,'Site-uri'!$A$2:$A$20,0))</f>
        <v>/</v>
      </c>
      <c r="F54" s="10" t="str">
        <f aca="false">B54</f>
        <v>aiventure.uk</v>
      </c>
      <c r="G54" s="10" t="str">
        <f aca="false">Config!$B$5</f>
        <v>network</v>
      </c>
      <c r="H54" s="10" t="str">
        <f aca="false">Config!$B$3</f>
        <v>2610_ff_lansare</v>
      </c>
      <c r="I54" s="10" t="str">
        <f aca="false">Config!$B$4</f>
        <v>general</v>
      </c>
      <c r="J54" s="10" t="str">
        <f aca="false">"https://"&amp;D54&amp;E54&amp;"?utm_source="&amp;F54&amp;"&amp;utm_medium="&amp;G54&amp;"&amp;utm_campaign="&amp;H54&amp;"&amp;utm_content="&amp;I54</f>
        <v>https://floride-e2.com/?utm_source=aiventure.uk&amp;utm_medium=network&amp;utm_campaign=2610_ff_lansare&amp;utm_content=general</v>
      </c>
    </row>
    <row r="55" customFormat="false" ht="15" hidden="false" customHeight="false" outlineLevel="0" collapsed="false">
      <c r="A55" s="10" t="s">
        <v>53</v>
      </c>
      <c r="B55" s="10" t="str">
        <f aca="false">INDEX('Site-uri'!$B$2:$B$20,MATCH(A55,'Site-uri'!$A$2:$A$20,0))</f>
        <v>aiventure.uk</v>
      </c>
      <c r="C55" s="10" t="s">
        <v>97</v>
      </c>
      <c r="D55" s="10" t="str">
        <f aca="false">INDEX('Site-uri'!$B$2:$B$20,MATCH(C55,'Site-uri'!$A$2:$A$20,0))</f>
        <v>ecbtax.com</v>
      </c>
      <c r="E55" s="10" t="str">
        <f aca="false">INDEX('Site-uri'!$C$2:$C$20,MATCH(C55,'Site-uri'!$A$2:$A$20,0))</f>
        <v>/</v>
      </c>
      <c r="F55" s="10" t="str">
        <f aca="false">B55</f>
        <v>aiventure.uk</v>
      </c>
      <c r="G55" s="10" t="str">
        <f aca="false">Config!$B$5</f>
        <v>network</v>
      </c>
      <c r="H55" s="10" t="str">
        <f aca="false">Config!$B$3</f>
        <v>2610_ff_lansare</v>
      </c>
      <c r="I55" s="10" t="str">
        <f aca="false">Config!$B$4</f>
        <v>general</v>
      </c>
      <c r="J55" s="10" t="str">
        <f aca="false">"https://"&amp;D55&amp;E55&amp;"?utm_source="&amp;F55&amp;"&amp;utm_medium="&amp;G55&amp;"&amp;utm_campaign="&amp;H55&amp;"&amp;utm_content="&amp;I55</f>
        <v>https://ecbtax.com/?utm_source=aiventure.uk&amp;utm_medium=network&amp;utm_campaign=2610_ff_lansare&amp;utm_content=general</v>
      </c>
    </row>
    <row r="56" customFormat="false" ht="15" hidden="false" customHeight="false" outlineLevel="0" collapsed="false">
      <c r="A56" s="10" t="s">
        <v>56</v>
      </c>
      <c r="B56" s="10" t="str">
        <f aca="false">INDEX('Site-uri'!$B$2:$B$20,MATCH(A56,'Site-uri'!$A$2:$A$20,0))</f>
        <v>3webobs.com</v>
      </c>
      <c r="C56" s="10" t="s">
        <v>46</v>
      </c>
      <c r="D56" s="10" t="str">
        <f aca="false">INDEX('Site-uri'!$B$2:$B$20,MATCH(C56,'Site-uri'!$A$2:$A$20,0))</f>
        <v>5thelement.ai</v>
      </c>
      <c r="E56" s="10" t="str">
        <f aca="false">INDEX('Site-uri'!$C$2:$C$20,MATCH(C56,'Site-uri'!$A$2:$A$20,0))</f>
        <v>/</v>
      </c>
      <c r="F56" s="10" t="str">
        <f aca="false">B56</f>
        <v>3webobs.com</v>
      </c>
      <c r="G56" s="10" t="str">
        <f aca="false">Config!$B$5</f>
        <v>network</v>
      </c>
      <c r="H56" s="10" t="str">
        <f aca="false">Config!$B$3</f>
        <v>2610_ff_lansare</v>
      </c>
      <c r="I56" s="10" t="str">
        <f aca="false">Config!$B$4</f>
        <v>general</v>
      </c>
      <c r="J56" s="10" t="str">
        <f aca="false">"https://"&amp;D56&amp;E56&amp;"?utm_source="&amp;F56&amp;"&amp;utm_medium="&amp;G56&amp;"&amp;utm_campaign="&amp;H56&amp;"&amp;utm_content="&amp;I56</f>
        <v>https://5thelement.ai/?utm_source=3webobs.com&amp;utm_medium=network&amp;utm_campaign=2610_ff_lansare&amp;utm_content=general</v>
      </c>
    </row>
    <row r="57" customFormat="false" ht="15" hidden="false" customHeight="false" outlineLevel="0" collapsed="false">
      <c r="A57" s="10" t="s">
        <v>56</v>
      </c>
      <c r="B57" s="10" t="str">
        <f aca="false">INDEX('Site-uri'!$B$2:$B$20,MATCH(A57,'Site-uri'!$A$2:$A$20,0))</f>
        <v>3webobs.com</v>
      </c>
      <c r="C57" s="10" t="s">
        <v>50</v>
      </c>
      <c r="D57" s="10" t="str">
        <f aca="false">INDEX('Site-uri'!$B$2:$B$20,MATCH(C57,'Site-uri'!$A$2:$A$20,0))</f>
        <v>aiventure.ro</v>
      </c>
      <c r="E57" s="10" t="str">
        <f aca="false">INDEX('Site-uri'!$C$2:$C$20,MATCH(C57,'Site-uri'!$A$2:$A$20,0))</f>
        <v>/</v>
      </c>
      <c r="F57" s="10" t="str">
        <f aca="false">B57</f>
        <v>3webobs.com</v>
      </c>
      <c r="G57" s="10" t="str">
        <f aca="false">Config!$B$5</f>
        <v>network</v>
      </c>
      <c r="H57" s="10" t="str">
        <f aca="false">Config!$B$3</f>
        <v>2610_ff_lansare</v>
      </c>
      <c r="I57" s="10" t="str">
        <f aca="false">Config!$B$4</f>
        <v>general</v>
      </c>
      <c r="J57" s="10" t="str">
        <f aca="false">"https://"&amp;D57&amp;E57&amp;"?utm_source="&amp;F57&amp;"&amp;utm_medium="&amp;G57&amp;"&amp;utm_campaign="&amp;H57&amp;"&amp;utm_content="&amp;I57</f>
        <v>https://aiventure.ro/?utm_source=3webobs.com&amp;utm_medium=network&amp;utm_campaign=2610_ff_lansare&amp;utm_content=general</v>
      </c>
    </row>
    <row r="58" customFormat="false" ht="15" hidden="false" customHeight="false" outlineLevel="0" collapsed="false">
      <c r="A58" s="10" t="s">
        <v>56</v>
      </c>
      <c r="B58" s="10" t="str">
        <f aca="false">INDEX('Site-uri'!$B$2:$B$20,MATCH(A58,'Site-uri'!$A$2:$A$20,0))</f>
        <v>3webobs.com</v>
      </c>
      <c r="C58" s="10" t="s">
        <v>53</v>
      </c>
      <c r="D58" s="10" t="str">
        <f aca="false">INDEX('Site-uri'!$B$2:$B$20,MATCH(C58,'Site-uri'!$A$2:$A$20,0))</f>
        <v>aiventure.uk</v>
      </c>
      <c r="E58" s="10" t="str">
        <f aca="false">INDEX('Site-uri'!$C$2:$C$20,MATCH(C58,'Site-uri'!$A$2:$A$20,0))</f>
        <v>/</v>
      </c>
      <c r="F58" s="10" t="str">
        <f aca="false">B58</f>
        <v>3webobs.com</v>
      </c>
      <c r="G58" s="10" t="str">
        <f aca="false">Config!$B$5</f>
        <v>network</v>
      </c>
      <c r="H58" s="10" t="str">
        <f aca="false">Config!$B$3</f>
        <v>2610_ff_lansare</v>
      </c>
      <c r="I58" s="10" t="str">
        <f aca="false">Config!$B$4</f>
        <v>general</v>
      </c>
      <c r="J58" s="10" t="str">
        <f aca="false">"https://"&amp;D58&amp;E58&amp;"?utm_source="&amp;F58&amp;"&amp;utm_medium="&amp;G58&amp;"&amp;utm_campaign="&amp;H58&amp;"&amp;utm_content="&amp;I58</f>
        <v>https://aiventure.uk/?utm_source=3webobs.com&amp;utm_medium=network&amp;utm_campaign=2610_ff_lansare&amp;utm_content=general</v>
      </c>
    </row>
    <row r="59" customFormat="false" ht="15" hidden="false" customHeight="false" outlineLevel="0" collapsed="false">
      <c r="A59" s="10" t="s">
        <v>56</v>
      </c>
      <c r="B59" s="10" t="str">
        <f aca="false">INDEX('Site-uri'!$B$2:$B$20,MATCH(A59,'Site-uri'!$A$2:$A$20,0))</f>
        <v>3webobs.com</v>
      </c>
      <c r="C59" s="10" t="s">
        <v>59</v>
      </c>
      <c r="D59" s="10" t="str">
        <f aca="false">INDEX('Site-uri'!$B$2:$B$20,MATCH(C59,'Site-uri'!$A$2:$A$20,0))</f>
        <v>ai-lens.eu</v>
      </c>
      <c r="E59" s="10" t="str">
        <f aca="false">INDEX('Site-uri'!$C$2:$C$20,MATCH(C59,'Site-uri'!$A$2:$A$20,0))</f>
        <v>/</v>
      </c>
      <c r="F59" s="10" t="str">
        <f aca="false">B59</f>
        <v>3webobs.com</v>
      </c>
      <c r="G59" s="10" t="str">
        <f aca="false">Config!$B$5</f>
        <v>network</v>
      </c>
      <c r="H59" s="10" t="str">
        <f aca="false">Config!$B$3</f>
        <v>2610_ff_lansare</v>
      </c>
      <c r="I59" s="10" t="str">
        <f aca="false">Config!$B$4</f>
        <v>general</v>
      </c>
      <c r="J59" s="10" t="str">
        <f aca="false">"https://"&amp;D59&amp;E59&amp;"?utm_source="&amp;F59&amp;"&amp;utm_medium="&amp;G59&amp;"&amp;utm_campaign="&amp;H59&amp;"&amp;utm_content="&amp;I59</f>
        <v>https://ai-lens.eu/?utm_source=3webobs.com&amp;utm_medium=network&amp;utm_campaign=2610_ff_lansare&amp;utm_content=general</v>
      </c>
    </row>
    <row r="60" customFormat="false" ht="15" hidden="false" customHeight="false" outlineLevel="0" collapsed="false">
      <c r="A60" s="10" t="s">
        <v>56</v>
      </c>
      <c r="B60" s="10" t="str">
        <f aca="false">INDEX('Site-uri'!$B$2:$B$20,MATCH(A60,'Site-uri'!$A$2:$A$20,0))</f>
        <v>3webobs.com</v>
      </c>
      <c r="C60" s="10" t="s">
        <v>62</v>
      </c>
      <c r="D60" s="10" t="str">
        <f aca="false">INDEX('Site-uri'!$B$2:$B$20,MATCH(C60,'Site-uri'!$A$2:$A$20,0))</f>
        <v>aireadyinjector.com</v>
      </c>
      <c r="E60" s="10" t="str">
        <f aca="false">INDEX('Site-uri'!$C$2:$C$20,MATCH(C60,'Site-uri'!$A$2:$A$20,0))</f>
        <v>/</v>
      </c>
      <c r="F60" s="10" t="str">
        <f aca="false">B60</f>
        <v>3webobs.com</v>
      </c>
      <c r="G60" s="10" t="str">
        <f aca="false">Config!$B$5</f>
        <v>network</v>
      </c>
      <c r="H60" s="10" t="str">
        <f aca="false">Config!$B$3</f>
        <v>2610_ff_lansare</v>
      </c>
      <c r="I60" s="10" t="str">
        <f aca="false">Config!$B$4</f>
        <v>general</v>
      </c>
      <c r="J60" s="10" t="str">
        <f aca="false">"https://"&amp;D60&amp;E60&amp;"?utm_source="&amp;F60&amp;"&amp;utm_medium="&amp;G60&amp;"&amp;utm_campaign="&amp;H60&amp;"&amp;utm_content="&amp;I60</f>
        <v>https://aireadyinjector.com/?utm_source=3webobs.com&amp;utm_medium=network&amp;utm_campaign=2610_ff_lansare&amp;utm_content=general</v>
      </c>
    </row>
    <row r="61" customFormat="false" ht="15" hidden="false" customHeight="false" outlineLevel="0" collapsed="false">
      <c r="A61" s="10" t="s">
        <v>56</v>
      </c>
      <c r="B61" s="10" t="str">
        <f aca="false">INDEX('Site-uri'!$B$2:$B$20,MATCH(A61,'Site-uri'!$A$2:$A$20,0))</f>
        <v>3webobs.com</v>
      </c>
      <c r="C61" s="10" t="s">
        <v>65</v>
      </c>
      <c r="D61" s="10" t="str">
        <f aca="false">INDEX('Site-uri'!$B$2:$B$20,MATCH(C61,'Site-uri'!$A$2:$A$20,0))</f>
        <v>eu-ai-audit.eu</v>
      </c>
      <c r="E61" s="10" t="str">
        <f aca="false">INDEX('Site-uri'!$C$2:$C$20,MATCH(C61,'Site-uri'!$A$2:$A$20,0))</f>
        <v>/</v>
      </c>
      <c r="F61" s="10" t="str">
        <f aca="false">B61</f>
        <v>3webobs.com</v>
      </c>
      <c r="G61" s="10" t="str">
        <f aca="false">Config!$B$5</f>
        <v>network</v>
      </c>
      <c r="H61" s="10" t="str">
        <f aca="false">Config!$B$3</f>
        <v>2610_ff_lansare</v>
      </c>
      <c r="I61" s="10" t="str">
        <f aca="false">Config!$B$4</f>
        <v>general</v>
      </c>
      <c r="J61" s="10" t="str">
        <f aca="false">"https://"&amp;D61&amp;E61&amp;"?utm_source="&amp;F61&amp;"&amp;utm_medium="&amp;G61&amp;"&amp;utm_campaign="&amp;H61&amp;"&amp;utm_content="&amp;I61</f>
        <v>https://eu-ai-audit.eu/?utm_source=3webobs.com&amp;utm_medium=network&amp;utm_campaign=2610_ff_lansare&amp;utm_content=general</v>
      </c>
    </row>
    <row r="62" customFormat="false" ht="15" hidden="false" customHeight="false" outlineLevel="0" collapsed="false">
      <c r="A62" s="10" t="s">
        <v>56</v>
      </c>
      <c r="B62" s="10" t="str">
        <f aca="false">INDEX('Site-uri'!$B$2:$B$20,MATCH(A62,'Site-uri'!$A$2:$A$20,0))</f>
        <v>3webobs.com</v>
      </c>
      <c r="C62" s="10" t="s">
        <v>68</v>
      </c>
      <c r="D62" s="10" t="str">
        <f aca="false">INDEX('Site-uri'!$B$2:$B$20,MATCH(C62,'Site-uri'!$A$2:$A$20,0))</f>
        <v>eu-ai-ready.eu</v>
      </c>
      <c r="E62" s="10" t="str">
        <f aca="false">INDEX('Site-uri'!$C$2:$C$20,MATCH(C62,'Site-uri'!$A$2:$A$20,0))</f>
        <v>/</v>
      </c>
      <c r="F62" s="10" t="str">
        <f aca="false">B62</f>
        <v>3webobs.com</v>
      </c>
      <c r="G62" s="10" t="str">
        <f aca="false">Config!$B$5</f>
        <v>network</v>
      </c>
      <c r="H62" s="10" t="str">
        <f aca="false">Config!$B$3</f>
        <v>2610_ff_lansare</v>
      </c>
      <c r="I62" s="10" t="str">
        <f aca="false">Config!$B$4</f>
        <v>general</v>
      </c>
      <c r="J62" s="10" t="str">
        <f aca="false">"https://"&amp;D62&amp;E62&amp;"?utm_source="&amp;F62&amp;"&amp;utm_medium="&amp;G62&amp;"&amp;utm_campaign="&amp;H62&amp;"&amp;utm_content="&amp;I62</f>
        <v>https://eu-ai-ready.eu/?utm_source=3webobs.com&amp;utm_medium=network&amp;utm_campaign=2610_ff_lansare&amp;utm_content=general</v>
      </c>
    </row>
    <row r="63" customFormat="false" ht="15" hidden="false" customHeight="false" outlineLevel="0" collapsed="false">
      <c r="A63" s="10" t="s">
        <v>56</v>
      </c>
      <c r="B63" s="10" t="str">
        <f aca="false">INDEX('Site-uri'!$B$2:$B$20,MATCH(A63,'Site-uri'!$A$2:$A$20,0))</f>
        <v>3webobs.com</v>
      </c>
      <c r="C63" s="10" t="s">
        <v>70</v>
      </c>
      <c r="D63" s="10" t="str">
        <f aca="false">INDEX('Site-uri'!$B$2:$B$20,MATCH(C63,'Site-uri'!$A$2:$A$20,0))</f>
        <v>eu-ai-act.ro</v>
      </c>
      <c r="E63" s="10" t="str">
        <f aca="false">INDEX('Site-uri'!$C$2:$C$20,MATCH(C63,'Site-uri'!$A$2:$A$20,0))</f>
        <v>/</v>
      </c>
      <c r="F63" s="10" t="str">
        <f aca="false">B63</f>
        <v>3webobs.com</v>
      </c>
      <c r="G63" s="10" t="str">
        <f aca="false">Config!$B$5</f>
        <v>network</v>
      </c>
      <c r="H63" s="10" t="str">
        <f aca="false">Config!$B$3</f>
        <v>2610_ff_lansare</v>
      </c>
      <c r="I63" s="10" t="str">
        <f aca="false">Config!$B$4</f>
        <v>general</v>
      </c>
      <c r="J63" s="10" t="str">
        <f aca="false">"https://"&amp;D63&amp;E63&amp;"?utm_source="&amp;F63&amp;"&amp;utm_medium="&amp;G63&amp;"&amp;utm_campaign="&amp;H63&amp;"&amp;utm_content="&amp;I63</f>
        <v>https://eu-ai-act.ro/?utm_source=3webobs.com&amp;utm_medium=network&amp;utm_campaign=2610_ff_lansare&amp;utm_content=general</v>
      </c>
    </row>
    <row r="64" customFormat="false" ht="15" hidden="false" customHeight="false" outlineLevel="0" collapsed="false">
      <c r="A64" s="10" t="s">
        <v>56</v>
      </c>
      <c r="B64" s="10" t="str">
        <f aca="false">INDEX('Site-uri'!$B$2:$B$20,MATCH(A64,'Site-uri'!$A$2:$A$20,0))</f>
        <v>3webobs.com</v>
      </c>
      <c r="C64" s="10" t="s">
        <v>73</v>
      </c>
      <c r="D64" s="10" t="str">
        <f aca="false">INDEX('Site-uri'!$B$2:$B$20,MATCH(C64,'Site-uri'!$A$2:$A$20,0))</f>
        <v>eu-ai-act-ready.eu</v>
      </c>
      <c r="E64" s="10" t="str">
        <f aca="false">INDEX('Site-uri'!$C$2:$C$20,MATCH(C64,'Site-uri'!$A$2:$A$20,0))</f>
        <v>/</v>
      </c>
      <c r="F64" s="10" t="str">
        <f aca="false">B64</f>
        <v>3webobs.com</v>
      </c>
      <c r="G64" s="10" t="str">
        <f aca="false">Config!$B$5</f>
        <v>network</v>
      </c>
      <c r="H64" s="10" t="str">
        <f aca="false">Config!$B$3</f>
        <v>2610_ff_lansare</v>
      </c>
      <c r="I64" s="10" t="str">
        <f aca="false">Config!$B$4</f>
        <v>general</v>
      </c>
      <c r="J64" s="10" t="str">
        <f aca="false">"https://"&amp;D64&amp;E64&amp;"?utm_source="&amp;F64&amp;"&amp;utm_medium="&amp;G64&amp;"&amp;utm_campaign="&amp;H64&amp;"&amp;utm_content="&amp;I64</f>
        <v>https://eu-ai-act-ready.eu/?utm_source=3webobs.com&amp;utm_medium=network&amp;utm_campaign=2610_ff_lansare&amp;utm_content=general</v>
      </c>
    </row>
    <row r="65" customFormat="false" ht="15" hidden="false" customHeight="false" outlineLevel="0" collapsed="false">
      <c r="A65" s="10" t="s">
        <v>56</v>
      </c>
      <c r="B65" s="10" t="str">
        <f aca="false">INDEX('Site-uri'!$B$2:$B$20,MATCH(A65,'Site-uri'!$A$2:$A$20,0))</f>
        <v>3webobs.com</v>
      </c>
      <c r="C65" s="10" t="s">
        <v>76</v>
      </c>
      <c r="D65" s="10" t="str">
        <f aca="false">INDEX('Site-uri'!$B$2:$B$20,MATCH(C65,'Site-uri'!$A$2:$A$20,0))</f>
        <v>eu-112.ro</v>
      </c>
      <c r="E65" s="10" t="str">
        <f aca="false">INDEX('Site-uri'!$C$2:$C$20,MATCH(C65,'Site-uri'!$A$2:$A$20,0))</f>
        <v>/</v>
      </c>
      <c r="F65" s="10" t="str">
        <f aca="false">B65</f>
        <v>3webobs.com</v>
      </c>
      <c r="G65" s="10" t="str">
        <f aca="false">Config!$B$5</f>
        <v>network</v>
      </c>
      <c r="H65" s="10" t="str">
        <f aca="false">Config!$B$3</f>
        <v>2610_ff_lansare</v>
      </c>
      <c r="I65" s="10" t="str">
        <f aca="false">Config!$B$4</f>
        <v>general</v>
      </c>
      <c r="J65" s="10" t="str">
        <f aca="false">"https://"&amp;D65&amp;E65&amp;"?utm_source="&amp;F65&amp;"&amp;utm_medium="&amp;G65&amp;"&amp;utm_campaign="&amp;H65&amp;"&amp;utm_content="&amp;I65</f>
        <v>https://eu-112.ro/?utm_source=3webobs.com&amp;utm_medium=network&amp;utm_campaign=2610_ff_lansare&amp;utm_content=general</v>
      </c>
    </row>
    <row r="66" customFormat="false" ht="15" hidden="false" customHeight="false" outlineLevel="0" collapsed="false">
      <c r="A66" s="10" t="s">
        <v>56</v>
      </c>
      <c r="B66" s="10" t="str">
        <f aca="false">INDEX('Site-uri'!$B$2:$B$20,MATCH(A66,'Site-uri'!$A$2:$A$20,0))</f>
        <v>3webobs.com</v>
      </c>
      <c r="C66" s="10" t="s">
        <v>79</v>
      </c>
      <c r="D66" s="10" t="str">
        <f aca="false">INDEX('Site-uri'!$B$2:$B$20,MATCH(C66,'Site-uri'!$A$2:$A$20,0))</f>
        <v>eu-112.eu</v>
      </c>
      <c r="E66" s="10" t="str">
        <f aca="false">INDEX('Site-uri'!$C$2:$C$20,MATCH(C66,'Site-uri'!$A$2:$A$20,0))</f>
        <v>/</v>
      </c>
      <c r="F66" s="10" t="str">
        <f aca="false">B66</f>
        <v>3webobs.com</v>
      </c>
      <c r="G66" s="10" t="str">
        <f aca="false">Config!$B$5</f>
        <v>network</v>
      </c>
      <c r="H66" s="10" t="str">
        <f aca="false">Config!$B$3</f>
        <v>2610_ff_lansare</v>
      </c>
      <c r="I66" s="10" t="str">
        <f aca="false">Config!$B$4</f>
        <v>general</v>
      </c>
      <c r="J66" s="10" t="str">
        <f aca="false">"https://"&amp;D66&amp;E66&amp;"?utm_source="&amp;F66&amp;"&amp;utm_medium="&amp;G66&amp;"&amp;utm_campaign="&amp;H66&amp;"&amp;utm_content="&amp;I66</f>
        <v>https://eu-112.eu/?utm_source=3webobs.com&amp;utm_medium=network&amp;utm_campaign=2610_ff_lansare&amp;utm_content=general</v>
      </c>
    </row>
    <row r="67" customFormat="false" ht="15" hidden="false" customHeight="false" outlineLevel="0" collapsed="false">
      <c r="A67" s="10" t="s">
        <v>56</v>
      </c>
      <c r="B67" s="10" t="str">
        <f aca="false">INDEX('Site-uri'!$B$2:$B$20,MATCH(A67,'Site-uri'!$A$2:$A$20,0))</f>
        <v>3webobs.com</v>
      </c>
      <c r="C67" s="10" t="s">
        <v>82</v>
      </c>
      <c r="D67" s="10" t="str">
        <f aca="false">INDEX('Site-uri'!$B$2:$B$20,MATCH(C67,'Site-uri'!$A$2:$A$20,0))</f>
        <v>1clic-ia.eu</v>
      </c>
      <c r="E67" s="10" t="str">
        <f aca="false">INDEX('Site-uri'!$C$2:$C$20,MATCH(C67,'Site-uri'!$A$2:$A$20,0))</f>
        <v>/</v>
      </c>
      <c r="F67" s="10" t="str">
        <f aca="false">B67</f>
        <v>3webobs.com</v>
      </c>
      <c r="G67" s="10" t="str">
        <f aca="false">Config!$B$5</f>
        <v>network</v>
      </c>
      <c r="H67" s="10" t="str">
        <f aca="false">Config!$B$3</f>
        <v>2610_ff_lansare</v>
      </c>
      <c r="I67" s="10" t="str">
        <f aca="false">Config!$B$4</f>
        <v>general</v>
      </c>
      <c r="J67" s="10" t="str">
        <f aca="false">"https://"&amp;D67&amp;E67&amp;"?utm_source="&amp;F67&amp;"&amp;utm_medium="&amp;G67&amp;"&amp;utm_campaign="&amp;H67&amp;"&amp;utm_content="&amp;I67</f>
        <v>https://1clic-ia.eu/?utm_source=3webobs.com&amp;utm_medium=network&amp;utm_campaign=2610_ff_lansare&amp;utm_content=general</v>
      </c>
    </row>
    <row r="68" customFormat="false" ht="15" hidden="false" customHeight="false" outlineLevel="0" collapsed="false">
      <c r="A68" s="10" t="s">
        <v>56</v>
      </c>
      <c r="B68" s="10" t="str">
        <f aca="false">INDEX('Site-uri'!$B$2:$B$20,MATCH(A68,'Site-uri'!$A$2:$A$20,0))</f>
        <v>3webobs.com</v>
      </c>
      <c r="C68" s="10" t="s">
        <v>85</v>
      </c>
      <c r="D68" s="10" t="str">
        <f aca="false">INDEX('Site-uri'!$B$2:$B$20,MATCH(C68,'Site-uri'!$A$2:$A$20,0))</f>
        <v>1clic-ia.fr</v>
      </c>
      <c r="E68" s="10" t="str">
        <f aca="false">INDEX('Site-uri'!$C$2:$C$20,MATCH(C68,'Site-uri'!$A$2:$A$20,0))</f>
        <v>/</v>
      </c>
      <c r="F68" s="10" t="str">
        <f aca="false">B68</f>
        <v>3webobs.com</v>
      </c>
      <c r="G68" s="10" t="str">
        <f aca="false">Config!$B$5</f>
        <v>network</v>
      </c>
      <c r="H68" s="10" t="str">
        <f aca="false">Config!$B$3</f>
        <v>2610_ff_lansare</v>
      </c>
      <c r="I68" s="10" t="str">
        <f aca="false">Config!$B$4</f>
        <v>general</v>
      </c>
      <c r="J68" s="10" t="str">
        <f aca="false">"https://"&amp;D68&amp;E68&amp;"?utm_source="&amp;F68&amp;"&amp;utm_medium="&amp;G68&amp;"&amp;utm_campaign="&amp;H68&amp;"&amp;utm_content="&amp;I68</f>
        <v>https://1clic-ia.fr/?utm_source=3webobs.com&amp;utm_medium=network&amp;utm_campaign=2610_ff_lansare&amp;utm_content=general</v>
      </c>
    </row>
    <row r="69" customFormat="false" ht="15" hidden="false" customHeight="false" outlineLevel="0" collapsed="false">
      <c r="A69" s="10" t="s">
        <v>56</v>
      </c>
      <c r="B69" s="10" t="str">
        <f aca="false">INDEX('Site-uri'!$B$2:$B$20,MATCH(A69,'Site-uri'!$A$2:$A$20,0))</f>
        <v>3webobs.com</v>
      </c>
      <c r="C69" s="10" t="s">
        <v>87</v>
      </c>
      <c r="D69" s="10" t="str">
        <f aca="false">INDEX('Site-uri'!$B$2:$B$20,MATCH(C69,'Site-uri'!$A$2:$A$20,0))</f>
        <v>firmsfinder.eu</v>
      </c>
      <c r="E69" s="10" t="str">
        <f aca="false">INDEX('Site-uri'!$C$2:$C$20,MATCH(C69,'Site-uri'!$A$2:$A$20,0))</f>
        <v>/</v>
      </c>
      <c r="F69" s="10" t="str">
        <f aca="false">B69</f>
        <v>3webobs.com</v>
      </c>
      <c r="G69" s="10" t="str">
        <f aca="false">Config!$B$5</f>
        <v>network</v>
      </c>
      <c r="H69" s="10" t="str">
        <f aca="false">Config!$B$3</f>
        <v>2610_ff_lansare</v>
      </c>
      <c r="I69" s="10" t="str">
        <f aca="false">Config!$B$4</f>
        <v>general</v>
      </c>
      <c r="J69" s="10" t="str">
        <f aca="false">"https://"&amp;D69&amp;E69&amp;"?utm_source="&amp;F69&amp;"&amp;utm_medium="&amp;G69&amp;"&amp;utm_campaign="&amp;H69&amp;"&amp;utm_content="&amp;I69</f>
        <v>https://firmsfinder.eu/?utm_source=3webobs.com&amp;utm_medium=network&amp;utm_campaign=2610_ff_lansare&amp;utm_content=general</v>
      </c>
    </row>
    <row r="70" customFormat="false" ht="15" hidden="false" customHeight="false" outlineLevel="0" collapsed="false">
      <c r="A70" s="10" t="s">
        <v>56</v>
      </c>
      <c r="B70" s="10" t="str">
        <f aca="false">INDEX('Site-uri'!$B$2:$B$20,MATCH(A70,'Site-uri'!$A$2:$A$20,0))</f>
        <v>3webobs.com</v>
      </c>
      <c r="C70" s="10" t="s">
        <v>90</v>
      </c>
      <c r="D70" s="10" t="str">
        <f aca="false">INDEX('Site-uri'!$B$2:$B$20,MATCH(C70,'Site-uri'!$A$2:$A$20,0))</f>
        <v>b2b-ai-library.org</v>
      </c>
      <c r="E70" s="10" t="str">
        <f aca="false">INDEX('Site-uri'!$C$2:$C$20,MATCH(C70,'Site-uri'!$A$2:$A$20,0))</f>
        <v>/</v>
      </c>
      <c r="F70" s="10" t="str">
        <f aca="false">B70</f>
        <v>3webobs.com</v>
      </c>
      <c r="G70" s="10" t="str">
        <f aca="false">Config!$B$5</f>
        <v>network</v>
      </c>
      <c r="H70" s="10" t="str">
        <f aca="false">Config!$B$3</f>
        <v>2610_ff_lansare</v>
      </c>
      <c r="I70" s="10" t="str">
        <f aca="false">Config!$B$4</f>
        <v>general</v>
      </c>
      <c r="J70" s="10" t="str">
        <f aca="false">"https://"&amp;D70&amp;E70&amp;"?utm_source="&amp;F70&amp;"&amp;utm_medium="&amp;G70&amp;"&amp;utm_campaign="&amp;H70&amp;"&amp;utm_content="&amp;I70</f>
        <v>https://b2b-ai-library.org/?utm_source=3webobs.com&amp;utm_medium=network&amp;utm_campaign=2610_ff_lansare&amp;utm_content=general</v>
      </c>
    </row>
    <row r="71" customFormat="false" ht="15" hidden="false" customHeight="false" outlineLevel="0" collapsed="false">
      <c r="A71" s="10" t="s">
        <v>56</v>
      </c>
      <c r="B71" s="10" t="str">
        <f aca="false">INDEX('Site-uri'!$B$2:$B$20,MATCH(A71,'Site-uri'!$A$2:$A$20,0))</f>
        <v>3webobs.com</v>
      </c>
      <c r="C71" s="10" t="s">
        <v>92</v>
      </c>
      <c r="D71" s="10" t="str">
        <f aca="false">INDEX('Site-uri'!$B$2:$B$20,MATCH(C71,'Site-uri'!$A$2:$A$20,0))</f>
        <v>the3webs.com</v>
      </c>
      <c r="E71" s="10" t="str">
        <f aca="false">INDEX('Site-uri'!$C$2:$C$20,MATCH(C71,'Site-uri'!$A$2:$A$20,0))</f>
        <v>/</v>
      </c>
      <c r="F71" s="10" t="str">
        <f aca="false">B71</f>
        <v>3webobs.com</v>
      </c>
      <c r="G71" s="10" t="str">
        <f aca="false">Config!$B$5</f>
        <v>network</v>
      </c>
      <c r="H71" s="10" t="str">
        <f aca="false">Config!$B$3</f>
        <v>2610_ff_lansare</v>
      </c>
      <c r="I71" s="10" t="str">
        <f aca="false">Config!$B$4</f>
        <v>general</v>
      </c>
      <c r="J71" s="10" t="str">
        <f aca="false">"https://"&amp;D71&amp;E71&amp;"?utm_source="&amp;F71&amp;"&amp;utm_medium="&amp;G71&amp;"&amp;utm_campaign="&amp;H71&amp;"&amp;utm_content="&amp;I71</f>
        <v>https://the3webs.com/?utm_source=3webobs.com&amp;utm_medium=network&amp;utm_campaign=2610_ff_lansare&amp;utm_content=general</v>
      </c>
    </row>
    <row r="72" customFormat="false" ht="15" hidden="false" customHeight="false" outlineLevel="0" collapsed="false">
      <c r="A72" s="10" t="s">
        <v>56</v>
      </c>
      <c r="B72" s="10" t="str">
        <f aca="false">INDEX('Site-uri'!$B$2:$B$20,MATCH(A72,'Site-uri'!$A$2:$A$20,0))</f>
        <v>3webobs.com</v>
      </c>
      <c r="C72" s="10" t="s">
        <v>95</v>
      </c>
      <c r="D72" s="10" t="str">
        <f aca="false">INDEX('Site-uri'!$B$2:$B$20,MATCH(C72,'Site-uri'!$A$2:$A$20,0))</f>
        <v>floride-e2.com</v>
      </c>
      <c r="E72" s="10" t="str">
        <f aca="false">INDEX('Site-uri'!$C$2:$C$20,MATCH(C72,'Site-uri'!$A$2:$A$20,0))</f>
        <v>/</v>
      </c>
      <c r="F72" s="10" t="str">
        <f aca="false">B72</f>
        <v>3webobs.com</v>
      </c>
      <c r="G72" s="10" t="str">
        <f aca="false">Config!$B$5</f>
        <v>network</v>
      </c>
      <c r="H72" s="10" t="str">
        <f aca="false">Config!$B$3</f>
        <v>2610_ff_lansare</v>
      </c>
      <c r="I72" s="10" t="str">
        <f aca="false">Config!$B$4</f>
        <v>general</v>
      </c>
      <c r="J72" s="10" t="str">
        <f aca="false">"https://"&amp;D72&amp;E72&amp;"?utm_source="&amp;F72&amp;"&amp;utm_medium="&amp;G72&amp;"&amp;utm_campaign="&amp;H72&amp;"&amp;utm_content="&amp;I72</f>
        <v>https://floride-e2.com/?utm_source=3webobs.com&amp;utm_medium=network&amp;utm_campaign=2610_ff_lansare&amp;utm_content=general</v>
      </c>
    </row>
    <row r="73" customFormat="false" ht="15" hidden="false" customHeight="false" outlineLevel="0" collapsed="false">
      <c r="A73" s="10" t="s">
        <v>56</v>
      </c>
      <c r="B73" s="10" t="str">
        <f aca="false">INDEX('Site-uri'!$B$2:$B$20,MATCH(A73,'Site-uri'!$A$2:$A$20,0))</f>
        <v>3webobs.com</v>
      </c>
      <c r="C73" s="10" t="s">
        <v>97</v>
      </c>
      <c r="D73" s="10" t="str">
        <f aca="false">INDEX('Site-uri'!$B$2:$B$20,MATCH(C73,'Site-uri'!$A$2:$A$20,0))</f>
        <v>ecbtax.com</v>
      </c>
      <c r="E73" s="10" t="str">
        <f aca="false">INDEX('Site-uri'!$C$2:$C$20,MATCH(C73,'Site-uri'!$A$2:$A$20,0))</f>
        <v>/</v>
      </c>
      <c r="F73" s="10" t="str">
        <f aca="false">B73</f>
        <v>3webobs.com</v>
      </c>
      <c r="G73" s="10" t="str">
        <f aca="false">Config!$B$5</f>
        <v>network</v>
      </c>
      <c r="H73" s="10" t="str">
        <f aca="false">Config!$B$3</f>
        <v>2610_ff_lansare</v>
      </c>
      <c r="I73" s="10" t="str">
        <f aca="false">Config!$B$4</f>
        <v>general</v>
      </c>
      <c r="J73" s="10" t="str">
        <f aca="false">"https://"&amp;D73&amp;E73&amp;"?utm_source="&amp;F73&amp;"&amp;utm_medium="&amp;G73&amp;"&amp;utm_campaign="&amp;H73&amp;"&amp;utm_content="&amp;I73</f>
        <v>https://ecbtax.com/?utm_source=3webobs.com&amp;utm_medium=network&amp;utm_campaign=2610_ff_lansare&amp;utm_content=general</v>
      </c>
    </row>
    <row r="74" customFormat="false" ht="15" hidden="false" customHeight="false" outlineLevel="0" collapsed="false">
      <c r="A74" s="10" t="s">
        <v>59</v>
      </c>
      <c r="B74" s="10" t="str">
        <f aca="false">INDEX('Site-uri'!$B$2:$B$20,MATCH(A74,'Site-uri'!$A$2:$A$20,0))</f>
        <v>ai-lens.eu</v>
      </c>
      <c r="C74" s="10" t="s">
        <v>46</v>
      </c>
      <c r="D74" s="10" t="str">
        <f aca="false">INDEX('Site-uri'!$B$2:$B$20,MATCH(C74,'Site-uri'!$A$2:$A$20,0))</f>
        <v>5thelement.ai</v>
      </c>
      <c r="E74" s="10" t="str">
        <f aca="false">INDEX('Site-uri'!$C$2:$C$20,MATCH(C74,'Site-uri'!$A$2:$A$20,0))</f>
        <v>/</v>
      </c>
      <c r="F74" s="10" t="str">
        <f aca="false">B74</f>
        <v>ai-lens.eu</v>
      </c>
      <c r="G74" s="10" t="str">
        <f aca="false">Config!$B$5</f>
        <v>network</v>
      </c>
      <c r="H74" s="10" t="str">
        <f aca="false">Config!$B$3</f>
        <v>2610_ff_lansare</v>
      </c>
      <c r="I74" s="10" t="str">
        <f aca="false">Config!$B$4</f>
        <v>general</v>
      </c>
      <c r="J74" s="10" t="str">
        <f aca="false">"https://"&amp;D74&amp;E74&amp;"?utm_source="&amp;F74&amp;"&amp;utm_medium="&amp;G74&amp;"&amp;utm_campaign="&amp;H74&amp;"&amp;utm_content="&amp;I74</f>
        <v>https://5thelement.ai/?utm_source=ai-lens.eu&amp;utm_medium=network&amp;utm_campaign=2610_ff_lansare&amp;utm_content=general</v>
      </c>
    </row>
    <row r="75" customFormat="false" ht="15" hidden="false" customHeight="false" outlineLevel="0" collapsed="false">
      <c r="A75" s="10" t="s">
        <v>59</v>
      </c>
      <c r="B75" s="10" t="str">
        <f aca="false">INDEX('Site-uri'!$B$2:$B$20,MATCH(A75,'Site-uri'!$A$2:$A$20,0))</f>
        <v>ai-lens.eu</v>
      </c>
      <c r="C75" s="10" t="s">
        <v>50</v>
      </c>
      <c r="D75" s="10" t="str">
        <f aca="false">INDEX('Site-uri'!$B$2:$B$20,MATCH(C75,'Site-uri'!$A$2:$A$20,0))</f>
        <v>aiventure.ro</v>
      </c>
      <c r="E75" s="10" t="str">
        <f aca="false">INDEX('Site-uri'!$C$2:$C$20,MATCH(C75,'Site-uri'!$A$2:$A$20,0))</f>
        <v>/</v>
      </c>
      <c r="F75" s="10" t="str">
        <f aca="false">B75</f>
        <v>ai-lens.eu</v>
      </c>
      <c r="G75" s="10" t="str">
        <f aca="false">Config!$B$5</f>
        <v>network</v>
      </c>
      <c r="H75" s="10" t="str">
        <f aca="false">Config!$B$3</f>
        <v>2610_ff_lansare</v>
      </c>
      <c r="I75" s="10" t="str">
        <f aca="false">Config!$B$4</f>
        <v>general</v>
      </c>
      <c r="J75" s="10" t="str">
        <f aca="false">"https://"&amp;D75&amp;E75&amp;"?utm_source="&amp;F75&amp;"&amp;utm_medium="&amp;G75&amp;"&amp;utm_campaign="&amp;H75&amp;"&amp;utm_content="&amp;I75</f>
        <v>https://aiventure.ro/?utm_source=ai-lens.eu&amp;utm_medium=network&amp;utm_campaign=2610_ff_lansare&amp;utm_content=general</v>
      </c>
    </row>
    <row r="76" customFormat="false" ht="15" hidden="false" customHeight="false" outlineLevel="0" collapsed="false">
      <c r="A76" s="10" t="s">
        <v>59</v>
      </c>
      <c r="B76" s="10" t="str">
        <f aca="false">INDEX('Site-uri'!$B$2:$B$20,MATCH(A76,'Site-uri'!$A$2:$A$20,0))</f>
        <v>ai-lens.eu</v>
      </c>
      <c r="C76" s="10" t="s">
        <v>53</v>
      </c>
      <c r="D76" s="10" t="str">
        <f aca="false">INDEX('Site-uri'!$B$2:$B$20,MATCH(C76,'Site-uri'!$A$2:$A$20,0))</f>
        <v>aiventure.uk</v>
      </c>
      <c r="E76" s="10" t="str">
        <f aca="false">INDEX('Site-uri'!$C$2:$C$20,MATCH(C76,'Site-uri'!$A$2:$A$20,0))</f>
        <v>/</v>
      </c>
      <c r="F76" s="10" t="str">
        <f aca="false">B76</f>
        <v>ai-lens.eu</v>
      </c>
      <c r="G76" s="10" t="str">
        <f aca="false">Config!$B$5</f>
        <v>network</v>
      </c>
      <c r="H76" s="10" t="str">
        <f aca="false">Config!$B$3</f>
        <v>2610_ff_lansare</v>
      </c>
      <c r="I76" s="10" t="str">
        <f aca="false">Config!$B$4</f>
        <v>general</v>
      </c>
      <c r="J76" s="10" t="str">
        <f aca="false">"https://"&amp;D76&amp;E76&amp;"?utm_source="&amp;F76&amp;"&amp;utm_medium="&amp;G76&amp;"&amp;utm_campaign="&amp;H76&amp;"&amp;utm_content="&amp;I76</f>
        <v>https://aiventure.uk/?utm_source=ai-lens.eu&amp;utm_medium=network&amp;utm_campaign=2610_ff_lansare&amp;utm_content=general</v>
      </c>
    </row>
    <row r="77" customFormat="false" ht="15" hidden="false" customHeight="false" outlineLevel="0" collapsed="false">
      <c r="A77" s="10" t="s">
        <v>59</v>
      </c>
      <c r="B77" s="10" t="str">
        <f aca="false">INDEX('Site-uri'!$B$2:$B$20,MATCH(A77,'Site-uri'!$A$2:$A$20,0))</f>
        <v>ai-lens.eu</v>
      </c>
      <c r="C77" s="10" t="s">
        <v>56</v>
      </c>
      <c r="D77" s="10" t="str">
        <f aca="false">INDEX('Site-uri'!$B$2:$B$20,MATCH(C77,'Site-uri'!$A$2:$A$20,0))</f>
        <v>3webobs.com</v>
      </c>
      <c r="E77" s="10" t="str">
        <f aca="false">INDEX('Site-uri'!$C$2:$C$20,MATCH(C77,'Site-uri'!$A$2:$A$20,0))</f>
        <v>/</v>
      </c>
      <c r="F77" s="10" t="str">
        <f aca="false">B77</f>
        <v>ai-lens.eu</v>
      </c>
      <c r="G77" s="10" t="str">
        <f aca="false">Config!$B$5</f>
        <v>network</v>
      </c>
      <c r="H77" s="10" t="str">
        <f aca="false">Config!$B$3</f>
        <v>2610_ff_lansare</v>
      </c>
      <c r="I77" s="10" t="str">
        <f aca="false">Config!$B$4</f>
        <v>general</v>
      </c>
      <c r="J77" s="10" t="str">
        <f aca="false">"https://"&amp;D77&amp;E77&amp;"?utm_source="&amp;F77&amp;"&amp;utm_medium="&amp;G77&amp;"&amp;utm_campaign="&amp;H77&amp;"&amp;utm_content="&amp;I77</f>
        <v>https://3webobs.com/?utm_source=ai-lens.eu&amp;utm_medium=network&amp;utm_campaign=2610_ff_lansare&amp;utm_content=general</v>
      </c>
    </row>
    <row r="78" customFormat="false" ht="15" hidden="false" customHeight="false" outlineLevel="0" collapsed="false">
      <c r="A78" s="10" t="s">
        <v>59</v>
      </c>
      <c r="B78" s="10" t="str">
        <f aca="false">INDEX('Site-uri'!$B$2:$B$20,MATCH(A78,'Site-uri'!$A$2:$A$20,0))</f>
        <v>ai-lens.eu</v>
      </c>
      <c r="C78" s="10" t="s">
        <v>62</v>
      </c>
      <c r="D78" s="10" t="str">
        <f aca="false">INDEX('Site-uri'!$B$2:$B$20,MATCH(C78,'Site-uri'!$A$2:$A$20,0))</f>
        <v>aireadyinjector.com</v>
      </c>
      <c r="E78" s="10" t="str">
        <f aca="false">INDEX('Site-uri'!$C$2:$C$20,MATCH(C78,'Site-uri'!$A$2:$A$20,0))</f>
        <v>/</v>
      </c>
      <c r="F78" s="10" t="str">
        <f aca="false">B78</f>
        <v>ai-lens.eu</v>
      </c>
      <c r="G78" s="10" t="str">
        <f aca="false">Config!$B$5</f>
        <v>network</v>
      </c>
      <c r="H78" s="10" t="str">
        <f aca="false">Config!$B$3</f>
        <v>2610_ff_lansare</v>
      </c>
      <c r="I78" s="10" t="str">
        <f aca="false">Config!$B$4</f>
        <v>general</v>
      </c>
      <c r="J78" s="10" t="str">
        <f aca="false">"https://"&amp;D78&amp;E78&amp;"?utm_source="&amp;F78&amp;"&amp;utm_medium="&amp;G78&amp;"&amp;utm_campaign="&amp;H78&amp;"&amp;utm_content="&amp;I78</f>
        <v>https://aireadyinjector.com/?utm_source=ai-lens.eu&amp;utm_medium=network&amp;utm_campaign=2610_ff_lansare&amp;utm_content=general</v>
      </c>
    </row>
    <row r="79" customFormat="false" ht="15" hidden="false" customHeight="false" outlineLevel="0" collapsed="false">
      <c r="A79" s="10" t="s">
        <v>59</v>
      </c>
      <c r="B79" s="10" t="str">
        <f aca="false">INDEX('Site-uri'!$B$2:$B$20,MATCH(A79,'Site-uri'!$A$2:$A$20,0))</f>
        <v>ai-lens.eu</v>
      </c>
      <c r="C79" s="10" t="s">
        <v>65</v>
      </c>
      <c r="D79" s="10" t="str">
        <f aca="false">INDEX('Site-uri'!$B$2:$B$20,MATCH(C79,'Site-uri'!$A$2:$A$20,0))</f>
        <v>eu-ai-audit.eu</v>
      </c>
      <c r="E79" s="10" t="str">
        <f aca="false">INDEX('Site-uri'!$C$2:$C$20,MATCH(C79,'Site-uri'!$A$2:$A$20,0))</f>
        <v>/</v>
      </c>
      <c r="F79" s="10" t="str">
        <f aca="false">B79</f>
        <v>ai-lens.eu</v>
      </c>
      <c r="G79" s="10" t="str">
        <f aca="false">Config!$B$5</f>
        <v>network</v>
      </c>
      <c r="H79" s="10" t="str">
        <f aca="false">Config!$B$3</f>
        <v>2610_ff_lansare</v>
      </c>
      <c r="I79" s="10" t="str">
        <f aca="false">Config!$B$4</f>
        <v>general</v>
      </c>
      <c r="J79" s="10" t="str">
        <f aca="false">"https://"&amp;D79&amp;E79&amp;"?utm_source="&amp;F79&amp;"&amp;utm_medium="&amp;G79&amp;"&amp;utm_campaign="&amp;H79&amp;"&amp;utm_content="&amp;I79</f>
        <v>https://eu-ai-audit.eu/?utm_source=ai-lens.eu&amp;utm_medium=network&amp;utm_campaign=2610_ff_lansare&amp;utm_content=general</v>
      </c>
    </row>
    <row r="80" customFormat="false" ht="15" hidden="false" customHeight="false" outlineLevel="0" collapsed="false">
      <c r="A80" s="10" t="s">
        <v>59</v>
      </c>
      <c r="B80" s="10" t="str">
        <f aca="false">INDEX('Site-uri'!$B$2:$B$20,MATCH(A80,'Site-uri'!$A$2:$A$20,0))</f>
        <v>ai-lens.eu</v>
      </c>
      <c r="C80" s="10" t="s">
        <v>68</v>
      </c>
      <c r="D80" s="10" t="str">
        <f aca="false">INDEX('Site-uri'!$B$2:$B$20,MATCH(C80,'Site-uri'!$A$2:$A$20,0))</f>
        <v>eu-ai-ready.eu</v>
      </c>
      <c r="E80" s="10" t="str">
        <f aca="false">INDEX('Site-uri'!$C$2:$C$20,MATCH(C80,'Site-uri'!$A$2:$A$20,0))</f>
        <v>/</v>
      </c>
      <c r="F80" s="10" t="str">
        <f aca="false">B80</f>
        <v>ai-lens.eu</v>
      </c>
      <c r="G80" s="10" t="str">
        <f aca="false">Config!$B$5</f>
        <v>network</v>
      </c>
      <c r="H80" s="10" t="str">
        <f aca="false">Config!$B$3</f>
        <v>2610_ff_lansare</v>
      </c>
      <c r="I80" s="10" t="str">
        <f aca="false">Config!$B$4</f>
        <v>general</v>
      </c>
      <c r="J80" s="10" t="str">
        <f aca="false">"https://"&amp;D80&amp;E80&amp;"?utm_source="&amp;F80&amp;"&amp;utm_medium="&amp;G80&amp;"&amp;utm_campaign="&amp;H80&amp;"&amp;utm_content="&amp;I80</f>
        <v>https://eu-ai-ready.eu/?utm_source=ai-lens.eu&amp;utm_medium=network&amp;utm_campaign=2610_ff_lansare&amp;utm_content=general</v>
      </c>
    </row>
    <row r="81" customFormat="false" ht="15" hidden="false" customHeight="false" outlineLevel="0" collapsed="false">
      <c r="A81" s="10" t="s">
        <v>59</v>
      </c>
      <c r="B81" s="10" t="str">
        <f aca="false">INDEX('Site-uri'!$B$2:$B$20,MATCH(A81,'Site-uri'!$A$2:$A$20,0))</f>
        <v>ai-lens.eu</v>
      </c>
      <c r="C81" s="10" t="s">
        <v>70</v>
      </c>
      <c r="D81" s="10" t="str">
        <f aca="false">INDEX('Site-uri'!$B$2:$B$20,MATCH(C81,'Site-uri'!$A$2:$A$20,0))</f>
        <v>eu-ai-act.ro</v>
      </c>
      <c r="E81" s="10" t="str">
        <f aca="false">INDEX('Site-uri'!$C$2:$C$20,MATCH(C81,'Site-uri'!$A$2:$A$20,0))</f>
        <v>/</v>
      </c>
      <c r="F81" s="10" t="str">
        <f aca="false">B81</f>
        <v>ai-lens.eu</v>
      </c>
      <c r="G81" s="10" t="str">
        <f aca="false">Config!$B$5</f>
        <v>network</v>
      </c>
      <c r="H81" s="10" t="str">
        <f aca="false">Config!$B$3</f>
        <v>2610_ff_lansare</v>
      </c>
      <c r="I81" s="10" t="str">
        <f aca="false">Config!$B$4</f>
        <v>general</v>
      </c>
      <c r="J81" s="10" t="str">
        <f aca="false">"https://"&amp;D81&amp;E81&amp;"?utm_source="&amp;F81&amp;"&amp;utm_medium="&amp;G81&amp;"&amp;utm_campaign="&amp;H81&amp;"&amp;utm_content="&amp;I81</f>
        <v>https://eu-ai-act.ro/?utm_source=ai-lens.eu&amp;utm_medium=network&amp;utm_campaign=2610_ff_lansare&amp;utm_content=general</v>
      </c>
    </row>
    <row r="82" customFormat="false" ht="15" hidden="false" customHeight="false" outlineLevel="0" collapsed="false">
      <c r="A82" s="10" t="s">
        <v>59</v>
      </c>
      <c r="B82" s="10" t="str">
        <f aca="false">INDEX('Site-uri'!$B$2:$B$20,MATCH(A82,'Site-uri'!$A$2:$A$20,0))</f>
        <v>ai-lens.eu</v>
      </c>
      <c r="C82" s="10" t="s">
        <v>73</v>
      </c>
      <c r="D82" s="10" t="str">
        <f aca="false">INDEX('Site-uri'!$B$2:$B$20,MATCH(C82,'Site-uri'!$A$2:$A$20,0))</f>
        <v>eu-ai-act-ready.eu</v>
      </c>
      <c r="E82" s="10" t="str">
        <f aca="false">INDEX('Site-uri'!$C$2:$C$20,MATCH(C82,'Site-uri'!$A$2:$A$20,0))</f>
        <v>/</v>
      </c>
      <c r="F82" s="10" t="str">
        <f aca="false">B82</f>
        <v>ai-lens.eu</v>
      </c>
      <c r="G82" s="10" t="str">
        <f aca="false">Config!$B$5</f>
        <v>network</v>
      </c>
      <c r="H82" s="10" t="str">
        <f aca="false">Config!$B$3</f>
        <v>2610_ff_lansare</v>
      </c>
      <c r="I82" s="10" t="str">
        <f aca="false">Config!$B$4</f>
        <v>general</v>
      </c>
      <c r="J82" s="10" t="str">
        <f aca="false">"https://"&amp;D82&amp;E82&amp;"?utm_source="&amp;F82&amp;"&amp;utm_medium="&amp;G82&amp;"&amp;utm_campaign="&amp;H82&amp;"&amp;utm_content="&amp;I82</f>
        <v>https://eu-ai-act-ready.eu/?utm_source=ai-lens.eu&amp;utm_medium=network&amp;utm_campaign=2610_ff_lansare&amp;utm_content=general</v>
      </c>
    </row>
    <row r="83" customFormat="false" ht="15" hidden="false" customHeight="false" outlineLevel="0" collapsed="false">
      <c r="A83" s="10" t="s">
        <v>59</v>
      </c>
      <c r="B83" s="10" t="str">
        <f aca="false">INDEX('Site-uri'!$B$2:$B$20,MATCH(A83,'Site-uri'!$A$2:$A$20,0))</f>
        <v>ai-lens.eu</v>
      </c>
      <c r="C83" s="10" t="s">
        <v>76</v>
      </c>
      <c r="D83" s="10" t="str">
        <f aca="false">INDEX('Site-uri'!$B$2:$B$20,MATCH(C83,'Site-uri'!$A$2:$A$20,0))</f>
        <v>eu-112.ro</v>
      </c>
      <c r="E83" s="10" t="str">
        <f aca="false">INDEX('Site-uri'!$C$2:$C$20,MATCH(C83,'Site-uri'!$A$2:$A$20,0))</f>
        <v>/</v>
      </c>
      <c r="F83" s="10" t="str">
        <f aca="false">B83</f>
        <v>ai-lens.eu</v>
      </c>
      <c r="G83" s="10" t="str">
        <f aca="false">Config!$B$5</f>
        <v>network</v>
      </c>
      <c r="H83" s="10" t="str">
        <f aca="false">Config!$B$3</f>
        <v>2610_ff_lansare</v>
      </c>
      <c r="I83" s="10" t="str">
        <f aca="false">Config!$B$4</f>
        <v>general</v>
      </c>
      <c r="J83" s="10" t="str">
        <f aca="false">"https://"&amp;D83&amp;E83&amp;"?utm_source="&amp;F83&amp;"&amp;utm_medium="&amp;G83&amp;"&amp;utm_campaign="&amp;H83&amp;"&amp;utm_content="&amp;I83</f>
        <v>https://eu-112.ro/?utm_source=ai-lens.eu&amp;utm_medium=network&amp;utm_campaign=2610_ff_lansare&amp;utm_content=general</v>
      </c>
    </row>
    <row r="84" customFormat="false" ht="15" hidden="false" customHeight="false" outlineLevel="0" collapsed="false">
      <c r="A84" s="10" t="s">
        <v>59</v>
      </c>
      <c r="B84" s="10" t="str">
        <f aca="false">INDEX('Site-uri'!$B$2:$B$20,MATCH(A84,'Site-uri'!$A$2:$A$20,0))</f>
        <v>ai-lens.eu</v>
      </c>
      <c r="C84" s="10" t="s">
        <v>79</v>
      </c>
      <c r="D84" s="10" t="str">
        <f aca="false">INDEX('Site-uri'!$B$2:$B$20,MATCH(C84,'Site-uri'!$A$2:$A$20,0))</f>
        <v>eu-112.eu</v>
      </c>
      <c r="E84" s="10" t="str">
        <f aca="false">INDEX('Site-uri'!$C$2:$C$20,MATCH(C84,'Site-uri'!$A$2:$A$20,0))</f>
        <v>/</v>
      </c>
      <c r="F84" s="10" t="str">
        <f aca="false">B84</f>
        <v>ai-lens.eu</v>
      </c>
      <c r="G84" s="10" t="str">
        <f aca="false">Config!$B$5</f>
        <v>network</v>
      </c>
      <c r="H84" s="10" t="str">
        <f aca="false">Config!$B$3</f>
        <v>2610_ff_lansare</v>
      </c>
      <c r="I84" s="10" t="str">
        <f aca="false">Config!$B$4</f>
        <v>general</v>
      </c>
      <c r="J84" s="10" t="str">
        <f aca="false">"https://"&amp;D84&amp;E84&amp;"?utm_source="&amp;F84&amp;"&amp;utm_medium="&amp;G84&amp;"&amp;utm_campaign="&amp;H84&amp;"&amp;utm_content="&amp;I84</f>
        <v>https://eu-112.eu/?utm_source=ai-lens.eu&amp;utm_medium=network&amp;utm_campaign=2610_ff_lansare&amp;utm_content=general</v>
      </c>
    </row>
    <row r="85" customFormat="false" ht="15" hidden="false" customHeight="false" outlineLevel="0" collapsed="false">
      <c r="A85" s="10" t="s">
        <v>59</v>
      </c>
      <c r="B85" s="10" t="str">
        <f aca="false">INDEX('Site-uri'!$B$2:$B$20,MATCH(A85,'Site-uri'!$A$2:$A$20,0))</f>
        <v>ai-lens.eu</v>
      </c>
      <c r="C85" s="10" t="s">
        <v>82</v>
      </c>
      <c r="D85" s="10" t="str">
        <f aca="false">INDEX('Site-uri'!$B$2:$B$20,MATCH(C85,'Site-uri'!$A$2:$A$20,0))</f>
        <v>1clic-ia.eu</v>
      </c>
      <c r="E85" s="10" t="str">
        <f aca="false">INDEX('Site-uri'!$C$2:$C$20,MATCH(C85,'Site-uri'!$A$2:$A$20,0))</f>
        <v>/</v>
      </c>
      <c r="F85" s="10" t="str">
        <f aca="false">B85</f>
        <v>ai-lens.eu</v>
      </c>
      <c r="G85" s="10" t="str">
        <f aca="false">Config!$B$5</f>
        <v>network</v>
      </c>
      <c r="H85" s="10" t="str">
        <f aca="false">Config!$B$3</f>
        <v>2610_ff_lansare</v>
      </c>
      <c r="I85" s="10" t="str">
        <f aca="false">Config!$B$4</f>
        <v>general</v>
      </c>
      <c r="J85" s="10" t="str">
        <f aca="false">"https://"&amp;D85&amp;E85&amp;"?utm_source="&amp;F85&amp;"&amp;utm_medium="&amp;G85&amp;"&amp;utm_campaign="&amp;H85&amp;"&amp;utm_content="&amp;I85</f>
        <v>https://1clic-ia.eu/?utm_source=ai-lens.eu&amp;utm_medium=network&amp;utm_campaign=2610_ff_lansare&amp;utm_content=general</v>
      </c>
    </row>
    <row r="86" customFormat="false" ht="15" hidden="false" customHeight="false" outlineLevel="0" collapsed="false">
      <c r="A86" s="10" t="s">
        <v>59</v>
      </c>
      <c r="B86" s="10" t="str">
        <f aca="false">INDEX('Site-uri'!$B$2:$B$20,MATCH(A86,'Site-uri'!$A$2:$A$20,0))</f>
        <v>ai-lens.eu</v>
      </c>
      <c r="C86" s="10" t="s">
        <v>85</v>
      </c>
      <c r="D86" s="10" t="str">
        <f aca="false">INDEX('Site-uri'!$B$2:$B$20,MATCH(C86,'Site-uri'!$A$2:$A$20,0))</f>
        <v>1clic-ia.fr</v>
      </c>
      <c r="E86" s="10" t="str">
        <f aca="false">INDEX('Site-uri'!$C$2:$C$20,MATCH(C86,'Site-uri'!$A$2:$A$20,0))</f>
        <v>/</v>
      </c>
      <c r="F86" s="10" t="str">
        <f aca="false">B86</f>
        <v>ai-lens.eu</v>
      </c>
      <c r="G86" s="10" t="str">
        <f aca="false">Config!$B$5</f>
        <v>network</v>
      </c>
      <c r="H86" s="10" t="str">
        <f aca="false">Config!$B$3</f>
        <v>2610_ff_lansare</v>
      </c>
      <c r="I86" s="10" t="str">
        <f aca="false">Config!$B$4</f>
        <v>general</v>
      </c>
      <c r="J86" s="10" t="str">
        <f aca="false">"https://"&amp;D86&amp;E86&amp;"?utm_source="&amp;F86&amp;"&amp;utm_medium="&amp;G86&amp;"&amp;utm_campaign="&amp;H86&amp;"&amp;utm_content="&amp;I86</f>
        <v>https://1clic-ia.fr/?utm_source=ai-lens.eu&amp;utm_medium=network&amp;utm_campaign=2610_ff_lansare&amp;utm_content=general</v>
      </c>
    </row>
    <row r="87" customFormat="false" ht="15" hidden="false" customHeight="false" outlineLevel="0" collapsed="false">
      <c r="A87" s="10" t="s">
        <v>59</v>
      </c>
      <c r="B87" s="10" t="str">
        <f aca="false">INDEX('Site-uri'!$B$2:$B$20,MATCH(A87,'Site-uri'!$A$2:$A$20,0))</f>
        <v>ai-lens.eu</v>
      </c>
      <c r="C87" s="10" t="s">
        <v>87</v>
      </c>
      <c r="D87" s="10" t="str">
        <f aca="false">INDEX('Site-uri'!$B$2:$B$20,MATCH(C87,'Site-uri'!$A$2:$A$20,0))</f>
        <v>firmsfinder.eu</v>
      </c>
      <c r="E87" s="10" t="str">
        <f aca="false">INDEX('Site-uri'!$C$2:$C$20,MATCH(C87,'Site-uri'!$A$2:$A$20,0))</f>
        <v>/</v>
      </c>
      <c r="F87" s="10" t="str">
        <f aca="false">B87</f>
        <v>ai-lens.eu</v>
      </c>
      <c r="G87" s="10" t="str">
        <f aca="false">Config!$B$5</f>
        <v>network</v>
      </c>
      <c r="H87" s="10" t="str">
        <f aca="false">Config!$B$3</f>
        <v>2610_ff_lansare</v>
      </c>
      <c r="I87" s="10" t="str">
        <f aca="false">Config!$B$4</f>
        <v>general</v>
      </c>
      <c r="J87" s="10" t="str">
        <f aca="false">"https://"&amp;D87&amp;E87&amp;"?utm_source="&amp;F87&amp;"&amp;utm_medium="&amp;G87&amp;"&amp;utm_campaign="&amp;H87&amp;"&amp;utm_content="&amp;I87</f>
        <v>https://firmsfinder.eu/?utm_source=ai-lens.eu&amp;utm_medium=network&amp;utm_campaign=2610_ff_lansare&amp;utm_content=general</v>
      </c>
    </row>
    <row r="88" customFormat="false" ht="15" hidden="false" customHeight="false" outlineLevel="0" collapsed="false">
      <c r="A88" s="10" t="s">
        <v>59</v>
      </c>
      <c r="B88" s="10" t="str">
        <f aca="false">INDEX('Site-uri'!$B$2:$B$20,MATCH(A88,'Site-uri'!$A$2:$A$20,0))</f>
        <v>ai-lens.eu</v>
      </c>
      <c r="C88" s="10" t="s">
        <v>90</v>
      </c>
      <c r="D88" s="10" t="str">
        <f aca="false">INDEX('Site-uri'!$B$2:$B$20,MATCH(C88,'Site-uri'!$A$2:$A$20,0))</f>
        <v>b2b-ai-library.org</v>
      </c>
      <c r="E88" s="10" t="str">
        <f aca="false">INDEX('Site-uri'!$C$2:$C$20,MATCH(C88,'Site-uri'!$A$2:$A$20,0))</f>
        <v>/</v>
      </c>
      <c r="F88" s="10" t="str">
        <f aca="false">B88</f>
        <v>ai-lens.eu</v>
      </c>
      <c r="G88" s="10" t="str">
        <f aca="false">Config!$B$5</f>
        <v>network</v>
      </c>
      <c r="H88" s="10" t="str">
        <f aca="false">Config!$B$3</f>
        <v>2610_ff_lansare</v>
      </c>
      <c r="I88" s="10" t="str">
        <f aca="false">Config!$B$4</f>
        <v>general</v>
      </c>
      <c r="J88" s="10" t="str">
        <f aca="false">"https://"&amp;D88&amp;E88&amp;"?utm_source="&amp;F88&amp;"&amp;utm_medium="&amp;G88&amp;"&amp;utm_campaign="&amp;H88&amp;"&amp;utm_content="&amp;I88</f>
        <v>https://b2b-ai-library.org/?utm_source=ai-lens.eu&amp;utm_medium=network&amp;utm_campaign=2610_ff_lansare&amp;utm_content=general</v>
      </c>
    </row>
    <row r="89" customFormat="false" ht="15" hidden="false" customHeight="false" outlineLevel="0" collapsed="false">
      <c r="A89" s="10" t="s">
        <v>59</v>
      </c>
      <c r="B89" s="10" t="str">
        <f aca="false">INDEX('Site-uri'!$B$2:$B$20,MATCH(A89,'Site-uri'!$A$2:$A$20,0))</f>
        <v>ai-lens.eu</v>
      </c>
      <c r="C89" s="10" t="s">
        <v>92</v>
      </c>
      <c r="D89" s="10" t="str">
        <f aca="false">INDEX('Site-uri'!$B$2:$B$20,MATCH(C89,'Site-uri'!$A$2:$A$20,0))</f>
        <v>the3webs.com</v>
      </c>
      <c r="E89" s="10" t="str">
        <f aca="false">INDEX('Site-uri'!$C$2:$C$20,MATCH(C89,'Site-uri'!$A$2:$A$20,0))</f>
        <v>/</v>
      </c>
      <c r="F89" s="10" t="str">
        <f aca="false">B89</f>
        <v>ai-lens.eu</v>
      </c>
      <c r="G89" s="10" t="str">
        <f aca="false">Config!$B$5</f>
        <v>network</v>
      </c>
      <c r="H89" s="10" t="str">
        <f aca="false">Config!$B$3</f>
        <v>2610_ff_lansare</v>
      </c>
      <c r="I89" s="10" t="str">
        <f aca="false">Config!$B$4</f>
        <v>general</v>
      </c>
      <c r="J89" s="10" t="str">
        <f aca="false">"https://"&amp;D89&amp;E89&amp;"?utm_source="&amp;F89&amp;"&amp;utm_medium="&amp;G89&amp;"&amp;utm_campaign="&amp;H89&amp;"&amp;utm_content="&amp;I89</f>
        <v>https://the3webs.com/?utm_source=ai-lens.eu&amp;utm_medium=network&amp;utm_campaign=2610_ff_lansare&amp;utm_content=general</v>
      </c>
    </row>
    <row r="90" customFormat="false" ht="15" hidden="false" customHeight="false" outlineLevel="0" collapsed="false">
      <c r="A90" s="10" t="s">
        <v>59</v>
      </c>
      <c r="B90" s="10" t="str">
        <f aca="false">INDEX('Site-uri'!$B$2:$B$20,MATCH(A90,'Site-uri'!$A$2:$A$20,0))</f>
        <v>ai-lens.eu</v>
      </c>
      <c r="C90" s="10" t="s">
        <v>95</v>
      </c>
      <c r="D90" s="10" t="str">
        <f aca="false">INDEX('Site-uri'!$B$2:$B$20,MATCH(C90,'Site-uri'!$A$2:$A$20,0))</f>
        <v>floride-e2.com</v>
      </c>
      <c r="E90" s="10" t="str">
        <f aca="false">INDEX('Site-uri'!$C$2:$C$20,MATCH(C90,'Site-uri'!$A$2:$A$20,0))</f>
        <v>/</v>
      </c>
      <c r="F90" s="10" t="str">
        <f aca="false">B90</f>
        <v>ai-lens.eu</v>
      </c>
      <c r="G90" s="10" t="str">
        <f aca="false">Config!$B$5</f>
        <v>network</v>
      </c>
      <c r="H90" s="10" t="str">
        <f aca="false">Config!$B$3</f>
        <v>2610_ff_lansare</v>
      </c>
      <c r="I90" s="10" t="str">
        <f aca="false">Config!$B$4</f>
        <v>general</v>
      </c>
      <c r="J90" s="10" t="str">
        <f aca="false">"https://"&amp;D90&amp;E90&amp;"?utm_source="&amp;F90&amp;"&amp;utm_medium="&amp;G90&amp;"&amp;utm_campaign="&amp;H90&amp;"&amp;utm_content="&amp;I90</f>
        <v>https://floride-e2.com/?utm_source=ai-lens.eu&amp;utm_medium=network&amp;utm_campaign=2610_ff_lansare&amp;utm_content=general</v>
      </c>
    </row>
    <row r="91" customFormat="false" ht="15" hidden="false" customHeight="false" outlineLevel="0" collapsed="false">
      <c r="A91" s="10" t="s">
        <v>59</v>
      </c>
      <c r="B91" s="10" t="str">
        <f aca="false">INDEX('Site-uri'!$B$2:$B$20,MATCH(A91,'Site-uri'!$A$2:$A$20,0))</f>
        <v>ai-lens.eu</v>
      </c>
      <c r="C91" s="10" t="s">
        <v>97</v>
      </c>
      <c r="D91" s="10" t="str">
        <f aca="false">INDEX('Site-uri'!$B$2:$B$20,MATCH(C91,'Site-uri'!$A$2:$A$20,0))</f>
        <v>ecbtax.com</v>
      </c>
      <c r="E91" s="10" t="str">
        <f aca="false">INDEX('Site-uri'!$C$2:$C$20,MATCH(C91,'Site-uri'!$A$2:$A$20,0))</f>
        <v>/</v>
      </c>
      <c r="F91" s="10" t="str">
        <f aca="false">B91</f>
        <v>ai-lens.eu</v>
      </c>
      <c r="G91" s="10" t="str">
        <f aca="false">Config!$B$5</f>
        <v>network</v>
      </c>
      <c r="H91" s="10" t="str">
        <f aca="false">Config!$B$3</f>
        <v>2610_ff_lansare</v>
      </c>
      <c r="I91" s="10" t="str">
        <f aca="false">Config!$B$4</f>
        <v>general</v>
      </c>
      <c r="J91" s="10" t="str">
        <f aca="false">"https://"&amp;D91&amp;E91&amp;"?utm_source="&amp;F91&amp;"&amp;utm_medium="&amp;G91&amp;"&amp;utm_campaign="&amp;H91&amp;"&amp;utm_content="&amp;I91</f>
        <v>https://ecbtax.com/?utm_source=ai-lens.eu&amp;utm_medium=network&amp;utm_campaign=2610_ff_lansare&amp;utm_content=general</v>
      </c>
    </row>
    <row r="92" customFormat="false" ht="15" hidden="false" customHeight="false" outlineLevel="0" collapsed="false">
      <c r="A92" s="10" t="s">
        <v>62</v>
      </c>
      <c r="B92" s="10" t="str">
        <f aca="false">INDEX('Site-uri'!$B$2:$B$20,MATCH(A92,'Site-uri'!$A$2:$A$20,0))</f>
        <v>aireadyinjector.com</v>
      </c>
      <c r="C92" s="10" t="s">
        <v>46</v>
      </c>
      <c r="D92" s="10" t="str">
        <f aca="false">INDEX('Site-uri'!$B$2:$B$20,MATCH(C92,'Site-uri'!$A$2:$A$20,0))</f>
        <v>5thelement.ai</v>
      </c>
      <c r="E92" s="10" t="str">
        <f aca="false">INDEX('Site-uri'!$C$2:$C$20,MATCH(C92,'Site-uri'!$A$2:$A$20,0))</f>
        <v>/</v>
      </c>
      <c r="F92" s="10" t="str">
        <f aca="false">B92</f>
        <v>aireadyinjector.com</v>
      </c>
      <c r="G92" s="10" t="str">
        <f aca="false">Config!$B$5</f>
        <v>network</v>
      </c>
      <c r="H92" s="10" t="str">
        <f aca="false">Config!$B$3</f>
        <v>2610_ff_lansare</v>
      </c>
      <c r="I92" s="10" t="str">
        <f aca="false">Config!$B$4</f>
        <v>general</v>
      </c>
      <c r="J92" s="10" t="str">
        <f aca="false">"https://"&amp;D92&amp;E92&amp;"?utm_source="&amp;F92&amp;"&amp;utm_medium="&amp;G92&amp;"&amp;utm_campaign="&amp;H92&amp;"&amp;utm_content="&amp;I92</f>
        <v>https://5thelement.ai/?utm_source=aireadyinjector.com&amp;utm_medium=network&amp;utm_campaign=2610_ff_lansare&amp;utm_content=general</v>
      </c>
    </row>
    <row r="93" customFormat="false" ht="15" hidden="false" customHeight="false" outlineLevel="0" collapsed="false">
      <c r="A93" s="10" t="s">
        <v>62</v>
      </c>
      <c r="B93" s="10" t="str">
        <f aca="false">INDEX('Site-uri'!$B$2:$B$20,MATCH(A93,'Site-uri'!$A$2:$A$20,0))</f>
        <v>aireadyinjector.com</v>
      </c>
      <c r="C93" s="10" t="s">
        <v>50</v>
      </c>
      <c r="D93" s="10" t="str">
        <f aca="false">INDEX('Site-uri'!$B$2:$B$20,MATCH(C93,'Site-uri'!$A$2:$A$20,0))</f>
        <v>aiventure.ro</v>
      </c>
      <c r="E93" s="10" t="str">
        <f aca="false">INDEX('Site-uri'!$C$2:$C$20,MATCH(C93,'Site-uri'!$A$2:$A$20,0))</f>
        <v>/</v>
      </c>
      <c r="F93" s="10" t="str">
        <f aca="false">B93</f>
        <v>aireadyinjector.com</v>
      </c>
      <c r="G93" s="10" t="str">
        <f aca="false">Config!$B$5</f>
        <v>network</v>
      </c>
      <c r="H93" s="10" t="str">
        <f aca="false">Config!$B$3</f>
        <v>2610_ff_lansare</v>
      </c>
      <c r="I93" s="10" t="str">
        <f aca="false">Config!$B$4</f>
        <v>general</v>
      </c>
      <c r="J93" s="10" t="str">
        <f aca="false">"https://"&amp;D93&amp;E93&amp;"?utm_source="&amp;F93&amp;"&amp;utm_medium="&amp;G93&amp;"&amp;utm_campaign="&amp;H93&amp;"&amp;utm_content="&amp;I93</f>
        <v>https://aiventure.ro/?utm_source=aireadyinjector.com&amp;utm_medium=network&amp;utm_campaign=2610_ff_lansare&amp;utm_content=general</v>
      </c>
    </row>
    <row r="94" customFormat="false" ht="15" hidden="false" customHeight="false" outlineLevel="0" collapsed="false">
      <c r="A94" s="10" t="s">
        <v>62</v>
      </c>
      <c r="B94" s="10" t="str">
        <f aca="false">INDEX('Site-uri'!$B$2:$B$20,MATCH(A94,'Site-uri'!$A$2:$A$20,0))</f>
        <v>aireadyinjector.com</v>
      </c>
      <c r="C94" s="10" t="s">
        <v>53</v>
      </c>
      <c r="D94" s="10" t="str">
        <f aca="false">INDEX('Site-uri'!$B$2:$B$20,MATCH(C94,'Site-uri'!$A$2:$A$20,0))</f>
        <v>aiventure.uk</v>
      </c>
      <c r="E94" s="10" t="str">
        <f aca="false">INDEX('Site-uri'!$C$2:$C$20,MATCH(C94,'Site-uri'!$A$2:$A$20,0))</f>
        <v>/</v>
      </c>
      <c r="F94" s="10" t="str">
        <f aca="false">B94</f>
        <v>aireadyinjector.com</v>
      </c>
      <c r="G94" s="10" t="str">
        <f aca="false">Config!$B$5</f>
        <v>network</v>
      </c>
      <c r="H94" s="10" t="str">
        <f aca="false">Config!$B$3</f>
        <v>2610_ff_lansare</v>
      </c>
      <c r="I94" s="10" t="str">
        <f aca="false">Config!$B$4</f>
        <v>general</v>
      </c>
      <c r="J94" s="10" t="str">
        <f aca="false">"https://"&amp;D94&amp;E94&amp;"?utm_source="&amp;F94&amp;"&amp;utm_medium="&amp;G94&amp;"&amp;utm_campaign="&amp;H94&amp;"&amp;utm_content="&amp;I94</f>
        <v>https://aiventure.uk/?utm_source=aireadyinjector.com&amp;utm_medium=network&amp;utm_campaign=2610_ff_lansare&amp;utm_content=general</v>
      </c>
    </row>
    <row r="95" customFormat="false" ht="15" hidden="false" customHeight="false" outlineLevel="0" collapsed="false">
      <c r="A95" s="10" t="s">
        <v>62</v>
      </c>
      <c r="B95" s="10" t="str">
        <f aca="false">INDEX('Site-uri'!$B$2:$B$20,MATCH(A95,'Site-uri'!$A$2:$A$20,0))</f>
        <v>aireadyinjector.com</v>
      </c>
      <c r="C95" s="10" t="s">
        <v>56</v>
      </c>
      <c r="D95" s="10" t="str">
        <f aca="false">INDEX('Site-uri'!$B$2:$B$20,MATCH(C95,'Site-uri'!$A$2:$A$20,0))</f>
        <v>3webobs.com</v>
      </c>
      <c r="E95" s="10" t="str">
        <f aca="false">INDEX('Site-uri'!$C$2:$C$20,MATCH(C95,'Site-uri'!$A$2:$A$20,0))</f>
        <v>/</v>
      </c>
      <c r="F95" s="10" t="str">
        <f aca="false">B95</f>
        <v>aireadyinjector.com</v>
      </c>
      <c r="G95" s="10" t="str">
        <f aca="false">Config!$B$5</f>
        <v>network</v>
      </c>
      <c r="H95" s="10" t="str">
        <f aca="false">Config!$B$3</f>
        <v>2610_ff_lansare</v>
      </c>
      <c r="I95" s="10" t="str">
        <f aca="false">Config!$B$4</f>
        <v>general</v>
      </c>
      <c r="J95" s="10" t="str">
        <f aca="false">"https://"&amp;D95&amp;E95&amp;"?utm_source="&amp;F95&amp;"&amp;utm_medium="&amp;G95&amp;"&amp;utm_campaign="&amp;H95&amp;"&amp;utm_content="&amp;I95</f>
        <v>https://3webobs.com/?utm_source=aireadyinjector.com&amp;utm_medium=network&amp;utm_campaign=2610_ff_lansare&amp;utm_content=general</v>
      </c>
    </row>
    <row r="96" customFormat="false" ht="15" hidden="false" customHeight="false" outlineLevel="0" collapsed="false">
      <c r="A96" s="10" t="s">
        <v>62</v>
      </c>
      <c r="B96" s="10" t="str">
        <f aca="false">INDEX('Site-uri'!$B$2:$B$20,MATCH(A96,'Site-uri'!$A$2:$A$20,0))</f>
        <v>aireadyinjector.com</v>
      </c>
      <c r="C96" s="10" t="s">
        <v>59</v>
      </c>
      <c r="D96" s="10" t="str">
        <f aca="false">INDEX('Site-uri'!$B$2:$B$20,MATCH(C96,'Site-uri'!$A$2:$A$20,0))</f>
        <v>ai-lens.eu</v>
      </c>
      <c r="E96" s="10" t="str">
        <f aca="false">INDEX('Site-uri'!$C$2:$C$20,MATCH(C96,'Site-uri'!$A$2:$A$20,0))</f>
        <v>/</v>
      </c>
      <c r="F96" s="10" t="str">
        <f aca="false">B96</f>
        <v>aireadyinjector.com</v>
      </c>
      <c r="G96" s="10" t="str">
        <f aca="false">Config!$B$5</f>
        <v>network</v>
      </c>
      <c r="H96" s="10" t="str">
        <f aca="false">Config!$B$3</f>
        <v>2610_ff_lansare</v>
      </c>
      <c r="I96" s="10" t="str">
        <f aca="false">Config!$B$4</f>
        <v>general</v>
      </c>
      <c r="J96" s="10" t="str">
        <f aca="false">"https://"&amp;D96&amp;E96&amp;"?utm_source="&amp;F96&amp;"&amp;utm_medium="&amp;G96&amp;"&amp;utm_campaign="&amp;H96&amp;"&amp;utm_content="&amp;I96</f>
        <v>https://ai-lens.eu/?utm_source=aireadyinjector.com&amp;utm_medium=network&amp;utm_campaign=2610_ff_lansare&amp;utm_content=general</v>
      </c>
    </row>
    <row r="97" customFormat="false" ht="15" hidden="false" customHeight="false" outlineLevel="0" collapsed="false">
      <c r="A97" s="10" t="s">
        <v>62</v>
      </c>
      <c r="B97" s="10" t="str">
        <f aca="false">INDEX('Site-uri'!$B$2:$B$20,MATCH(A97,'Site-uri'!$A$2:$A$20,0))</f>
        <v>aireadyinjector.com</v>
      </c>
      <c r="C97" s="10" t="s">
        <v>65</v>
      </c>
      <c r="D97" s="10" t="str">
        <f aca="false">INDEX('Site-uri'!$B$2:$B$20,MATCH(C97,'Site-uri'!$A$2:$A$20,0))</f>
        <v>eu-ai-audit.eu</v>
      </c>
      <c r="E97" s="10" t="str">
        <f aca="false">INDEX('Site-uri'!$C$2:$C$20,MATCH(C97,'Site-uri'!$A$2:$A$20,0))</f>
        <v>/</v>
      </c>
      <c r="F97" s="10" t="str">
        <f aca="false">B97</f>
        <v>aireadyinjector.com</v>
      </c>
      <c r="G97" s="10" t="str">
        <f aca="false">Config!$B$5</f>
        <v>network</v>
      </c>
      <c r="H97" s="10" t="str">
        <f aca="false">Config!$B$3</f>
        <v>2610_ff_lansare</v>
      </c>
      <c r="I97" s="10" t="str">
        <f aca="false">Config!$B$4</f>
        <v>general</v>
      </c>
      <c r="J97" s="10" t="str">
        <f aca="false">"https://"&amp;D97&amp;E97&amp;"?utm_source="&amp;F97&amp;"&amp;utm_medium="&amp;G97&amp;"&amp;utm_campaign="&amp;H97&amp;"&amp;utm_content="&amp;I97</f>
        <v>https://eu-ai-audit.eu/?utm_source=aireadyinjector.com&amp;utm_medium=network&amp;utm_campaign=2610_ff_lansare&amp;utm_content=general</v>
      </c>
    </row>
    <row r="98" customFormat="false" ht="15" hidden="false" customHeight="false" outlineLevel="0" collapsed="false">
      <c r="A98" s="10" t="s">
        <v>62</v>
      </c>
      <c r="B98" s="10" t="str">
        <f aca="false">INDEX('Site-uri'!$B$2:$B$20,MATCH(A98,'Site-uri'!$A$2:$A$20,0))</f>
        <v>aireadyinjector.com</v>
      </c>
      <c r="C98" s="10" t="s">
        <v>68</v>
      </c>
      <c r="D98" s="10" t="str">
        <f aca="false">INDEX('Site-uri'!$B$2:$B$20,MATCH(C98,'Site-uri'!$A$2:$A$20,0))</f>
        <v>eu-ai-ready.eu</v>
      </c>
      <c r="E98" s="10" t="str">
        <f aca="false">INDEX('Site-uri'!$C$2:$C$20,MATCH(C98,'Site-uri'!$A$2:$A$20,0))</f>
        <v>/</v>
      </c>
      <c r="F98" s="10" t="str">
        <f aca="false">B98</f>
        <v>aireadyinjector.com</v>
      </c>
      <c r="G98" s="10" t="str">
        <f aca="false">Config!$B$5</f>
        <v>network</v>
      </c>
      <c r="H98" s="10" t="str">
        <f aca="false">Config!$B$3</f>
        <v>2610_ff_lansare</v>
      </c>
      <c r="I98" s="10" t="str">
        <f aca="false">Config!$B$4</f>
        <v>general</v>
      </c>
      <c r="J98" s="10" t="str">
        <f aca="false">"https://"&amp;D98&amp;E98&amp;"?utm_source="&amp;F98&amp;"&amp;utm_medium="&amp;G98&amp;"&amp;utm_campaign="&amp;H98&amp;"&amp;utm_content="&amp;I98</f>
        <v>https://eu-ai-ready.eu/?utm_source=aireadyinjector.com&amp;utm_medium=network&amp;utm_campaign=2610_ff_lansare&amp;utm_content=general</v>
      </c>
    </row>
    <row r="99" customFormat="false" ht="15" hidden="false" customHeight="false" outlineLevel="0" collapsed="false">
      <c r="A99" s="10" t="s">
        <v>62</v>
      </c>
      <c r="B99" s="10" t="str">
        <f aca="false">INDEX('Site-uri'!$B$2:$B$20,MATCH(A99,'Site-uri'!$A$2:$A$20,0))</f>
        <v>aireadyinjector.com</v>
      </c>
      <c r="C99" s="10" t="s">
        <v>70</v>
      </c>
      <c r="D99" s="10" t="str">
        <f aca="false">INDEX('Site-uri'!$B$2:$B$20,MATCH(C99,'Site-uri'!$A$2:$A$20,0))</f>
        <v>eu-ai-act.ro</v>
      </c>
      <c r="E99" s="10" t="str">
        <f aca="false">INDEX('Site-uri'!$C$2:$C$20,MATCH(C99,'Site-uri'!$A$2:$A$20,0))</f>
        <v>/</v>
      </c>
      <c r="F99" s="10" t="str">
        <f aca="false">B99</f>
        <v>aireadyinjector.com</v>
      </c>
      <c r="G99" s="10" t="str">
        <f aca="false">Config!$B$5</f>
        <v>network</v>
      </c>
      <c r="H99" s="10" t="str">
        <f aca="false">Config!$B$3</f>
        <v>2610_ff_lansare</v>
      </c>
      <c r="I99" s="10" t="str">
        <f aca="false">Config!$B$4</f>
        <v>general</v>
      </c>
      <c r="J99" s="10" t="str">
        <f aca="false">"https://"&amp;D99&amp;E99&amp;"?utm_source="&amp;F99&amp;"&amp;utm_medium="&amp;G99&amp;"&amp;utm_campaign="&amp;H99&amp;"&amp;utm_content="&amp;I99</f>
        <v>https://eu-ai-act.ro/?utm_source=aireadyinjector.com&amp;utm_medium=network&amp;utm_campaign=2610_ff_lansare&amp;utm_content=general</v>
      </c>
    </row>
    <row r="100" customFormat="false" ht="15" hidden="false" customHeight="false" outlineLevel="0" collapsed="false">
      <c r="A100" s="10" t="s">
        <v>62</v>
      </c>
      <c r="B100" s="10" t="str">
        <f aca="false">INDEX('Site-uri'!$B$2:$B$20,MATCH(A100,'Site-uri'!$A$2:$A$20,0))</f>
        <v>aireadyinjector.com</v>
      </c>
      <c r="C100" s="10" t="s">
        <v>73</v>
      </c>
      <c r="D100" s="10" t="str">
        <f aca="false">INDEX('Site-uri'!$B$2:$B$20,MATCH(C100,'Site-uri'!$A$2:$A$20,0))</f>
        <v>eu-ai-act-ready.eu</v>
      </c>
      <c r="E100" s="10" t="str">
        <f aca="false">INDEX('Site-uri'!$C$2:$C$20,MATCH(C100,'Site-uri'!$A$2:$A$20,0))</f>
        <v>/</v>
      </c>
      <c r="F100" s="10" t="str">
        <f aca="false">B100</f>
        <v>aireadyinjector.com</v>
      </c>
      <c r="G100" s="10" t="str">
        <f aca="false">Config!$B$5</f>
        <v>network</v>
      </c>
      <c r="H100" s="10" t="str">
        <f aca="false">Config!$B$3</f>
        <v>2610_ff_lansare</v>
      </c>
      <c r="I100" s="10" t="str">
        <f aca="false">Config!$B$4</f>
        <v>general</v>
      </c>
      <c r="J100" s="10" t="str">
        <f aca="false">"https://"&amp;D100&amp;E100&amp;"?utm_source="&amp;F100&amp;"&amp;utm_medium="&amp;G100&amp;"&amp;utm_campaign="&amp;H100&amp;"&amp;utm_content="&amp;I100</f>
        <v>https://eu-ai-act-ready.eu/?utm_source=aireadyinjector.com&amp;utm_medium=network&amp;utm_campaign=2610_ff_lansare&amp;utm_content=general</v>
      </c>
    </row>
    <row r="101" customFormat="false" ht="15" hidden="false" customHeight="false" outlineLevel="0" collapsed="false">
      <c r="A101" s="10" t="s">
        <v>62</v>
      </c>
      <c r="B101" s="10" t="str">
        <f aca="false">INDEX('Site-uri'!$B$2:$B$20,MATCH(A101,'Site-uri'!$A$2:$A$20,0))</f>
        <v>aireadyinjector.com</v>
      </c>
      <c r="C101" s="10" t="s">
        <v>76</v>
      </c>
      <c r="D101" s="10" t="str">
        <f aca="false">INDEX('Site-uri'!$B$2:$B$20,MATCH(C101,'Site-uri'!$A$2:$A$20,0))</f>
        <v>eu-112.ro</v>
      </c>
      <c r="E101" s="10" t="str">
        <f aca="false">INDEX('Site-uri'!$C$2:$C$20,MATCH(C101,'Site-uri'!$A$2:$A$20,0))</f>
        <v>/</v>
      </c>
      <c r="F101" s="10" t="str">
        <f aca="false">B101</f>
        <v>aireadyinjector.com</v>
      </c>
      <c r="G101" s="10" t="str">
        <f aca="false">Config!$B$5</f>
        <v>network</v>
      </c>
      <c r="H101" s="10" t="str">
        <f aca="false">Config!$B$3</f>
        <v>2610_ff_lansare</v>
      </c>
      <c r="I101" s="10" t="str">
        <f aca="false">Config!$B$4</f>
        <v>general</v>
      </c>
      <c r="J101" s="10" t="str">
        <f aca="false">"https://"&amp;D101&amp;E101&amp;"?utm_source="&amp;F101&amp;"&amp;utm_medium="&amp;G101&amp;"&amp;utm_campaign="&amp;H101&amp;"&amp;utm_content="&amp;I101</f>
        <v>https://eu-112.ro/?utm_source=aireadyinjector.com&amp;utm_medium=network&amp;utm_campaign=2610_ff_lansare&amp;utm_content=general</v>
      </c>
    </row>
    <row r="102" customFormat="false" ht="15" hidden="false" customHeight="false" outlineLevel="0" collapsed="false">
      <c r="A102" s="10" t="s">
        <v>62</v>
      </c>
      <c r="B102" s="10" t="str">
        <f aca="false">INDEX('Site-uri'!$B$2:$B$20,MATCH(A102,'Site-uri'!$A$2:$A$20,0))</f>
        <v>aireadyinjector.com</v>
      </c>
      <c r="C102" s="10" t="s">
        <v>79</v>
      </c>
      <c r="D102" s="10" t="str">
        <f aca="false">INDEX('Site-uri'!$B$2:$B$20,MATCH(C102,'Site-uri'!$A$2:$A$20,0))</f>
        <v>eu-112.eu</v>
      </c>
      <c r="E102" s="10" t="str">
        <f aca="false">INDEX('Site-uri'!$C$2:$C$20,MATCH(C102,'Site-uri'!$A$2:$A$20,0))</f>
        <v>/</v>
      </c>
      <c r="F102" s="10" t="str">
        <f aca="false">B102</f>
        <v>aireadyinjector.com</v>
      </c>
      <c r="G102" s="10" t="str">
        <f aca="false">Config!$B$5</f>
        <v>network</v>
      </c>
      <c r="H102" s="10" t="str">
        <f aca="false">Config!$B$3</f>
        <v>2610_ff_lansare</v>
      </c>
      <c r="I102" s="10" t="str">
        <f aca="false">Config!$B$4</f>
        <v>general</v>
      </c>
      <c r="J102" s="10" t="str">
        <f aca="false">"https://"&amp;D102&amp;E102&amp;"?utm_source="&amp;F102&amp;"&amp;utm_medium="&amp;G102&amp;"&amp;utm_campaign="&amp;H102&amp;"&amp;utm_content="&amp;I102</f>
        <v>https://eu-112.eu/?utm_source=aireadyinjector.com&amp;utm_medium=network&amp;utm_campaign=2610_ff_lansare&amp;utm_content=general</v>
      </c>
    </row>
    <row r="103" customFormat="false" ht="15" hidden="false" customHeight="false" outlineLevel="0" collapsed="false">
      <c r="A103" s="10" t="s">
        <v>62</v>
      </c>
      <c r="B103" s="10" t="str">
        <f aca="false">INDEX('Site-uri'!$B$2:$B$20,MATCH(A103,'Site-uri'!$A$2:$A$20,0))</f>
        <v>aireadyinjector.com</v>
      </c>
      <c r="C103" s="10" t="s">
        <v>82</v>
      </c>
      <c r="D103" s="10" t="str">
        <f aca="false">INDEX('Site-uri'!$B$2:$B$20,MATCH(C103,'Site-uri'!$A$2:$A$20,0))</f>
        <v>1clic-ia.eu</v>
      </c>
      <c r="E103" s="10" t="str">
        <f aca="false">INDEX('Site-uri'!$C$2:$C$20,MATCH(C103,'Site-uri'!$A$2:$A$20,0))</f>
        <v>/</v>
      </c>
      <c r="F103" s="10" t="str">
        <f aca="false">B103</f>
        <v>aireadyinjector.com</v>
      </c>
      <c r="G103" s="10" t="str">
        <f aca="false">Config!$B$5</f>
        <v>network</v>
      </c>
      <c r="H103" s="10" t="str">
        <f aca="false">Config!$B$3</f>
        <v>2610_ff_lansare</v>
      </c>
      <c r="I103" s="10" t="str">
        <f aca="false">Config!$B$4</f>
        <v>general</v>
      </c>
      <c r="J103" s="10" t="str">
        <f aca="false">"https://"&amp;D103&amp;E103&amp;"?utm_source="&amp;F103&amp;"&amp;utm_medium="&amp;G103&amp;"&amp;utm_campaign="&amp;H103&amp;"&amp;utm_content="&amp;I103</f>
        <v>https://1clic-ia.eu/?utm_source=aireadyinjector.com&amp;utm_medium=network&amp;utm_campaign=2610_ff_lansare&amp;utm_content=general</v>
      </c>
    </row>
    <row r="104" customFormat="false" ht="15" hidden="false" customHeight="false" outlineLevel="0" collapsed="false">
      <c r="A104" s="10" t="s">
        <v>62</v>
      </c>
      <c r="B104" s="10" t="str">
        <f aca="false">INDEX('Site-uri'!$B$2:$B$20,MATCH(A104,'Site-uri'!$A$2:$A$20,0))</f>
        <v>aireadyinjector.com</v>
      </c>
      <c r="C104" s="10" t="s">
        <v>85</v>
      </c>
      <c r="D104" s="10" t="str">
        <f aca="false">INDEX('Site-uri'!$B$2:$B$20,MATCH(C104,'Site-uri'!$A$2:$A$20,0))</f>
        <v>1clic-ia.fr</v>
      </c>
      <c r="E104" s="10" t="str">
        <f aca="false">INDEX('Site-uri'!$C$2:$C$20,MATCH(C104,'Site-uri'!$A$2:$A$20,0))</f>
        <v>/</v>
      </c>
      <c r="F104" s="10" t="str">
        <f aca="false">B104</f>
        <v>aireadyinjector.com</v>
      </c>
      <c r="G104" s="10" t="str">
        <f aca="false">Config!$B$5</f>
        <v>network</v>
      </c>
      <c r="H104" s="10" t="str">
        <f aca="false">Config!$B$3</f>
        <v>2610_ff_lansare</v>
      </c>
      <c r="I104" s="10" t="str">
        <f aca="false">Config!$B$4</f>
        <v>general</v>
      </c>
      <c r="J104" s="10" t="str">
        <f aca="false">"https://"&amp;D104&amp;E104&amp;"?utm_source="&amp;F104&amp;"&amp;utm_medium="&amp;G104&amp;"&amp;utm_campaign="&amp;H104&amp;"&amp;utm_content="&amp;I104</f>
        <v>https://1clic-ia.fr/?utm_source=aireadyinjector.com&amp;utm_medium=network&amp;utm_campaign=2610_ff_lansare&amp;utm_content=general</v>
      </c>
    </row>
    <row r="105" customFormat="false" ht="15" hidden="false" customHeight="false" outlineLevel="0" collapsed="false">
      <c r="A105" s="10" t="s">
        <v>62</v>
      </c>
      <c r="B105" s="10" t="str">
        <f aca="false">INDEX('Site-uri'!$B$2:$B$20,MATCH(A105,'Site-uri'!$A$2:$A$20,0))</f>
        <v>aireadyinjector.com</v>
      </c>
      <c r="C105" s="10" t="s">
        <v>87</v>
      </c>
      <c r="D105" s="10" t="str">
        <f aca="false">INDEX('Site-uri'!$B$2:$B$20,MATCH(C105,'Site-uri'!$A$2:$A$20,0))</f>
        <v>firmsfinder.eu</v>
      </c>
      <c r="E105" s="10" t="str">
        <f aca="false">INDEX('Site-uri'!$C$2:$C$20,MATCH(C105,'Site-uri'!$A$2:$A$20,0))</f>
        <v>/</v>
      </c>
      <c r="F105" s="10" t="str">
        <f aca="false">B105</f>
        <v>aireadyinjector.com</v>
      </c>
      <c r="G105" s="10" t="str">
        <f aca="false">Config!$B$5</f>
        <v>network</v>
      </c>
      <c r="H105" s="10" t="str">
        <f aca="false">Config!$B$3</f>
        <v>2610_ff_lansare</v>
      </c>
      <c r="I105" s="10" t="str">
        <f aca="false">Config!$B$4</f>
        <v>general</v>
      </c>
      <c r="J105" s="10" t="str">
        <f aca="false">"https://"&amp;D105&amp;E105&amp;"?utm_source="&amp;F105&amp;"&amp;utm_medium="&amp;G105&amp;"&amp;utm_campaign="&amp;H105&amp;"&amp;utm_content="&amp;I105</f>
        <v>https://firmsfinder.eu/?utm_source=aireadyinjector.com&amp;utm_medium=network&amp;utm_campaign=2610_ff_lansare&amp;utm_content=general</v>
      </c>
    </row>
    <row r="106" customFormat="false" ht="15" hidden="false" customHeight="false" outlineLevel="0" collapsed="false">
      <c r="A106" s="10" t="s">
        <v>62</v>
      </c>
      <c r="B106" s="10" t="str">
        <f aca="false">INDEX('Site-uri'!$B$2:$B$20,MATCH(A106,'Site-uri'!$A$2:$A$20,0))</f>
        <v>aireadyinjector.com</v>
      </c>
      <c r="C106" s="10" t="s">
        <v>90</v>
      </c>
      <c r="D106" s="10" t="str">
        <f aca="false">INDEX('Site-uri'!$B$2:$B$20,MATCH(C106,'Site-uri'!$A$2:$A$20,0))</f>
        <v>b2b-ai-library.org</v>
      </c>
      <c r="E106" s="10" t="str">
        <f aca="false">INDEX('Site-uri'!$C$2:$C$20,MATCH(C106,'Site-uri'!$A$2:$A$20,0))</f>
        <v>/</v>
      </c>
      <c r="F106" s="10" t="str">
        <f aca="false">B106</f>
        <v>aireadyinjector.com</v>
      </c>
      <c r="G106" s="10" t="str">
        <f aca="false">Config!$B$5</f>
        <v>network</v>
      </c>
      <c r="H106" s="10" t="str">
        <f aca="false">Config!$B$3</f>
        <v>2610_ff_lansare</v>
      </c>
      <c r="I106" s="10" t="str">
        <f aca="false">Config!$B$4</f>
        <v>general</v>
      </c>
      <c r="J106" s="10" t="str">
        <f aca="false">"https://"&amp;D106&amp;E106&amp;"?utm_source="&amp;F106&amp;"&amp;utm_medium="&amp;G106&amp;"&amp;utm_campaign="&amp;H106&amp;"&amp;utm_content="&amp;I106</f>
        <v>https://b2b-ai-library.org/?utm_source=aireadyinjector.com&amp;utm_medium=network&amp;utm_campaign=2610_ff_lansare&amp;utm_content=general</v>
      </c>
    </row>
    <row r="107" customFormat="false" ht="15" hidden="false" customHeight="false" outlineLevel="0" collapsed="false">
      <c r="A107" s="10" t="s">
        <v>62</v>
      </c>
      <c r="B107" s="10" t="str">
        <f aca="false">INDEX('Site-uri'!$B$2:$B$20,MATCH(A107,'Site-uri'!$A$2:$A$20,0))</f>
        <v>aireadyinjector.com</v>
      </c>
      <c r="C107" s="10" t="s">
        <v>92</v>
      </c>
      <c r="D107" s="10" t="str">
        <f aca="false">INDEX('Site-uri'!$B$2:$B$20,MATCH(C107,'Site-uri'!$A$2:$A$20,0))</f>
        <v>the3webs.com</v>
      </c>
      <c r="E107" s="10" t="str">
        <f aca="false">INDEX('Site-uri'!$C$2:$C$20,MATCH(C107,'Site-uri'!$A$2:$A$20,0))</f>
        <v>/</v>
      </c>
      <c r="F107" s="10" t="str">
        <f aca="false">B107</f>
        <v>aireadyinjector.com</v>
      </c>
      <c r="G107" s="10" t="str">
        <f aca="false">Config!$B$5</f>
        <v>network</v>
      </c>
      <c r="H107" s="10" t="str">
        <f aca="false">Config!$B$3</f>
        <v>2610_ff_lansare</v>
      </c>
      <c r="I107" s="10" t="str">
        <f aca="false">Config!$B$4</f>
        <v>general</v>
      </c>
      <c r="J107" s="10" t="str">
        <f aca="false">"https://"&amp;D107&amp;E107&amp;"?utm_source="&amp;F107&amp;"&amp;utm_medium="&amp;G107&amp;"&amp;utm_campaign="&amp;H107&amp;"&amp;utm_content="&amp;I107</f>
        <v>https://the3webs.com/?utm_source=aireadyinjector.com&amp;utm_medium=network&amp;utm_campaign=2610_ff_lansare&amp;utm_content=general</v>
      </c>
    </row>
    <row r="108" customFormat="false" ht="15" hidden="false" customHeight="false" outlineLevel="0" collapsed="false">
      <c r="A108" s="10" t="s">
        <v>62</v>
      </c>
      <c r="B108" s="10" t="str">
        <f aca="false">INDEX('Site-uri'!$B$2:$B$20,MATCH(A108,'Site-uri'!$A$2:$A$20,0))</f>
        <v>aireadyinjector.com</v>
      </c>
      <c r="C108" s="10" t="s">
        <v>95</v>
      </c>
      <c r="D108" s="10" t="str">
        <f aca="false">INDEX('Site-uri'!$B$2:$B$20,MATCH(C108,'Site-uri'!$A$2:$A$20,0))</f>
        <v>floride-e2.com</v>
      </c>
      <c r="E108" s="10" t="str">
        <f aca="false">INDEX('Site-uri'!$C$2:$C$20,MATCH(C108,'Site-uri'!$A$2:$A$20,0))</f>
        <v>/</v>
      </c>
      <c r="F108" s="10" t="str">
        <f aca="false">B108</f>
        <v>aireadyinjector.com</v>
      </c>
      <c r="G108" s="10" t="str">
        <f aca="false">Config!$B$5</f>
        <v>network</v>
      </c>
      <c r="H108" s="10" t="str">
        <f aca="false">Config!$B$3</f>
        <v>2610_ff_lansare</v>
      </c>
      <c r="I108" s="10" t="str">
        <f aca="false">Config!$B$4</f>
        <v>general</v>
      </c>
      <c r="J108" s="10" t="str">
        <f aca="false">"https://"&amp;D108&amp;E108&amp;"?utm_source="&amp;F108&amp;"&amp;utm_medium="&amp;G108&amp;"&amp;utm_campaign="&amp;H108&amp;"&amp;utm_content="&amp;I108</f>
        <v>https://floride-e2.com/?utm_source=aireadyinjector.com&amp;utm_medium=network&amp;utm_campaign=2610_ff_lansare&amp;utm_content=general</v>
      </c>
    </row>
    <row r="109" customFormat="false" ht="15" hidden="false" customHeight="false" outlineLevel="0" collapsed="false">
      <c r="A109" s="10" t="s">
        <v>62</v>
      </c>
      <c r="B109" s="10" t="str">
        <f aca="false">INDEX('Site-uri'!$B$2:$B$20,MATCH(A109,'Site-uri'!$A$2:$A$20,0))</f>
        <v>aireadyinjector.com</v>
      </c>
      <c r="C109" s="10" t="s">
        <v>97</v>
      </c>
      <c r="D109" s="10" t="str">
        <f aca="false">INDEX('Site-uri'!$B$2:$B$20,MATCH(C109,'Site-uri'!$A$2:$A$20,0))</f>
        <v>ecbtax.com</v>
      </c>
      <c r="E109" s="10" t="str">
        <f aca="false">INDEX('Site-uri'!$C$2:$C$20,MATCH(C109,'Site-uri'!$A$2:$A$20,0))</f>
        <v>/</v>
      </c>
      <c r="F109" s="10" t="str">
        <f aca="false">B109</f>
        <v>aireadyinjector.com</v>
      </c>
      <c r="G109" s="10" t="str">
        <f aca="false">Config!$B$5</f>
        <v>network</v>
      </c>
      <c r="H109" s="10" t="str">
        <f aca="false">Config!$B$3</f>
        <v>2610_ff_lansare</v>
      </c>
      <c r="I109" s="10" t="str">
        <f aca="false">Config!$B$4</f>
        <v>general</v>
      </c>
      <c r="J109" s="10" t="str">
        <f aca="false">"https://"&amp;D109&amp;E109&amp;"?utm_source="&amp;F109&amp;"&amp;utm_medium="&amp;G109&amp;"&amp;utm_campaign="&amp;H109&amp;"&amp;utm_content="&amp;I109</f>
        <v>https://ecbtax.com/?utm_source=aireadyinjector.com&amp;utm_medium=network&amp;utm_campaign=2610_ff_lansare&amp;utm_content=general</v>
      </c>
    </row>
    <row r="110" customFormat="false" ht="15" hidden="false" customHeight="false" outlineLevel="0" collapsed="false">
      <c r="A110" s="10" t="s">
        <v>65</v>
      </c>
      <c r="B110" s="10" t="str">
        <f aca="false">INDEX('Site-uri'!$B$2:$B$20,MATCH(A110,'Site-uri'!$A$2:$A$20,0))</f>
        <v>eu-ai-audit.eu</v>
      </c>
      <c r="C110" s="10" t="s">
        <v>46</v>
      </c>
      <c r="D110" s="10" t="str">
        <f aca="false">INDEX('Site-uri'!$B$2:$B$20,MATCH(C110,'Site-uri'!$A$2:$A$20,0))</f>
        <v>5thelement.ai</v>
      </c>
      <c r="E110" s="10" t="str">
        <f aca="false">INDEX('Site-uri'!$C$2:$C$20,MATCH(C110,'Site-uri'!$A$2:$A$20,0))</f>
        <v>/</v>
      </c>
      <c r="F110" s="10" t="str">
        <f aca="false">B110</f>
        <v>eu-ai-audit.eu</v>
      </c>
      <c r="G110" s="10" t="str">
        <f aca="false">Config!$B$5</f>
        <v>network</v>
      </c>
      <c r="H110" s="10" t="str">
        <f aca="false">Config!$B$3</f>
        <v>2610_ff_lansare</v>
      </c>
      <c r="I110" s="10" t="str">
        <f aca="false">Config!$B$4</f>
        <v>general</v>
      </c>
      <c r="J110" s="10" t="str">
        <f aca="false">"https://"&amp;D110&amp;E110&amp;"?utm_source="&amp;F110&amp;"&amp;utm_medium="&amp;G110&amp;"&amp;utm_campaign="&amp;H110&amp;"&amp;utm_content="&amp;I110</f>
        <v>https://5thelement.ai/?utm_source=eu-ai-audit.eu&amp;utm_medium=network&amp;utm_campaign=2610_ff_lansare&amp;utm_content=general</v>
      </c>
    </row>
    <row r="111" customFormat="false" ht="15" hidden="false" customHeight="false" outlineLevel="0" collapsed="false">
      <c r="A111" s="10" t="s">
        <v>65</v>
      </c>
      <c r="B111" s="10" t="str">
        <f aca="false">INDEX('Site-uri'!$B$2:$B$20,MATCH(A111,'Site-uri'!$A$2:$A$20,0))</f>
        <v>eu-ai-audit.eu</v>
      </c>
      <c r="C111" s="10" t="s">
        <v>50</v>
      </c>
      <c r="D111" s="10" t="str">
        <f aca="false">INDEX('Site-uri'!$B$2:$B$20,MATCH(C111,'Site-uri'!$A$2:$A$20,0))</f>
        <v>aiventure.ro</v>
      </c>
      <c r="E111" s="10" t="str">
        <f aca="false">INDEX('Site-uri'!$C$2:$C$20,MATCH(C111,'Site-uri'!$A$2:$A$20,0))</f>
        <v>/</v>
      </c>
      <c r="F111" s="10" t="str">
        <f aca="false">B111</f>
        <v>eu-ai-audit.eu</v>
      </c>
      <c r="G111" s="10" t="str">
        <f aca="false">Config!$B$5</f>
        <v>network</v>
      </c>
      <c r="H111" s="10" t="str">
        <f aca="false">Config!$B$3</f>
        <v>2610_ff_lansare</v>
      </c>
      <c r="I111" s="10" t="str">
        <f aca="false">Config!$B$4</f>
        <v>general</v>
      </c>
      <c r="J111" s="10" t="str">
        <f aca="false">"https://"&amp;D111&amp;E111&amp;"?utm_source="&amp;F111&amp;"&amp;utm_medium="&amp;G111&amp;"&amp;utm_campaign="&amp;H111&amp;"&amp;utm_content="&amp;I111</f>
        <v>https://aiventure.ro/?utm_source=eu-ai-audit.eu&amp;utm_medium=network&amp;utm_campaign=2610_ff_lansare&amp;utm_content=general</v>
      </c>
    </row>
    <row r="112" customFormat="false" ht="15" hidden="false" customHeight="false" outlineLevel="0" collapsed="false">
      <c r="A112" s="10" t="s">
        <v>65</v>
      </c>
      <c r="B112" s="10" t="str">
        <f aca="false">INDEX('Site-uri'!$B$2:$B$20,MATCH(A112,'Site-uri'!$A$2:$A$20,0))</f>
        <v>eu-ai-audit.eu</v>
      </c>
      <c r="C112" s="10" t="s">
        <v>53</v>
      </c>
      <c r="D112" s="10" t="str">
        <f aca="false">INDEX('Site-uri'!$B$2:$B$20,MATCH(C112,'Site-uri'!$A$2:$A$20,0))</f>
        <v>aiventure.uk</v>
      </c>
      <c r="E112" s="10" t="str">
        <f aca="false">INDEX('Site-uri'!$C$2:$C$20,MATCH(C112,'Site-uri'!$A$2:$A$20,0))</f>
        <v>/</v>
      </c>
      <c r="F112" s="10" t="str">
        <f aca="false">B112</f>
        <v>eu-ai-audit.eu</v>
      </c>
      <c r="G112" s="10" t="str">
        <f aca="false">Config!$B$5</f>
        <v>network</v>
      </c>
      <c r="H112" s="10" t="str">
        <f aca="false">Config!$B$3</f>
        <v>2610_ff_lansare</v>
      </c>
      <c r="I112" s="10" t="str">
        <f aca="false">Config!$B$4</f>
        <v>general</v>
      </c>
      <c r="J112" s="10" t="str">
        <f aca="false">"https://"&amp;D112&amp;E112&amp;"?utm_source="&amp;F112&amp;"&amp;utm_medium="&amp;G112&amp;"&amp;utm_campaign="&amp;H112&amp;"&amp;utm_content="&amp;I112</f>
        <v>https://aiventure.uk/?utm_source=eu-ai-audit.eu&amp;utm_medium=network&amp;utm_campaign=2610_ff_lansare&amp;utm_content=general</v>
      </c>
    </row>
    <row r="113" customFormat="false" ht="15" hidden="false" customHeight="false" outlineLevel="0" collapsed="false">
      <c r="A113" s="10" t="s">
        <v>65</v>
      </c>
      <c r="B113" s="10" t="str">
        <f aca="false">INDEX('Site-uri'!$B$2:$B$20,MATCH(A113,'Site-uri'!$A$2:$A$20,0))</f>
        <v>eu-ai-audit.eu</v>
      </c>
      <c r="C113" s="10" t="s">
        <v>56</v>
      </c>
      <c r="D113" s="10" t="str">
        <f aca="false">INDEX('Site-uri'!$B$2:$B$20,MATCH(C113,'Site-uri'!$A$2:$A$20,0))</f>
        <v>3webobs.com</v>
      </c>
      <c r="E113" s="10" t="str">
        <f aca="false">INDEX('Site-uri'!$C$2:$C$20,MATCH(C113,'Site-uri'!$A$2:$A$20,0))</f>
        <v>/</v>
      </c>
      <c r="F113" s="10" t="str">
        <f aca="false">B113</f>
        <v>eu-ai-audit.eu</v>
      </c>
      <c r="G113" s="10" t="str">
        <f aca="false">Config!$B$5</f>
        <v>network</v>
      </c>
      <c r="H113" s="10" t="str">
        <f aca="false">Config!$B$3</f>
        <v>2610_ff_lansare</v>
      </c>
      <c r="I113" s="10" t="str">
        <f aca="false">Config!$B$4</f>
        <v>general</v>
      </c>
      <c r="J113" s="10" t="str">
        <f aca="false">"https://"&amp;D113&amp;E113&amp;"?utm_source="&amp;F113&amp;"&amp;utm_medium="&amp;G113&amp;"&amp;utm_campaign="&amp;H113&amp;"&amp;utm_content="&amp;I113</f>
        <v>https://3webobs.com/?utm_source=eu-ai-audit.eu&amp;utm_medium=network&amp;utm_campaign=2610_ff_lansare&amp;utm_content=general</v>
      </c>
    </row>
    <row r="114" customFormat="false" ht="15" hidden="false" customHeight="false" outlineLevel="0" collapsed="false">
      <c r="A114" s="10" t="s">
        <v>65</v>
      </c>
      <c r="B114" s="10" t="str">
        <f aca="false">INDEX('Site-uri'!$B$2:$B$20,MATCH(A114,'Site-uri'!$A$2:$A$20,0))</f>
        <v>eu-ai-audit.eu</v>
      </c>
      <c r="C114" s="10" t="s">
        <v>59</v>
      </c>
      <c r="D114" s="10" t="str">
        <f aca="false">INDEX('Site-uri'!$B$2:$B$20,MATCH(C114,'Site-uri'!$A$2:$A$20,0))</f>
        <v>ai-lens.eu</v>
      </c>
      <c r="E114" s="10" t="str">
        <f aca="false">INDEX('Site-uri'!$C$2:$C$20,MATCH(C114,'Site-uri'!$A$2:$A$20,0))</f>
        <v>/</v>
      </c>
      <c r="F114" s="10" t="str">
        <f aca="false">B114</f>
        <v>eu-ai-audit.eu</v>
      </c>
      <c r="G114" s="10" t="str">
        <f aca="false">Config!$B$5</f>
        <v>network</v>
      </c>
      <c r="H114" s="10" t="str">
        <f aca="false">Config!$B$3</f>
        <v>2610_ff_lansare</v>
      </c>
      <c r="I114" s="10" t="str">
        <f aca="false">Config!$B$4</f>
        <v>general</v>
      </c>
      <c r="J114" s="10" t="str">
        <f aca="false">"https://"&amp;D114&amp;E114&amp;"?utm_source="&amp;F114&amp;"&amp;utm_medium="&amp;G114&amp;"&amp;utm_campaign="&amp;H114&amp;"&amp;utm_content="&amp;I114</f>
        <v>https://ai-lens.eu/?utm_source=eu-ai-audit.eu&amp;utm_medium=network&amp;utm_campaign=2610_ff_lansare&amp;utm_content=general</v>
      </c>
    </row>
    <row r="115" customFormat="false" ht="15" hidden="false" customHeight="false" outlineLevel="0" collapsed="false">
      <c r="A115" s="10" t="s">
        <v>65</v>
      </c>
      <c r="B115" s="10" t="str">
        <f aca="false">INDEX('Site-uri'!$B$2:$B$20,MATCH(A115,'Site-uri'!$A$2:$A$20,0))</f>
        <v>eu-ai-audit.eu</v>
      </c>
      <c r="C115" s="10" t="s">
        <v>62</v>
      </c>
      <c r="D115" s="10" t="str">
        <f aca="false">INDEX('Site-uri'!$B$2:$B$20,MATCH(C115,'Site-uri'!$A$2:$A$20,0))</f>
        <v>aireadyinjector.com</v>
      </c>
      <c r="E115" s="10" t="str">
        <f aca="false">INDEX('Site-uri'!$C$2:$C$20,MATCH(C115,'Site-uri'!$A$2:$A$20,0))</f>
        <v>/</v>
      </c>
      <c r="F115" s="10" t="str">
        <f aca="false">B115</f>
        <v>eu-ai-audit.eu</v>
      </c>
      <c r="G115" s="10" t="str">
        <f aca="false">Config!$B$5</f>
        <v>network</v>
      </c>
      <c r="H115" s="10" t="str">
        <f aca="false">Config!$B$3</f>
        <v>2610_ff_lansare</v>
      </c>
      <c r="I115" s="10" t="str">
        <f aca="false">Config!$B$4</f>
        <v>general</v>
      </c>
      <c r="J115" s="10" t="str">
        <f aca="false">"https://"&amp;D115&amp;E115&amp;"?utm_source="&amp;F115&amp;"&amp;utm_medium="&amp;G115&amp;"&amp;utm_campaign="&amp;H115&amp;"&amp;utm_content="&amp;I115</f>
        <v>https://aireadyinjector.com/?utm_source=eu-ai-audit.eu&amp;utm_medium=network&amp;utm_campaign=2610_ff_lansare&amp;utm_content=general</v>
      </c>
    </row>
    <row r="116" customFormat="false" ht="15" hidden="false" customHeight="false" outlineLevel="0" collapsed="false">
      <c r="A116" s="10" t="s">
        <v>65</v>
      </c>
      <c r="B116" s="10" t="str">
        <f aca="false">INDEX('Site-uri'!$B$2:$B$20,MATCH(A116,'Site-uri'!$A$2:$A$20,0))</f>
        <v>eu-ai-audit.eu</v>
      </c>
      <c r="C116" s="10" t="s">
        <v>68</v>
      </c>
      <c r="D116" s="10" t="str">
        <f aca="false">INDEX('Site-uri'!$B$2:$B$20,MATCH(C116,'Site-uri'!$A$2:$A$20,0))</f>
        <v>eu-ai-ready.eu</v>
      </c>
      <c r="E116" s="10" t="str">
        <f aca="false">INDEX('Site-uri'!$C$2:$C$20,MATCH(C116,'Site-uri'!$A$2:$A$20,0))</f>
        <v>/</v>
      </c>
      <c r="F116" s="10" t="str">
        <f aca="false">B116</f>
        <v>eu-ai-audit.eu</v>
      </c>
      <c r="G116" s="10" t="str">
        <f aca="false">Config!$B$5</f>
        <v>network</v>
      </c>
      <c r="H116" s="10" t="str">
        <f aca="false">Config!$B$3</f>
        <v>2610_ff_lansare</v>
      </c>
      <c r="I116" s="10" t="str">
        <f aca="false">Config!$B$4</f>
        <v>general</v>
      </c>
      <c r="J116" s="10" t="str">
        <f aca="false">"https://"&amp;D116&amp;E116&amp;"?utm_source="&amp;F116&amp;"&amp;utm_medium="&amp;G116&amp;"&amp;utm_campaign="&amp;H116&amp;"&amp;utm_content="&amp;I116</f>
        <v>https://eu-ai-ready.eu/?utm_source=eu-ai-audit.eu&amp;utm_medium=network&amp;utm_campaign=2610_ff_lansare&amp;utm_content=general</v>
      </c>
    </row>
    <row r="117" customFormat="false" ht="15" hidden="false" customHeight="false" outlineLevel="0" collapsed="false">
      <c r="A117" s="10" t="s">
        <v>65</v>
      </c>
      <c r="B117" s="10" t="str">
        <f aca="false">INDEX('Site-uri'!$B$2:$B$20,MATCH(A117,'Site-uri'!$A$2:$A$20,0))</f>
        <v>eu-ai-audit.eu</v>
      </c>
      <c r="C117" s="10" t="s">
        <v>70</v>
      </c>
      <c r="D117" s="10" t="str">
        <f aca="false">INDEX('Site-uri'!$B$2:$B$20,MATCH(C117,'Site-uri'!$A$2:$A$20,0))</f>
        <v>eu-ai-act.ro</v>
      </c>
      <c r="E117" s="10" t="str">
        <f aca="false">INDEX('Site-uri'!$C$2:$C$20,MATCH(C117,'Site-uri'!$A$2:$A$20,0))</f>
        <v>/</v>
      </c>
      <c r="F117" s="10" t="str">
        <f aca="false">B117</f>
        <v>eu-ai-audit.eu</v>
      </c>
      <c r="G117" s="10" t="str">
        <f aca="false">Config!$B$5</f>
        <v>network</v>
      </c>
      <c r="H117" s="10" t="str">
        <f aca="false">Config!$B$3</f>
        <v>2610_ff_lansare</v>
      </c>
      <c r="I117" s="10" t="str">
        <f aca="false">Config!$B$4</f>
        <v>general</v>
      </c>
      <c r="J117" s="10" t="str">
        <f aca="false">"https://"&amp;D117&amp;E117&amp;"?utm_source="&amp;F117&amp;"&amp;utm_medium="&amp;G117&amp;"&amp;utm_campaign="&amp;H117&amp;"&amp;utm_content="&amp;I117</f>
        <v>https://eu-ai-act.ro/?utm_source=eu-ai-audit.eu&amp;utm_medium=network&amp;utm_campaign=2610_ff_lansare&amp;utm_content=general</v>
      </c>
    </row>
    <row r="118" customFormat="false" ht="15" hidden="false" customHeight="false" outlineLevel="0" collapsed="false">
      <c r="A118" s="10" t="s">
        <v>65</v>
      </c>
      <c r="B118" s="10" t="str">
        <f aca="false">INDEX('Site-uri'!$B$2:$B$20,MATCH(A118,'Site-uri'!$A$2:$A$20,0))</f>
        <v>eu-ai-audit.eu</v>
      </c>
      <c r="C118" s="10" t="s">
        <v>73</v>
      </c>
      <c r="D118" s="10" t="str">
        <f aca="false">INDEX('Site-uri'!$B$2:$B$20,MATCH(C118,'Site-uri'!$A$2:$A$20,0))</f>
        <v>eu-ai-act-ready.eu</v>
      </c>
      <c r="E118" s="10" t="str">
        <f aca="false">INDEX('Site-uri'!$C$2:$C$20,MATCH(C118,'Site-uri'!$A$2:$A$20,0))</f>
        <v>/</v>
      </c>
      <c r="F118" s="10" t="str">
        <f aca="false">B118</f>
        <v>eu-ai-audit.eu</v>
      </c>
      <c r="G118" s="10" t="str">
        <f aca="false">Config!$B$5</f>
        <v>network</v>
      </c>
      <c r="H118" s="10" t="str">
        <f aca="false">Config!$B$3</f>
        <v>2610_ff_lansare</v>
      </c>
      <c r="I118" s="10" t="str">
        <f aca="false">Config!$B$4</f>
        <v>general</v>
      </c>
      <c r="J118" s="10" t="str">
        <f aca="false">"https://"&amp;D118&amp;E118&amp;"?utm_source="&amp;F118&amp;"&amp;utm_medium="&amp;G118&amp;"&amp;utm_campaign="&amp;H118&amp;"&amp;utm_content="&amp;I118</f>
        <v>https://eu-ai-act-ready.eu/?utm_source=eu-ai-audit.eu&amp;utm_medium=network&amp;utm_campaign=2610_ff_lansare&amp;utm_content=general</v>
      </c>
    </row>
    <row r="119" customFormat="false" ht="15" hidden="false" customHeight="false" outlineLevel="0" collapsed="false">
      <c r="A119" s="10" t="s">
        <v>65</v>
      </c>
      <c r="B119" s="10" t="str">
        <f aca="false">INDEX('Site-uri'!$B$2:$B$20,MATCH(A119,'Site-uri'!$A$2:$A$20,0))</f>
        <v>eu-ai-audit.eu</v>
      </c>
      <c r="C119" s="10" t="s">
        <v>76</v>
      </c>
      <c r="D119" s="10" t="str">
        <f aca="false">INDEX('Site-uri'!$B$2:$B$20,MATCH(C119,'Site-uri'!$A$2:$A$20,0))</f>
        <v>eu-112.ro</v>
      </c>
      <c r="E119" s="10" t="str">
        <f aca="false">INDEX('Site-uri'!$C$2:$C$20,MATCH(C119,'Site-uri'!$A$2:$A$20,0))</f>
        <v>/</v>
      </c>
      <c r="F119" s="10" t="str">
        <f aca="false">B119</f>
        <v>eu-ai-audit.eu</v>
      </c>
      <c r="G119" s="10" t="str">
        <f aca="false">Config!$B$5</f>
        <v>network</v>
      </c>
      <c r="H119" s="10" t="str">
        <f aca="false">Config!$B$3</f>
        <v>2610_ff_lansare</v>
      </c>
      <c r="I119" s="10" t="str">
        <f aca="false">Config!$B$4</f>
        <v>general</v>
      </c>
      <c r="J119" s="10" t="str">
        <f aca="false">"https://"&amp;D119&amp;E119&amp;"?utm_source="&amp;F119&amp;"&amp;utm_medium="&amp;G119&amp;"&amp;utm_campaign="&amp;H119&amp;"&amp;utm_content="&amp;I119</f>
        <v>https://eu-112.ro/?utm_source=eu-ai-audit.eu&amp;utm_medium=network&amp;utm_campaign=2610_ff_lansare&amp;utm_content=general</v>
      </c>
    </row>
    <row r="120" customFormat="false" ht="15" hidden="false" customHeight="false" outlineLevel="0" collapsed="false">
      <c r="A120" s="10" t="s">
        <v>65</v>
      </c>
      <c r="B120" s="10" t="str">
        <f aca="false">INDEX('Site-uri'!$B$2:$B$20,MATCH(A120,'Site-uri'!$A$2:$A$20,0))</f>
        <v>eu-ai-audit.eu</v>
      </c>
      <c r="C120" s="10" t="s">
        <v>79</v>
      </c>
      <c r="D120" s="10" t="str">
        <f aca="false">INDEX('Site-uri'!$B$2:$B$20,MATCH(C120,'Site-uri'!$A$2:$A$20,0))</f>
        <v>eu-112.eu</v>
      </c>
      <c r="E120" s="10" t="str">
        <f aca="false">INDEX('Site-uri'!$C$2:$C$20,MATCH(C120,'Site-uri'!$A$2:$A$20,0))</f>
        <v>/</v>
      </c>
      <c r="F120" s="10" t="str">
        <f aca="false">B120</f>
        <v>eu-ai-audit.eu</v>
      </c>
      <c r="G120" s="10" t="str">
        <f aca="false">Config!$B$5</f>
        <v>network</v>
      </c>
      <c r="H120" s="10" t="str">
        <f aca="false">Config!$B$3</f>
        <v>2610_ff_lansare</v>
      </c>
      <c r="I120" s="10" t="str">
        <f aca="false">Config!$B$4</f>
        <v>general</v>
      </c>
      <c r="J120" s="10" t="str">
        <f aca="false">"https://"&amp;D120&amp;E120&amp;"?utm_source="&amp;F120&amp;"&amp;utm_medium="&amp;G120&amp;"&amp;utm_campaign="&amp;H120&amp;"&amp;utm_content="&amp;I120</f>
        <v>https://eu-112.eu/?utm_source=eu-ai-audit.eu&amp;utm_medium=network&amp;utm_campaign=2610_ff_lansare&amp;utm_content=general</v>
      </c>
    </row>
    <row r="121" customFormat="false" ht="15" hidden="false" customHeight="false" outlineLevel="0" collapsed="false">
      <c r="A121" s="10" t="s">
        <v>65</v>
      </c>
      <c r="B121" s="10" t="str">
        <f aca="false">INDEX('Site-uri'!$B$2:$B$20,MATCH(A121,'Site-uri'!$A$2:$A$20,0))</f>
        <v>eu-ai-audit.eu</v>
      </c>
      <c r="C121" s="10" t="s">
        <v>82</v>
      </c>
      <c r="D121" s="10" t="str">
        <f aca="false">INDEX('Site-uri'!$B$2:$B$20,MATCH(C121,'Site-uri'!$A$2:$A$20,0))</f>
        <v>1clic-ia.eu</v>
      </c>
      <c r="E121" s="10" t="str">
        <f aca="false">INDEX('Site-uri'!$C$2:$C$20,MATCH(C121,'Site-uri'!$A$2:$A$20,0))</f>
        <v>/</v>
      </c>
      <c r="F121" s="10" t="str">
        <f aca="false">B121</f>
        <v>eu-ai-audit.eu</v>
      </c>
      <c r="G121" s="10" t="str">
        <f aca="false">Config!$B$5</f>
        <v>network</v>
      </c>
      <c r="H121" s="10" t="str">
        <f aca="false">Config!$B$3</f>
        <v>2610_ff_lansare</v>
      </c>
      <c r="I121" s="10" t="str">
        <f aca="false">Config!$B$4</f>
        <v>general</v>
      </c>
      <c r="J121" s="10" t="str">
        <f aca="false">"https://"&amp;D121&amp;E121&amp;"?utm_source="&amp;F121&amp;"&amp;utm_medium="&amp;G121&amp;"&amp;utm_campaign="&amp;H121&amp;"&amp;utm_content="&amp;I121</f>
        <v>https://1clic-ia.eu/?utm_source=eu-ai-audit.eu&amp;utm_medium=network&amp;utm_campaign=2610_ff_lansare&amp;utm_content=general</v>
      </c>
    </row>
    <row r="122" customFormat="false" ht="15" hidden="false" customHeight="false" outlineLevel="0" collapsed="false">
      <c r="A122" s="10" t="s">
        <v>65</v>
      </c>
      <c r="B122" s="10" t="str">
        <f aca="false">INDEX('Site-uri'!$B$2:$B$20,MATCH(A122,'Site-uri'!$A$2:$A$20,0))</f>
        <v>eu-ai-audit.eu</v>
      </c>
      <c r="C122" s="10" t="s">
        <v>85</v>
      </c>
      <c r="D122" s="10" t="str">
        <f aca="false">INDEX('Site-uri'!$B$2:$B$20,MATCH(C122,'Site-uri'!$A$2:$A$20,0))</f>
        <v>1clic-ia.fr</v>
      </c>
      <c r="E122" s="10" t="str">
        <f aca="false">INDEX('Site-uri'!$C$2:$C$20,MATCH(C122,'Site-uri'!$A$2:$A$20,0))</f>
        <v>/</v>
      </c>
      <c r="F122" s="10" t="str">
        <f aca="false">B122</f>
        <v>eu-ai-audit.eu</v>
      </c>
      <c r="G122" s="10" t="str">
        <f aca="false">Config!$B$5</f>
        <v>network</v>
      </c>
      <c r="H122" s="10" t="str">
        <f aca="false">Config!$B$3</f>
        <v>2610_ff_lansare</v>
      </c>
      <c r="I122" s="10" t="str">
        <f aca="false">Config!$B$4</f>
        <v>general</v>
      </c>
      <c r="J122" s="10" t="str">
        <f aca="false">"https://"&amp;D122&amp;E122&amp;"?utm_source="&amp;F122&amp;"&amp;utm_medium="&amp;G122&amp;"&amp;utm_campaign="&amp;H122&amp;"&amp;utm_content="&amp;I122</f>
        <v>https://1clic-ia.fr/?utm_source=eu-ai-audit.eu&amp;utm_medium=network&amp;utm_campaign=2610_ff_lansare&amp;utm_content=general</v>
      </c>
    </row>
    <row r="123" customFormat="false" ht="15" hidden="false" customHeight="false" outlineLevel="0" collapsed="false">
      <c r="A123" s="10" t="s">
        <v>65</v>
      </c>
      <c r="B123" s="10" t="str">
        <f aca="false">INDEX('Site-uri'!$B$2:$B$20,MATCH(A123,'Site-uri'!$A$2:$A$20,0))</f>
        <v>eu-ai-audit.eu</v>
      </c>
      <c r="C123" s="10" t="s">
        <v>87</v>
      </c>
      <c r="D123" s="10" t="str">
        <f aca="false">INDEX('Site-uri'!$B$2:$B$20,MATCH(C123,'Site-uri'!$A$2:$A$20,0))</f>
        <v>firmsfinder.eu</v>
      </c>
      <c r="E123" s="10" t="str">
        <f aca="false">INDEX('Site-uri'!$C$2:$C$20,MATCH(C123,'Site-uri'!$A$2:$A$20,0))</f>
        <v>/</v>
      </c>
      <c r="F123" s="10" t="str">
        <f aca="false">B123</f>
        <v>eu-ai-audit.eu</v>
      </c>
      <c r="G123" s="10" t="str">
        <f aca="false">Config!$B$5</f>
        <v>network</v>
      </c>
      <c r="H123" s="10" t="str">
        <f aca="false">Config!$B$3</f>
        <v>2610_ff_lansare</v>
      </c>
      <c r="I123" s="10" t="str">
        <f aca="false">Config!$B$4</f>
        <v>general</v>
      </c>
      <c r="J123" s="10" t="str">
        <f aca="false">"https://"&amp;D123&amp;E123&amp;"?utm_source="&amp;F123&amp;"&amp;utm_medium="&amp;G123&amp;"&amp;utm_campaign="&amp;H123&amp;"&amp;utm_content="&amp;I123</f>
        <v>https://firmsfinder.eu/?utm_source=eu-ai-audit.eu&amp;utm_medium=network&amp;utm_campaign=2610_ff_lansare&amp;utm_content=general</v>
      </c>
    </row>
    <row r="124" customFormat="false" ht="15" hidden="false" customHeight="false" outlineLevel="0" collapsed="false">
      <c r="A124" s="10" t="s">
        <v>65</v>
      </c>
      <c r="B124" s="10" t="str">
        <f aca="false">INDEX('Site-uri'!$B$2:$B$20,MATCH(A124,'Site-uri'!$A$2:$A$20,0))</f>
        <v>eu-ai-audit.eu</v>
      </c>
      <c r="C124" s="10" t="s">
        <v>90</v>
      </c>
      <c r="D124" s="10" t="str">
        <f aca="false">INDEX('Site-uri'!$B$2:$B$20,MATCH(C124,'Site-uri'!$A$2:$A$20,0))</f>
        <v>b2b-ai-library.org</v>
      </c>
      <c r="E124" s="10" t="str">
        <f aca="false">INDEX('Site-uri'!$C$2:$C$20,MATCH(C124,'Site-uri'!$A$2:$A$20,0))</f>
        <v>/</v>
      </c>
      <c r="F124" s="10" t="str">
        <f aca="false">B124</f>
        <v>eu-ai-audit.eu</v>
      </c>
      <c r="G124" s="10" t="str">
        <f aca="false">Config!$B$5</f>
        <v>network</v>
      </c>
      <c r="H124" s="10" t="str">
        <f aca="false">Config!$B$3</f>
        <v>2610_ff_lansare</v>
      </c>
      <c r="I124" s="10" t="str">
        <f aca="false">Config!$B$4</f>
        <v>general</v>
      </c>
      <c r="J124" s="10" t="str">
        <f aca="false">"https://"&amp;D124&amp;E124&amp;"?utm_source="&amp;F124&amp;"&amp;utm_medium="&amp;G124&amp;"&amp;utm_campaign="&amp;H124&amp;"&amp;utm_content="&amp;I124</f>
        <v>https://b2b-ai-library.org/?utm_source=eu-ai-audit.eu&amp;utm_medium=network&amp;utm_campaign=2610_ff_lansare&amp;utm_content=general</v>
      </c>
    </row>
    <row r="125" customFormat="false" ht="15" hidden="false" customHeight="false" outlineLevel="0" collapsed="false">
      <c r="A125" s="10" t="s">
        <v>65</v>
      </c>
      <c r="B125" s="10" t="str">
        <f aca="false">INDEX('Site-uri'!$B$2:$B$20,MATCH(A125,'Site-uri'!$A$2:$A$20,0))</f>
        <v>eu-ai-audit.eu</v>
      </c>
      <c r="C125" s="10" t="s">
        <v>92</v>
      </c>
      <c r="D125" s="10" t="str">
        <f aca="false">INDEX('Site-uri'!$B$2:$B$20,MATCH(C125,'Site-uri'!$A$2:$A$20,0))</f>
        <v>the3webs.com</v>
      </c>
      <c r="E125" s="10" t="str">
        <f aca="false">INDEX('Site-uri'!$C$2:$C$20,MATCH(C125,'Site-uri'!$A$2:$A$20,0))</f>
        <v>/</v>
      </c>
      <c r="F125" s="10" t="str">
        <f aca="false">B125</f>
        <v>eu-ai-audit.eu</v>
      </c>
      <c r="G125" s="10" t="str">
        <f aca="false">Config!$B$5</f>
        <v>network</v>
      </c>
      <c r="H125" s="10" t="str">
        <f aca="false">Config!$B$3</f>
        <v>2610_ff_lansare</v>
      </c>
      <c r="I125" s="10" t="str">
        <f aca="false">Config!$B$4</f>
        <v>general</v>
      </c>
      <c r="J125" s="10" t="str">
        <f aca="false">"https://"&amp;D125&amp;E125&amp;"?utm_source="&amp;F125&amp;"&amp;utm_medium="&amp;G125&amp;"&amp;utm_campaign="&amp;H125&amp;"&amp;utm_content="&amp;I125</f>
        <v>https://the3webs.com/?utm_source=eu-ai-audit.eu&amp;utm_medium=network&amp;utm_campaign=2610_ff_lansare&amp;utm_content=general</v>
      </c>
    </row>
    <row r="126" customFormat="false" ht="15" hidden="false" customHeight="false" outlineLevel="0" collapsed="false">
      <c r="A126" s="10" t="s">
        <v>65</v>
      </c>
      <c r="B126" s="10" t="str">
        <f aca="false">INDEX('Site-uri'!$B$2:$B$20,MATCH(A126,'Site-uri'!$A$2:$A$20,0))</f>
        <v>eu-ai-audit.eu</v>
      </c>
      <c r="C126" s="10" t="s">
        <v>95</v>
      </c>
      <c r="D126" s="10" t="str">
        <f aca="false">INDEX('Site-uri'!$B$2:$B$20,MATCH(C126,'Site-uri'!$A$2:$A$20,0))</f>
        <v>floride-e2.com</v>
      </c>
      <c r="E126" s="10" t="str">
        <f aca="false">INDEX('Site-uri'!$C$2:$C$20,MATCH(C126,'Site-uri'!$A$2:$A$20,0))</f>
        <v>/</v>
      </c>
      <c r="F126" s="10" t="str">
        <f aca="false">B126</f>
        <v>eu-ai-audit.eu</v>
      </c>
      <c r="G126" s="10" t="str">
        <f aca="false">Config!$B$5</f>
        <v>network</v>
      </c>
      <c r="H126" s="10" t="str">
        <f aca="false">Config!$B$3</f>
        <v>2610_ff_lansare</v>
      </c>
      <c r="I126" s="10" t="str">
        <f aca="false">Config!$B$4</f>
        <v>general</v>
      </c>
      <c r="J126" s="10" t="str">
        <f aca="false">"https://"&amp;D126&amp;E126&amp;"?utm_source="&amp;F126&amp;"&amp;utm_medium="&amp;G126&amp;"&amp;utm_campaign="&amp;H126&amp;"&amp;utm_content="&amp;I126</f>
        <v>https://floride-e2.com/?utm_source=eu-ai-audit.eu&amp;utm_medium=network&amp;utm_campaign=2610_ff_lansare&amp;utm_content=general</v>
      </c>
    </row>
    <row r="127" customFormat="false" ht="15" hidden="false" customHeight="false" outlineLevel="0" collapsed="false">
      <c r="A127" s="10" t="s">
        <v>65</v>
      </c>
      <c r="B127" s="10" t="str">
        <f aca="false">INDEX('Site-uri'!$B$2:$B$20,MATCH(A127,'Site-uri'!$A$2:$A$20,0))</f>
        <v>eu-ai-audit.eu</v>
      </c>
      <c r="C127" s="10" t="s">
        <v>97</v>
      </c>
      <c r="D127" s="10" t="str">
        <f aca="false">INDEX('Site-uri'!$B$2:$B$20,MATCH(C127,'Site-uri'!$A$2:$A$20,0))</f>
        <v>ecbtax.com</v>
      </c>
      <c r="E127" s="10" t="str">
        <f aca="false">INDEX('Site-uri'!$C$2:$C$20,MATCH(C127,'Site-uri'!$A$2:$A$20,0))</f>
        <v>/</v>
      </c>
      <c r="F127" s="10" t="str">
        <f aca="false">B127</f>
        <v>eu-ai-audit.eu</v>
      </c>
      <c r="G127" s="10" t="str">
        <f aca="false">Config!$B$5</f>
        <v>network</v>
      </c>
      <c r="H127" s="10" t="str">
        <f aca="false">Config!$B$3</f>
        <v>2610_ff_lansare</v>
      </c>
      <c r="I127" s="10" t="str">
        <f aca="false">Config!$B$4</f>
        <v>general</v>
      </c>
      <c r="J127" s="10" t="str">
        <f aca="false">"https://"&amp;D127&amp;E127&amp;"?utm_source="&amp;F127&amp;"&amp;utm_medium="&amp;G127&amp;"&amp;utm_campaign="&amp;H127&amp;"&amp;utm_content="&amp;I127</f>
        <v>https://ecbtax.com/?utm_source=eu-ai-audit.eu&amp;utm_medium=network&amp;utm_campaign=2610_ff_lansare&amp;utm_content=general</v>
      </c>
    </row>
    <row r="128" customFormat="false" ht="15" hidden="false" customHeight="false" outlineLevel="0" collapsed="false">
      <c r="A128" s="10" t="s">
        <v>68</v>
      </c>
      <c r="B128" s="10" t="str">
        <f aca="false">INDEX('Site-uri'!$B$2:$B$20,MATCH(A128,'Site-uri'!$A$2:$A$20,0))</f>
        <v>eu-ai-ready.eu</v>
      </c>
      <c r="C128" s="10" t="s">
        <v>46</v>
      </c>
      <c r="D128" s="10" t="str">
        <f aca="false">INDEX('Site-uri'!$B$2:$B$20,MATCH(C128,'Site-uri'!$A$2:$A$20,0))</f>
        <v>5thelement.ai</v>
      </c>
      <c r="E128" s="10" t="str">
        <f aca="false">INDEX('Site-uri'!$C$2:$C$20,MATCH(C128,'Site-uri'!$A$2:$A$20,0))</f>
        <v>/</v>
      </c>
      <c r="F128" s="10" t="str">
        <f aca="false">B128</f>
        <v>eu-ai-ready.eu</v>
      </c>
      <c r="G128" s="10" t="str">
        <f aca="false">Config!$B$5</f>
        <v>network</v>
      </c>
      <c r="H128" s="10" t="str">
        <f aca="false">Config!$B$3</f>
        <v>2610_ff_lansare</v>
      </c>
      <c r="I128" s="10" t="str">
        <f aca="false">Config!$B$4</f>
        <v>general</v>
      </c>
      <c r="J128" s="10" t="str">
        <f aca="false">"https://"&amp;D128&amp;E128&amp;"?utm_source="&amp;F128&amp;"&amp;utm_medium="&amp;G128&amp;"&amp;utm_campaign="&amp;H128&amp;"&amp;utm_content="&amp;I128</f>
        <v>https://5thelement.ai/?utm_source=eu-ai-ready.eu&amp;utm_medium=network&amp;utm_campaign=2610_ff_lansare&amp;utm_content=general</v>
      </c>
    </row>
    <row r="129" customFormat="false" ht="15" hidden="false" customHeight="false" outlineLevel="0" collapsed="false">
      <c r="A129" s="10" t="s">
        <v>68</v>
      </c>
      <c r="B129" s="10" t="str">
        <f aca="false">INDEX('Site-uri'!$B$2:$B$20,MATCH(A129,'Site-uri'!$A$2:$A$20,0))</f>
        <v>eu-ai-ready.eu</v>
      </c>
      <c r="C129" s="10" t="s">
        <v>50</v>
      </c>
      <c r="D129" s="10" t="str">
        <f aca="false">INDEX('Site-uri'!$B$2:$B$20,MATCH(C129,'Site-uri'!$A$2:$A$20,0))</f>
        <v>aiventure.ro</v>
      </c>
      <c r="E129" s="10" t="str">
        <f aca="false">INDEX('Site-uri'!$C$2:$C$20,MATCH(C129,'Site-uri'!$A$2:$A$20,0))</f>
        <v>/</v>
      </c>
      <c r="F129" s="10" t="str">
        <f aca="false">B129</f>
        <v>eu-ai-ready.eu</v>
      </c>
      <c r="G129" s="10" t="str">
        <f aca="false">Config!$B$5</f>
        <v>network</v>
      </c>
      <c r="H129" s="10" t="str">
        <f aca="false">Config!$B$3</f>
        <v>2610_ff_lansare</v>
      </c>
      <c r="I129" s="10" t="str">
        <f aca="false">Config!$B$4</f>
        <v>general</v>
      </c>
      <c r="J129" s="10" t="str">
        <f aca="false">"https://"&amp;D129&amp;E129&amp;"?utm_source="&amp;F129&amp;"&amp;utm_medium="&amp;G129&amp;"&amp;utm_campaign="&amp;H129&amp;"&amp;utm_content="&amp;I129</f>
        <v>https://aiventure.ro/?utm_source=eu-ai-ready.eu&amp;utm_medium=network&amp;utm_campaign=2610_ff_lansare&amp;utm_content=general</v>
      </c>
    </row>
    <row r="130" customFormat="false" ht="15" hidden="false" customHeight="false" outlineLevel="0" collapsed="false">
      <c r="A130" s="10" t="s">
        <v>68</v>
      </c>
      <c r="B130" s="10" t="str">
        <f aca="false">INDEX('Site-uri'!$B$2:$B$20,MATCH(A130,'Site-uri'!$A$2:$A$20,0))</f>
        <v>eu-ai-ready.eu</v>
      </c>
      <c r="C130" s="10" t="s">
        <v>53</v>
      </c>
      <c r="D130" s="10" t="str">
        <f aca="false">INDEX('Site-uri'!$B$2:$B$20,MATCH(C130,'Site-uri'!$A$2:$A$20,0))</f>
        <v>aiventure.uk</v>
      </c>
      <c r="E130" s="10" t="str">
        <f aca="false">INDEX('Site-uri'!$C$2:$C$20,MATCH(C130,'Site-uri'!$A$2:$A$20,0))</f>
        <v>/</v>
      </c>
      <c r="F130" s="10" t="str">
        <f aca="false">B130</f>
        <v>eu-ai-ready.eu</v>
      </c>
      <c r="G130" s="10" t="str">
        <f aca="false">Config!$B$5</f>
        <v>network</v>
      </c>
      <c r="H130" s="10" t="str">
        <f aca="false">Config!$B$3</f>
        <v>2610_ff_lansare</v>
      </c>
      <c r="I130" s="10" t="str">
        <f aca="false">Config!$B$4</f>
        <v>general</v>
      </c>
      <c r="J130" s="10" t="str">
        <f aca="false">"https://"&amp;D130&amp;E130&amp;"?utm_source="&amp;F130&amp;"&amp;utm_medium="&amp;G130&amp;"&amp;utm_campaign="&amp;H130&amp;"&amp;utm_content="&amp;I130</f>
        <v>https://aiventure.uk/?utm_source=eu-ai-ready.eu&amp;utm_medium=network&amp;utm_campaign=2610_ff_lansare&amp;utm_content=general</v>
      </c>
    </row>
    <row r="131" customFormat="false" ht="15" hidden="false" customHeight="false" outlineLevel="0" collapsed="false">
      <c r="A131" s="10" t="s">
        <v>68</v>
      </c>
      <c r="B131" s="10" t="str">
        <f aca="false">INDEX('Site-uri'!$B$2:$B$20,MATCH(A131,'Site-uri'!$A$2:$A$20,0))</f>
        <v>eu-ai-ready.eu</v>
      </c>
      <c r="C131" s="10" t="s">
        <v>56</v>
      </c>
      <c r="D131" s="10" t="str">
        <f aca="false">INDEX('Site-uri'!$B$2:$B$20,MATCH(C131,'Site-uri'!$A$2:$A$20,0))</f>
        <v>3webobs.com</v>
      </c>
      <c r="E131" s="10" t="str">
        <f aca="false">INDEX('Site-uri'!$C$2:$C$20,MATCH(C131,'Site-uri'!$A$2:$A$20,0))</f>
        <v>/</v>
      </c>
      <c r="F131" s="10" t="str">
        <f aca="false">B131</f>
        <v>eu-ai-ready.eu</v>
      </c>
      <c r="G131" s="10" t="str">
        <f aca="false">Config!$B$5</f>
        <v>network</v>
      </c>
      <c r="H131" s="10" t="str">
        <f aca="false">Config!$B$3</f>
        <v>2610_ff_lansare</v>
      </c>
      <c r="I131" s="10" t="str">
        <f aca="false">Config!$B$4</f>
        <v>general</v>
      </c>
      <c r="J131" s="10" t="str">
        <f aca="false">"https://"&amp;D131&amp;E131&amp;"?utm_source="&amp;F131&amp;"&amp;utm_medium="&amp;G131&amp;"&amp;utm_campaign="&amp;H131&amp;"&amp;utm_content="&amp;I131</f>
        <v>https://3webobs.com/?utm_source=eu-ai-ready.eu&amp;utm_medium=network&amp;utm_campaign=2610_ff_lansare&amp;utm_content=general</v>
      </c>
    </row>
    <row r="132" customFormat="false" ht="15" hidden="false" customHeight="false" outlineLevel="0" collapsed="false">
      <c r="A132" s="10" t="s">
        <v>68</v>
      </c>
      <c r="B132" s="10" t="str">
        <f aca="false">INDEX('Site-uri'!$B$2:$B$20,MATCH(A132,'Site-uri'!$A$2:$A$20,0))</f>
        <v>eu-ai-ready.eu</v>
      </c>
      <c r="C132" s="10" t="s">
        <v>59</v>
      </c>
      <c r="D132" s="10" t="str">
        <f aca="false">INDEX('Site-uri'!$B$2:$B$20,MATCH(C132,'Site-uri'!$A$2:$A$20,0))</f>
        <v>ai-lens.eu</v>
      </c>
      <c r="E132" s="10" t="str">
        <f aca="false">INDEX('Site-uri'!$C$2:$C$20,MATCH(C132,'Site-uri'!$A$2:$A$20,0))</f>
        <v>/</v>
      </c>
      <c r="F132" s="10" t="str">
        <f aca="false">B132</f>
        <v>eu-ai-ready.eu</v>
      </c>
      <c r="G132" s="10" t="str">
        <f aca="false">Config!$B$5</f>
        <v>network</v>
      </c>
      <c r="H132" s="10" t="str">
        <f aca="false">Config!$B$3</f>
        <v>2610_ff_lansare</v>
      </c>
      <c r="I132" s="10" t="str">
        <f aca="false">Config!$B$4</f>
        <v>general</v>
      </c>
      <c r="J132" s="10" t="str">
        <f aca="false">"https://"&amp;D132&amp;E132&amp;"?utm_source="&amp;F132&amp;"&amp;utm_medium="&amp;G132&amp;"&amp;utm_campaign="&amp;H132&amp;"&amp;utm_content="&amp;I132</f>
        <v>https://ai-lens.eu/?utm_source=eu-ai-ready.eu&amp;utm_medium=network&amp;utm_campaign=2610_ff_lansare&amp;utm_content=general</v>
      </c>
    </row>
    <row r="133" customFormat="false" ht="15" hidden="false" customHeight="false" outlineLevel="0" collapsed="false">
      <c r="A133" s="10" t="s">
        <v>68</v>
      </c>
      <c r="B133" s="10" t="str">
        <f aca="false">INDEX('Site-uri'!$B$2:$B$20,MATCH(A133,'Site-uri'!$A$2:$A$20,0))</f>
        <v>eu-ai-ready.eu</v>
      </c>
      <c r="C133" s="10" t="s">
        <v>62</v>
      </c>
      <c r="D133" s="10" t="str">
        <f aca="false">INDEX('Site-uri'!$B$2:$B$20,MATCH(C133,'Site-uri'!$A$2:$A$20,0))</f>
        <v>aireadyinjector.com</v>
      </c>
      <c r="E133" s="10" t="str">
        <f aca="false">INDEX('Site-uri'!$C$2:$C$20,MATCH(C133,'Site-uri'!$A$2:$A$20,0))</f>
        <v>/</v>
      </c>
      <c r="F133" s="10" t="str">
        <f aca="false">B133</f>
        <v>eu-ai-ready.eu</v>
      </c>
      <c r="G133" s="10" t="str">
        <f aca="false">Config!$B$5</f>
        <v>network</v>
      </c>
      <c r="H133" s="10" t="str">
        <f aca="false">Config!$B$3</f>
        <v>2610_ff_lansare</v>
      </c>
      <c r="I133" s="10" t="str">
        <f aca="false">Config!$B$4</f>
        <v>general</v>
      </c>
      <c r="J133" s="10" t="str">
        <f aca="false">"https://"&amp;D133&amp;E133&amp;"?utm_source="&amp;F133&amp;"&amp;utm_medium="&amp;G133&amp;"&amp;utm_campaign="&amp;H133&amp;"&amp;utm_content="&amp;I133</f>
        <v>https://aireadyinjector.com/?utm_source=eu-ai-ready.eu&amp;utm_medium=network&amp;utm_campaign=2610_ff_lansare&amp;utm_content=general</v>
      </c>
    </row>
    <row r="134" customFormat="false" ht="15" hidden="false" customHeight="false" outlineLevel="0" collapsed="false">
      <c r="A134" s="10" t="s">
        <v>68</v>
      </c>
      <c r="B134" s="10" t="str">
        <f aca="false">INDEX('Site-uri'!$B$2:$B$20,MATCH(A134,'Site-uri'!$A$2:$A$20,0))</f>
        <v>eu-ai-ready.eu</v>
      </c>
      <c r="C134" s="10" t="s">
        <v>65</v>
      </c>
      <c r="D134" s="10" t="str">
        <f aca="false">INDEX('Site-uri'!$B$2:$B$20,MATCH(C134,'Site-uri'!$A$2:$A$20,0))</f>
        <v>eu-ai-audit.eu</v>
      </c>
      <c r="E134" s="10" t="str">
        <f aca="false">INDEX('Site-uri'!$C$2:$C$20,MATCH(C134,'Site-uri'!$A$2:$A$20,0))</f>
        <v>/</v>
      </c>
      <c r="F134" s="10" t="str">
        <f aca="false">B134</f>
        <v>eu-ai-ready.eu</v>
      </c>
      <c r="G134" s="10" t="str">
        <f aca="false">Config!$B$5</f>
        <v>network</v>
      </c>
      <c r="H134" s="10" t="str">
        <f aca="false">Config!$B$3</f>
        <v>2610_ff_lansare</v>
      </c>
      <c r="I134" s="10" t="str">
        <f aca="false">Config!$B$4</f>
        <v>general</v>
      </c>
      <c r="J134" s="10" t="str">
        <f aca="false">"https://"&amp;D134&amp;E134&amp;"?utm_source="&amp;F134&amp;"&amp;utm_medium="&amp;G134&amp;"&amp;utm_campaign="&amp;H134&amp;"&amp;utm_content="&amp;I134</f>
        <v>https://eu-ai-audit.eu/?utm_source=eu-ai-ready.eu&amp;utm_medium=network&amp;utm_campaign=2610_ff_lansare&amp;utm_content=general</v>
      </c>
    </row>
    <row r="135" customFormat="false" ht="15" hidden="false" customHeight="false" outlineLevel="0" collapsed="false">
      <c r="A135" s="10" t="s">
        <v>68</v>
      </c>
      <c r="B135" s="10" t="str">
        <f aca="false">INDEX('Site-uri'!$B$2:$B$20,MATCH(A135,'Site-uri'!$A$2:$A$20,0))</f>
        <v>eu-ai-ready.eu</v>
      </c>
      <c r="C135" s="10" t="s">
        <v>70</v>
      </c>
      <c r="D135" s="10" t="str">
        <f aca="false">INDEX('Site-uri'!$B$2:$B$20,MATCH(C135,'Site-uri'!$A$2:$A$20,0))</f>
        <v>eu-ai-act.ro</v>
      </c>
      <c r="E135" s="10" t="str">
        <f aca="false">INDEX('Site-uri'!$C$2:$C$20,MATCH(C135,'Site-uri'!$A$2:$A$20,0))</f>
        <v>/</v>
      </c>
      <c r="F135" s="10" t="str">
        <f aca="false">B135</f>
        <v>eu-ai-ready.eu</v>
      </c>
      <c r="G135" s="10" t="str">
        <f aca="false">Config!$B$5</f>
        <v>network</v>
      </c>
      <c r="H135" s="10" t="str">
        <f aca="false">Config!$B$3</f>
        <v>2610_ff_lansare</v>
      </c>
      <c r="I135" s="10" t="str">
        <f aca="false">Config!$B$4</f>
        <v>general</v>
      </c>
      <c r="J135" s="10" t="str">
        <f aca="false">"https://"&amp;D135&amp;E135&amp;"?utm_source="&amp;F135&amp;"&amp;utm_medium="&amp;G135&amp;"&amp;utm_campaign="&amp;H135&amp;"&amp;utm_content="&amp;I135</f>
        <v>https://eu-ai-act.ro/?utm_source=eu-ai-ready.eu&amp;utm_medium=network&amp;utm_campaign=2610_ff_lansare&amp;utm_content=general</v>
      </c>
    </row>
    <row r="136" customFormat="false" ht="15" hidden="false" customHeight="false" outlineLevel="0" collapsed="false">
      <c r="A136" s="10" t="s">
        <v>68</v>
      </c>
      <c r="B136" s="10" t="str">
        <f aca="false">INDEX('Site-uri'!$B$2:$B$20,MATCH(A136,'Site-uri'!$A$2:$A$20,0))</f>
        <v>eu-ai-ready.eu</v>
      </c>
      <c r="C136" s="10" t="s">
        <v>73</v>
      </c>
      <c r="D136" s="10" t="str">
        <f aca="false">INDEX('Site-uri'!$B$2:$B$20,MATCH(C136,'Site-uri'!$A$2:$A$20,0))</f>
        <v>eu-ai-act-ready.eu</v>
      </c>
      <c r="E136" s="10" t="str">
        <f aca="false">INDEX('Site-uri'!$C$2:$C$20,MATCH(C136,'Site-uri'!$A$2:$A$20,0))</f>
        <v>/</v>
      </c>
      <c r="F136" s="10" t="str">
        <f aca="false">B136</f>
        <v>eu-ai-ready.eu</v>
      </c>
      <c r="G136" s="10" t="str">
        <f aca="false">Config!$B$5</f>
        <v>network</v>
      </c>
      <c r="H136" s="10" t="str">
        <f aca="false">Config!$B$3</f>
        <v>2610_ff_lansare</v>
      </c>
      <c r="I136" s="10" t="str">
        <f aca="false">Config!$B$4</f>
        <v>general</v>
      </c>
      <c r="J136" s="10" t="str">
        <f aca="false">"https://"&amp;D136&amp;E136&amp;"?utm_source="&amp;F136&amp;"&amp;utm_medium="&amp;G136&amp;"&amp;utm_campaign="&amp;H136&amp;"&amp;utm_content="&amp;I136</f>
        <v>https://eu-ai-act-ready.eu/?utm_source=eu-ai-ready.eu&amp;utm_medium=network&amp;utm_campaign=2610_ff_lansare&amp;utm_content=general</v>
      </c>
    </row>
    <row r="137" customFormat="false" ht="15" hidden="false" customHeight="false" outlineLevel="0" collapsed="false">
      <c r="A137" s="10" t="s">
        <v>68</v>
      </c>
      <c r="B137" s="10" t="str">
        <f aca="false">INDEX('Site-uri'!$B$2:$B$20,MATCH(A137,'Site-uri'!$A$2:$A$20,0))</f>
        <v>eu-ai-ready.eu</v>
      </c>
      <c r="C137" s="10" t="s">
        <v>76</v>
      </c>
      <c r="D137" s="10" t="str">
        <f aca="false">INDEX('Site-uri'!$B$2:$B$20,MATCH(C137,'Site-uri'!$A$2:$A$20,0))</f>
        <v>eu-112.ro</v>
      </c>
      <c r="E137" s="10" t="str">
        <f aca="false">INDEX('Site-uri'!$C$2:$C$20,MATCH(C137,'Site-uri'!$A$2:$A$20,0))</f>
        <v>/</v>
      </c>
      <c r="F137" s="10" t="str">
        <f aca="false">B137</f>
        <v>eu-ai-ready.eu</v>
      </c>
      <c r="G137" s="10" t="str">
        <f aca="false">Config!$B$5</f>
        <v>network</v>
      </c>
      <c r="H137" s="10" t="str">
        <f aca="false">Config!$B$3</f>
        <v>2610_ff_lansare</v>
      </c>
      <c r="I137" s="10" t="str">
        <f aca="false">Config!$B$4</f>
        <v>general</v>
      </c>
      <c r="J137" s="10" t="str">
        <f aca="false">"https://"&amp;D137&amp;E137&amp;"?utm_source="&amp;F137&amp;"&amp;utm_medium="&amp;G137&amp;"&amp;utm_campaign="&amp;H137&amp;"&amp;utm_content="&amp;I137</f>
        <v>https://eu-112.ro/?utm_source=eu-ai-ready.eu&amp;utm_medium=network&amp;utm_campaign=2610_ff_lansare&amp;utm_content=general</v>
      </c>
    </row>
    <row r="138" customFormat="false" ht="15" hidden="false" customHeight="false" outlineLevel="0" collapsed="false">
      <c r="A138" s="10" t="s">
        <v>68</v>
      </c>
      <c r="B138" s="10" t="str">
        <f aca="false">INDEX('Site-uri'!$B$2:$B$20,MATCH(A138,'Site-uri'!$A$2:$A$20,0))</f>
        <v>eu-ai-ready.eu</v>
      </c>
      <c r="C138" s="10" t="s">
        <v>79</v>
      </c>
      <c r="D138" s="10" t="str">
        <f aca="false">INDEX('Site-uri'!$B$2:$B$20,MATCH(C138,'Site-uri'!$A$2:$A$20,0))</f>
        <v>eu-112.eu</v>
      </c>
      <c r="E138" s="10" t="str">
        <f aca="false">INDEX('Site-uri'!$C$2:$C$20,MATCH(C138,'Site-uri'!$A$2:$A$20,0))</f>
        <v>/</v>
      </c>
      <c r="F138" s="10" t="str">
        <f aca="false">B138</f>
        <v>eu-ai-ready.eu</v>
      </c>
      <c r="G138" s="10" t="str">
        <f aca="false">Config!$B$5</f>
        <v>network</v>
      </c>
      <c r="H138" s="10" t="str">
        <f aca="false">Config!$B$3</f>
        <v>2610_ff_lansare</v>
      </c>
      <c r="I138" s="10" t="str">
        <f aca="false">Config!$B$4</f>
        <v>general</v>
      </c>
      <c r="J138" s="10" t="str">
        <f aca="false">"https://"&amp;D138&amp;E138&amp;"?utm_source="&amp;F138&amp;"&amp;utm_medium="&amp;G138&amp;"&amp;utm_campaign="&amp;H138&amp;"&amp;utm_content="&amp;I138</f>
        <v>https://eu-112.eu/?utm_source=eu-ai-ready.eu&amp;utm_medium=network&amp;utm_campaign=2610_ff_lansare&amp;utm_content=general</v>
      </c>
    </row>
    <row r="139" customFormat="false" ht="15" hidden="false" customHeight="false" outlineLevel="0" collapsed="false">
      <c r="A139" s="10" t="s">
        <v>68</v>
      </c>
      <c r="B139" s="10" t="str">
        <f aca="false">INDEX('Site-uri'!$B$2:$B$20,MATCH(A139,'Site-uri'!$A$2:$A$20,0))</f>
        <v>eu-ai-ready.eu</v>
      </c>
      <c r="C139" s="10" t="s">
        <v>82</v>
      </c>
      <c r="D139" s="10" t="str">
        <f aca="false">INDEX('Site-uri'!$B$2:$B$20,MATCH(C139,'Site-uri'!$A$2:$A$20,0))</f>
        <v>1clic-ia.eu</v>
      </c>
      <c r="E139" s="10" t="str">
        <f aca="false">INDEX('Site-uri'!$C$2:$C$20,MATCH(C139,'Site-uri'!$A$2:$A$20,0))</f>
        <v>/</v>
      </c>
      <c r="F139" s="10" t="str">
        <f aca="false">B139</f>
        <v>eu-ai-ready.eu</v>
      </c>
      <c r="G139" s="10" t="str">
        <f aca="false">Config!$B$5</f>
        <v>network</v>
      </c>
      <c r="H139" s="10" t="str">
        <f aca="false">Config!$B$3</f>
        <v>2610_ff_lansare</v>
      </c>
      <c r="I139" s="10" t="str">
        <f aca="false">Config!$B$4</f>
        <v>general</v>
      </c>
      <c r="J139" s="10" t="str">
        <f aca="false">"https://"&amp;D139&amp;E139&amp;"?utm_source="&amp;F139&amp;"&amp;utm_medium="&amp;G139&amp;"&amp;utm_campaign="&amp;H139&amp;"&amp;utm_content="&amp;I139</f>
        <v>https://1clic-ia.eu/?utm_source=eu-ai-ready.eu&amp;utm_medium=network&amp;utm_campaign=2610_ff_lansare&amp;utm_content=general</v>
      </c>
    </row>
    <row r="140" customFormat="false" ht="15" hidden="false" customHeight="false" outlineLevel="0" collapsed="false">
      <c r="A140" s="10" t="s">
        <v>68</v>
      </c>
      <c r="B140" s="10" t="str">
        <f aca="false">INDEX('Site-uri'!$B$2:$B$20,MATCH(A140,'Site-uri'!$A$2:$A$20,0))</f>
        <v>eu-ai-ready.eu</v>
      </c>
      <c r="C140" s="10" t="s">
        <v>85</v>
      </c>
      <c r="D140" s="10" t="str">
        <f aca="false">INDEX('Site-uri'!$B$2:$B$20,MATCH(C140,'Site-uri'!$A$2:$A$20,0))</f>
        <v>1clic-ia.fr</v>
      </c>
      <c r="E140" s="10" t="str">
        <f aca="false">INDEX('Site-uri'!$C$2:$C$20,MATCH(C140,'Site-uri'!$A$2:$A$20,0))</f>
        <v>/</v>
      </c>
      <c r="F140" s="10" t="str">
        <f aca="false">B140</f>
        <v>eu-ai-ready.eu</v>
      </c>
      <c r="G140" s="10" t="str">
        <f aca="false">Config!$B$5</f>
        <v>network</v>
      </c>
      <c r="H140" s="10" t="str">
        <f aca="false">Config!$B$3</f>
        <v>2610_ff_lansare</v>
      </c>
      <c r="I140" s="10" t="str">
        <f aca="false">Config!$B$4</f>
        <v>general</v>
      </c>
      <c r="J140" s="10" t="str">
        <f aca="false">"https://"&amp;D140&amp;E140&amp;"?utm_source="&amp;F140&amp;"&amp;utm_medium="&amp;G140&amp;"&amp;utm_campaign="&amp;H140&amp;"&amp;utm_content="&amp;I140</f>
        <v>https://1clic-ia.fr/?utm_source=eu-ai-ready.eu&amp;utm_medium=network&amp;utm_campaign=2610_ff_lansare&amp;utm_content=general</v>
      </c>
    </row>
    <row r="141" customFormat="false" ht="15" hidden="false" customHeight="false" outlineLevel="0" collapsed="false">
      <c r="A141" s="10" t="s">
        <v>68</v>
      </c>
      <c r="B141" s="10" t="str">
        <f aca="false">INDEX('Site-uri'!$B$2:$B$20,MATCH(A141,'Site-uri'!$A$2:$A$20,0))</f>
        <v>eu-ai-ready.eu</v>
      </c>
      <c r="C141" s="10" t="s">
        <v>87</v>
      </c>
      <c r="D141" s="10" t="str">
        <f aca="false">INDEX('Site-uri'!$B$2:$B$20,MATCH(C141,'Site-uri'!$A$2:$A$20,0))</f>
        <v>firmsfinder.eu</v>
      </c>
      <c r="E141" s="10" t="str">
        <f aca="false">INDEX('Site-uri'!$C$2:$C$20,MATCH(C141,'Site-uri'!$A$2:$A$20,0))</f>
        <v>/</v>
      </c>
      <c r="F141" s="10" t="str">
        <f aca="false">B141</f>
        <v>eu-ai-ready.eu</v>
      </c>
      <c r="G141" s="10" t="str">
        <f aca="false">Config!$B$5</f>
        <v>network</v>
      </c>
      <c r="H141" s="10" t="str">
        <f aca="false">Config!$B$3</f>
        <v>2610_ff_lansare</v>
      </c>
      <c r="I141" s="10" t="str">
        <f aca="false">Config!$B$4</f>
        <v>general</v>
      </c>
      <c r="J141" s="10" t="str">
        <f aca="false">"https://"&amp;D141&amp;E141&amp;"?utm_source="&amp;F141&amp;"&amp;utm_medium="&amp;G141&amp;"&amp;utm_campaign="&amp;H141&amp;"&amp;utm_content="&amp;I141</f>
        <v>https://firmsfinder.eu/?utm_source=eu-ai-ready.eu&amp;utm_medium=network&amp;utm_campaign=2610_ff_lansare&amp;utm_content=general</v>
      </c>
    </row>
    <row r="142" customFormat="false" ht="15" hidden="false" customHeight="false" outlineLevel="0" collapsed="false">
      <c r="A142" s="10" t="s">
        <v>68</v>
      </c>
      <c r="B142" s="10" t="str">
        <f aca="false">INDEX('Site-uri'!$B$2:$B$20,MATCH(A142,'Site-uri'!$A$2:$A$20,0))</f>
        <v>eu-ai-ready.eu</v>
      </c>
      <c r="C142" s="10" t="s">
        <v>90</v>
      </c>
      <c r="D142" s="10" t="str">
        <f aca="false">INDEX('Site-uri'!$B$2:$B$20,MATCH(C142,'Site-uri'!$A$2:$A$20,0))</f>
        <v>b2b-ai-library.org</v>
      </c>
      <c r="E142" s="10" t="str">
        <f aca="false">INDEX('Site-uri'!$C$2:$C$20,MATCH(C142,'Site-uri'!$A$2:$A$20,0))</f>
        <v>/</v>
      </c>
      <c r="F142" s="10" t="str">
        <f aca="false">B142</f>
        <v>eu-ai-ready.eu</v>
      </c>
      <c r="G142" s="10" t="str">
        <f aca="false">Config!$B$5</f>
        <v>network</v>
      </c>
      <c r="H142" s="10" t="str">
        <f aca="false">Config!$B$3</f>
        <v>2610_ff_lansare</v>
      </c>
      <c r="I142" s="10" t="str">
        <f aca="false">Config!$B$4</f>
        <v>general</v>
      </c>
      <c r="J142" s="10" t="str">
        <f aca="false">"https://"&amp;D142&amp;E142&amp;"?utm_source="&amp;F142&amp;"&amp;utm_medium="&amp;G142&amp;"&amp;utm_campaign="&amp;H142&amp;"&amp;utm_content="&amp;I142</f>
        <v>https://b2b-ai-library.org/?utm_source=eu-ai-ready.eu&amp;utm_medium=network&amp;utm_campaign=2610_ff_lansare&amp;utm_content=general</v>
      </c>
    </row>
    <row r="143" customFormat="false" ht="15" hidden="false" customHeight="false" outlineLevel="0" collapsed="false">
      <c r="A143" s="10" t="s">
        <v>68</v>
      </c>
      <c r="B143" s="10" t="str">
        <f aca="false">INDEX('Site-uri'!$B$2:$B$20,MATCH(A143,'Site-uri'!$A$2:$A$20,0))</f>
        <v>eu-ai-ready.eu</v>
      </c>
      <c r="C143" s="10" t="s">
        <v>92</v>
      </c>
      <c r="D143" s="10" t="str">
        <f aca="false">INDEX('Site-uri'!$B$2:$B$20,MATCH(C143,'Site-uri'!$A$2:$A$20,0))</f>
        <v>the3webs.com</v>
      </c>
      <c r="E143" s="10" t="str">
        <f aca="false">INDEX('Site-uri'!$C$2:$C$20,MATCH(C143,'Site-uri'!$A$2:$A$20,0))</f>
        <v>/</v>
      </c>
      <c r="F143" s="10" t="str">
        <f aca="false">B143</f>
        <v>eu-ai-ready.eu</v>
      </c>
      <c r="G143" s="10" t="str">
        <f aca="false">Config!$B$5</f>
        <v>network</v>
      </c>
      <c r="H143" s="10" t="str">
        <f aca="false">Config!$B$3</f>
        <v>2610_ff_lansare</v>
      </c>
      <c r="I143" s="10" t="str">
        <f aca="false">Config!$B$4</f>
        <v>general</v>
      </c>
      <c r="J143" s="10" t="str">
        <f aca="false">"https://"&amp;D143&amp;E143&amp;"?utm_source="&amp;F143&amp;"&amp;utm_medium="&amp;G143&amp;"&amp;utm_campaign="&amp;H143&amp;"&amp;utm_content="&amp;I143</f>
        <v>https://the3webs.com/?utm_source=eu-ai-ready.eu&amp;utm_medium=network&amp;utm_campaign=2610_ff_lansare&amp;utm_content=general</v>
      </c>
    </row>
    <row r="144" customFormat="false" ht="15" hidden="false" customHeight="false" outlineLevel="0" collapsed="false">
      <c r="A144" s="10" t="s">
        <v>68</v>
      </c>
      <c r="B144" s="10" t="str">
        <f aca="false">INDEX('Site-uri'!$B$2:$B$20,MATCH(A144,'Site-uri'!$A$2:$A$20,0))</f>
        <v>eu-ai-ready.eu</v>
      </c>
      <c r="C144" s="10" t="s">
        <v>95</v>
      </c>
      <c r="D144" s="10" t="str">
        <f aca="false">INDEX('Site-uri'!$B$2:$B$20,MATCH(C144,'Site-uri'!$A$2:$A$20,0))</f>
        <v>floride-e2.com</v>
      </c>
      <c r="E144" s="10" t="str">
        <f aca="false">INDEX('Site-uri'!$C$2:$C$20,MATCH(C144,'Site-uri'!$A$2:$A$20,0))</f>
        <v>/</v>
      </c>
      <c r="F144" s="10" t="str">
        <f aca="false">B144</f>
        <v>eu-ai-ready.eu</v>
      </c>
      <c r="G144" s="10" t="str">
        <f aca="false">Config!$B$5</f>
        <v>network</v>
      </c>
      <c r="H144" s="10" t="str">
        <f aca="false">Config!$B$3</f>
        <v>2610_ff_lansare</v>
      </c>
      <c r="I144" s="10" t="str">
        <f aca="false">Config!$B$4</f>
        <v>general</v>
      </c>
      <c r="J144" s="10" t="str">
        <f aca="false">"https://"&amp;D144&amp;E144&amp;"?utm_source="&amp;F144&amp;"&amp;utm_medium="&amp;G144&amp;"&amp;utm_campaign="&amp;H144&amp;"&amp;utm_content="&amp;I144</f>
        <v>https://floride-e2.com/?utm_source=eu-ai-ready.eu&amp;utm_medium=network&amp;utm_campaign=2610_ff_lansare&amp;utm_content=general</v>
      </c>
    </row>
    <row r="145" customFormat="false" ht="15" hidden="false" customHeight="false" outlineLevel="0" collapsed="false">
      <c r="A145" s="10" t="s">
        <v>68</v>
      </c>
      <c r="B145" s="10" t="str">
        <f aca="false">INDEX('Site-uri'!$B$2:$B$20,MATCH(A145,'Site-uri'!$A$2:$A$20,0))</f>
        <v>eu-ai-ready.eu</v>
      </c>
      <c r="C145" s="10" t="s">
        <v>97</v>
      </c>
      <c r="D145" s="10" t="str">
        <f aca="false">INDEX('Site-uri'!$B$2:$B$20,MATCH(C145,'Site-uri'!$A$2:$A$20,0))</f>
        <v>ecbtax.com</v>
      </c>
      <c r="E145" s="10" t="str">
        <f aca="false">INDEX('Site-uri'!$C$2:$C$20,MATCH(C145,'Site-uri'!$A$2:$A$20,0))</f>
        <v>/</v>
      </c>
      <c r="F145" s="10" t="str">
        <f aca="false">B145</f>
        <v>eu-ai-ready.eu</v>
      </c>
      <c r="G145" s="10" t="str">
        <f aca="false">Config!$B$5</f>
        <v>network</v>
      </c>
      <c r="H145" s="10" t="str">
        <f aca="false">Config!$B$3</f>
        <v>2610_ff_lansare</v>
      </c>
      <c r="I145" s="10" t="str">
        <f aca="false">Config!$B$4</f>
        <v>general</v>
      </c>
      <c r="J145" s="10" t="str">
        <f aca="false">"https://"&amp;D145&amp;E145&amp;"?utm_source="&amp;F145&amp;"&amp;utm_medium="&amp;G145&amp;"&amp;utm_campaign="&amp;H145&amp;"&amp;utm_content="&amp;I145</f>
        <v>https://ecbtax.com/?utm_source=eu-ai-ready.eu&amp;utm_medium=network&amp;utm_campaign=2610_ff_lansare&amp;utm_content=general</v>
      </c>
    </row>
    <row r="146" customFormat="false" ht="15" hidden="false" customHeight="false" outlineLevel="0" collapsed="false">
      <c r="A146" s="10" t="s">
        <v>70</v>
      </c>
      <c r="B146" s="10" t="str">
        <f aca="false">INDEX('Site-uri'!$B$2:$B$20,MATCH(A146,'Site-uri'!$A$2:$A$20,0))</f>
        <v>eu-ai-act.ro</v>
      </c>
      <c r="C146" s="10" t="s">
        <v>46</v>
      </c>
      <c r="D146" s="10" t="str">
        <f aca="false">INDEX('Site-uri'!$B$2:$B$20,MATCH(C146,'Site-uri'!$A$2:$A$20,0))</f>
        <v>5thelement.ai</v>
      </c>
      <c r="E146" s="10" t="str">
        <f aca="false">INDEX('Site-uri'!$C$2:$C$20,MATCH(C146,'Site-uri'!$A$2:$A$20,0))</f>
        <v>/</v>
      </c>
      <c r="F146" s="10" t="str">
        <f aca="false">B146</f>
        <v>eu-ai-act.ro</v>
      </c>
      <c r="G146" s="10" t="str">
        <f aca="false">Config!$B$5</f>
        <v>network</v>
      </c>
      <c r="H146" s="10" t="str">
        <f aca="false">Config!$B$3</f>
        <v>2610_ff_lansare</v>
      </c>
      <c r="I146" s="10" t="str">
        <f aca="false">Config!$B$4</f>
        <v>general</v>
      </c>
      <c r="J146" s="10" t="str">
        <f aca="false">"https://"&amp;D146&amp;E146&amp;"?utm_source="&amp;F146&amp;"&amp;utm_medium="&amp;G146&amp;"&amp;utm_campaign="&amp;H146&amp;"&amp;utm_content="&amp;I146</f>
        <v>https://5thelement.ai/?utm_source=eu-ai-act.ro&amp;utm_medium=network&amp;utm_campaign=2610_ff_lansare&amp;utm_content=general</v>
      </c>
    </row>
    <row r="147" customFormat="false" ht="15" hidden="false" customHeight="false" outlineLevel="0" collapsed="false">
      <c r="A147" s="10" t="s">
        <v>70</v>
      </c>
      <c r="B147" s="10" t="str">
        <f aca="false">INDEX('Site-uri'!$B$2:$B$20,MATCH(A147,'Site-uri'!$A$2:$A$20,0))</f>
        <v>eu-ai-act.ro</v>
      </c>
      <c r="C147" s="10" t="s">
        <v>50</v>
      </c>
      <c r="D147" s="10" t="str">
        <f aca="false">INDEX('Site-uri'!$B$2:$B$20,MATCH(C147,'Site-uri'!$A$2:$A$20,0))</f>
        <v>aiventure.ro</v>
      </c>
      <c r="E147" s="10" t="str">
        <f aca="false">INDEX('Site-uri'!$C$2:$C$20,MATCH(C147,'Site-uri'!$A$2:$A$20,0))</f>
        <v>/</v>
      </c>
      <c r="F147" s="10" t="str">
        <f aca="false">B147</f>
        <v>eu-ai-act.ro</v>
      </c>
      <c r="G147" s="10" t="str">
        <f aca="false">Config!$B$5</f>
        <v>network</v>
      </c>
      <c r="H147" s="10" t="str">
        <f aca="false">Config!$B$3</f>
        <v>2610_ff_lansare</v>
      </c>
      <c r="I147" s="10" t="str">
        <f aca="false">Config!$B$4</f>
        <v>general</v>
      </c>
      <c r="J147" s="10" t="str">
        <f aca="false">"https://"&amp;D147&amp;E147&amp;"?utm_source="&amp;F147&amp;"&amp;utm_medium="&amp;G147&amp;"&amp;utm_campaign="&amp;H147&amp;"&amp;utm_content="&amp;I147</f>
        <v>https://aiventure.ro/?utm_source=eu-ai-act.ro&amp;utm_medium=network&amp;utm_campaign=2610_ff_lansare&amp;utm_content=general</v>
      </c>
    </row>
    <row r="148" customFormat="false" ht="15" hidden="false" customHeight="false" outlineLevel="0" collapsed="false">
      <c r="A148" s="10" t="s">
        <v>70</v>
      </c>
      <c r="B148" s="10" t="str">
        <f aca="false">INDEX('Site-uri'!$B$2:$B$20,MATCH(A148,'Site-uri'!$A$2:$A$20,0))</f>
        <v>eu-ai-act.ro</v>
      </c>
      <c r="C148" s="10" t="s">
        <v>53</v>
      </c>
      <c r="D148" s="10" t="str">
        <f aca="false">INDEX('Site-uri'!$B$2:$B$20,MATCH(C148,'Site-uri'!$A$2:$A$20,0))</f>
        <v>aiventure.uk</v>
      </c>
      <c r="E148" s="10" t="str">
        <f aca="false">INDEX('Site-uri'!$C$2:$C$20,MATCH(C148,'Site-uri'!$A$2:$A$20,0))</f>
        <v>/</v>
      </c>
      <c r="F148" s="10" t="str">
        <f aca="false">B148</f>
        <v>eu-ai-act.ro</v>
      </c>
      <c r="G148" s="10" t="str">
        <f aca="false">Config!$B$5</f>
        <v>network</v>
      </c>
      <c r="H148" s="10" t="str">
        <f aca="false">Config!$B$3</f>
        <v>2610_ff_lansare</v>
      </c>
      <c r="I148" s="10" t="str">
        <f aca="false">Config!$B$4</f>
        <v>general</v>
      </c>
      <c r="J148" s="10" t="str">
        <f aca="false">"https://"&amp;D148&amp;E148&amp;"?utm_source="&amp;F148&amp;"&amp;utm_medium="&amp;G148&amp;"&amp;utm_campaign="&amp;H148&amp;"&amp;utm_content="&amp;I148</f>
        <v>https://aiventure.uk/?utm_source=eu-ai-act.ro&amp;utm_medium=network&amp;utm_campaign=2610_ff_lansare&amp;utm_content=general</v>
      </c>
    </row>
    <row r="149" customFormat="false" ht="15" hidden="false" customHeight="false" outlineLevel="0" collapsed="false">
      <c r="A149" s="10" t="s">
        <v>70</v>
      </c>
      <c r="B149" s="10" t="str">
        <f aca="false">INDEX('Site-uri'!$B$2:$B$20,MATCH(A149,'Site-uri'!$A$2:$A$20,0))</f>
        <v>eu-ai-act.ro</v>
      </c>
      <c r="C149" s="10" t="s">
        <v>56</v>
      </c>
      <c r="D149" s="10" t="str">
        <f aca="false">INDEX('Site-uri'!$B$2:$B$20,MATCH(C149,'Site-uri'!$A$2:$A$20,0))</f>
        <v>3webobs.com</v>
      </c>
      <c r="E149" s="10" t="str">
        <f aca="false">INDEX('Site-uri'!$C$2:$C$20,MATCH(C149,'Site-uri'!$A$2:$A$20,0))</f>
        <v>/</v>
      </c>
      <c r="F149" s="10" t="str">
        <f aca="false">B149</f>
        <v>eu-ai-act.ro</v>
      </c>
      <c r="G149" s="10" t="str">
        <f aca="false">Config!$B$5</f>
        <v>network</v>
      </c>
      <c r="H149" s="10" t="str">
        <f aca="false">Config!$B$3</f>
        <v>2610_ff_lansare</v>
      </c>
      <c r="I149" s="10" t="str">
        <f aca="false">Config!$B$4</f>
        <v>general</v>
      </c>
      <c r="J149" s="10" t="str">
        <f aca="false">"https://"&amp;D149&amp;E149&amp;"?utm_source="&amp;F149&amp;"&amp;utm_medium="&amp;G149&amp;"&amp;utm_campaign="&amp;H149&amp;"&amp;utm_content="&amp;I149</f>
        <v>https://3webobs.com/?utm_source=eu-ai-act.ro&amp;utm_medium=network&amp;utm_campaign=2610_ff_lansare&amp;utm_content=general</v>
      </c>
    </row>
    <row r="150" customFormat="false" ht="15" hidden="false" customHeight="false" outlineLevel="0" collapsed="false">
      <c r="A150" s="10" t="s">
        <v>70</v>
      </c>
      <c r="B150" s="10" t="str">
        <f aca="false">INDEX('Site-uri'!$B$2:$B$20,MATCH(A150,'Site-uri'!$A$2:$A$20,0))</f>
        <v>eu-ai-act.ro</v>
      </c>
      <c r="C150" s="10" t="s">
        <v>59</v>
      </c>
      <c r="D150" s="10" t="str">
        <f aca="false">INDEX('Site-uri'!$B$2:$B$20,MATCH(C150,'Site-uri'!$A$2:$A$20,0))</f>
        <v>ai-lens.eu</v>
      </c>
      <c r="E150" s="10" t="str">
        <f aca="false">INDEX('Site-uri'!$C$2:$C$20,MATCH(C150,'Site-uri'!$A$2:$A$20,0))</f>
        <v>/</v>
      </c>
      <c r="F150" s="10" t="str">
        <f aca="false">B150</f>
        <v>eu-ai-act.ro</v>
      </c>
      <c r="G150" s="10" t="str">
        <f aca="false">Config!$B$5</f>
        <v>network</v>
      </c>
      <c r="H150" s="10" t="str">
        <f aca="false">Config!$B$3</f>
        <v>2610_ff_lansare</v>
      </c>
      <c r="I150" s="10" t="str">
        <f aca="false">Config!$B$4</f>
        <v>general</v>
      </c>
      <c r="J150" s="10" t="str">
        <f aca="false">"https://"&amp;D150&amp;E150&amp;"?utm_source="&amp;F150&amp;"&amp;utm_medium="&amp;G150&amp;"&amp;utm_campaign="&amp;H150&amp;"&amp;utm_content="&amp;I150</f>
        <v>https://ai-lens.eu/?utm_source=eu-ai-act.ro&amp;utm_medium=network&amp;utm_campaign=2610_ff_lansare&amp;utm_content=general</v>
      </c>
    </row>
    <row r="151" customFormat="false" ht="15" hidden="false" customHeight="false" outlineLevel="0" collapsed="false">
      <c r="A151" s="10" t="s">
        <v>70</v>
      </c>
      <c r="B151" s="10" t="str">
        <f aca="false">INDEX('Site-uri'!$B$2:$B$20,MATCH(A151,'Site-uri'!$A$2:$A$20,0))</f>
        <v>eu-ai-act.ro</v>
      </c>
      <c r="C151" s="10" t="s">
        <v>62</v>
      </c>
      <c r="D151" s="10" t="str">
        <f aca="false">INDEX('Site-uri'!$B$2:$B$20,MATCH(C151,'Site-uri'!$A$2:$A$20,0))</f>
        <v>aireadyinjector.com</v>
      </c>
      <c r="E151" s="10" t="str">
        <f aca="false">INDEX('Site-uri'!$C$2:$C$20,MATCH(C151,'Site-uri'!$A$2:$A$20,0))</f>
        <v>/</v>
      </c>
      <c r="F151" s="10" t="str">
        <f aca="false">B151</f>
        <v>eu-ai-act.ro</v>
      </c>
      <c r="G151" s="10" t="str">
        <f aca="false">Config!$B$5</f>
        <v>network</v>
      </c>
      <c r="H151" s="10" t="str">
        <f aca="false">Config!$B$3</f>
        <v>2610_ff_lansare</v>
      </c>
      <c r="I151" s="10" t="str">
        <f aca="false">Config!$B$4</f>
        <v>general</v>
      </c>
      <c r="J151" s="10" t="str">
        <f aca="false">"https://"&amp;D151&amp;E151&amp;"?utm_source="&amp;F151&amp;"&amp;utm_medium="&amp;G151&amp;"&amp;utm_campaign="&amp;H151&amp;"&amp;utm_content="&amp;I151</f>
        <v>https://aireadyinjector.com/?utm_source=eu-ai-act.ro&amp;utm_medium=network&amp;utm_campaign=2610_ff_lansare&amp;utm_content=general</v>
      </c>
    </row>
    <row r="152" customFormat="false" ht="15" hidden="false" customHeight="false" outlineLevel="0" collapsed="false">
      <c r="A152" s="10" t="s">
        <v>70</v>
      </c>
      <c r="B152" s="10" t="str">
        <f aca="false">INDEX('Site-uri'!$B$2:$B$20,MATCH(A152,'Site-uri'!$A$2:$A$20,0))</f>
        <v>eu-ai-act.ro</v>
      </c>
      <c r="C152" s="10" t="s">
        <v>65</v>
      </c>
      <c r="D152" s="10" t="str">
        <f aca="false">INDEX('Site-uri'!$B$2:$B$20,MATCH(C152,'Site-uri'!$A$2:$A$20,0))</f>
        <v>eu-ai-audit.eu</v>
      </c>
      <c r="E152" s="10" t="str">
        <f aca="false">INDEX('Site-uri'!$C$2:$C$20,MATCH(C152,'Site-uri'!$A$2:$A$20,0))</f>
        <v>/</v>
      </c>
      <c r="F152" s="10" t="str">
        <f aca="false">B152</f>
        <v>eu-ai-act.ro</v>
      </c>
      <c r="G152" s="10" t="str">
        <f aca="false">Config!$B$5</f>
        <v>network</v>
      </c>
      <c r="H152" s="10" t="str">
        <f aca="false">Config!$B$3</f>
        <v>2610_ff_lansare</v>
      </c>
      <c r="I152" s="10" t="str">
        <f aca="false">Config!$B$4</f>
        <v>general</v>
      </c>
      <c r="J152" s="10" t="str">
        <f aca="false">"https://"&amp;D152&amp;E152&amp;"?utm_source="&amp;F152&amp;"&amp;utm_medium="&amp;G152&amp;"&amp;utm_campaign="&amp;H152&amp;"&amp;utm_content="&amp;I152</f>
        <v>https://eu-ai-audit.eu/?utm_source=eu-ai-act.ro&amp;utm_medium=network&amp;utm_campaign=2610_ff_lansare&amp;utm_content=general</v>
      </c>
    </row>
    <row r="153" customFormat="false" ht="15" hidden="false" customHeight="false" outlineLevel="0" collapsed="false">
      <c r="A153" s="10" t="s">
        <v>70</v>
      </c>
      <c r="B153" s="10" t="str">
        <f aca="false">INDEX('Site-uri'!$B$2:$B$20,MATCH(A153,'Site-uri'!$A$2:$A$20,0))</f>
        <v>eu-ai-act.ro</v>
      </c>
      <c r="C153" s="10" t="s">
        <v>68</v>
      </c>
      <c r="D153" s="10" t="str">
        <f aca="false">INDEX('Site-uri'!$B$2:$B$20,MATCH(C153,'Site-uri'!$A$2:$A$20,0))</f>
        <v>eu-ai-ready.eu</v>
      </c>
      <c r="E153" s="10" t="str">
        <f aca="false">INDEX('Site-uri'!$C$2:$C$20,MATCH(C153,'Site-uri'!$A$2:$A$20,0))</f>
        <v>/</v>
      </c>
      <c r="F153" s="10" t="str">
        <f aca="false">B153</f>
        <v>eu-ai-act.ro</v>
      </c>
      <c r="G153" s="10" t="str">
        <f aca="false">Config!$B$5</f>
        <v>network</v>
      </c>
      <c r="H153" s="10" t="str">
        <f aca="false">Config!$B$3</f>
        <v>2610_ff_lansare</v>
      </c>
      <c r="I153" s="10" t="str">
        <f aca="false">Config!$B$4</f>
        <v>general</v>
      </c>
      <c r="J153" s="10" t="str">
        <f aca="false">"https://"&amp;D153&amp;E153&amp;"?utm_source="&amp;F153&amp;"&amp;utm_medium="&amp;G153&amp;"&amp;utm_campaign="&amp;H153&amp;"&amp;utm_content="&amp;I153</f>
        <v>https://eu-ai-ready.eu/?utm_source=eu-ai-act.ro&amp;utm_medium=network&amp;utm_campaign=2610_ff_lansare&amp;utm_content=general</v>
      </c>
    </row>
    <row r="154" customFormat="false" ht="15" hidden="false" customHeight="false" outlineLevel="0" collapsed="false">
      <c r="A154" s="10" t="s">
        <v>70</v>
      </c>
      <c r="B154" s="10" t="str">
        <f aca="false">INDEX('Site-uri'!$B$2:$B$20,MATCH(A154,'Site-uri'!$A$2:$A$20,0))</f>
        <v>eu-ai-act.ro</v>
      </c>
      <c r="C154" s="10" t="s">
        <v>73</v>
      </c>
      <c r="D154" s="10" t="str">
        <f aca="false">INDEX('Site-uri'!$B$2:$B$20,MATCH(C154,'Site-uri'!$A$2:$A$20,0))</f>
        <v>eu-ai-act-ready.eu</v>
      </c>
      <c r="E154" s="10" t="str">
        <f aca="false">INDEX('Site-uri'!$C$2:$C$20,MATCH(C154,'Site-uri'!$A$2:$A$20,0))</f>
        <v>/</v>
      </c>
      <c r="F154" s="10" t="str">
        <f aca="false">B154</f>
        <v>eu-ai-act.ro</v>
      </c>
      <c r="G154" s="10" t="str">
        <f aca="false">Config!$B$5</f>
        <v>network</v>
      </c>
      <c r="H154" s="10" t="str">
        <f aca="false">Config!$B$3</f>
        <v>2610_ff_lansare</v>
      </c>
      <c r="I154" s="10" t="str">
        <f aca="false">Config!$B$4</f>
        <v>general</v>
      </c>
      <c r="J154" s="10" t="str">
        <f aca="false">"https://"&amp;D154&amp;E154&amp;"?utm_source="&amp;F154&amp;"&amp;utm_medium="&amp;G154&amp;"&amp;utm_campaign="&amp;H154&amp;"&amp;utm_content="&amp;I154</f>
        <v>https://eu-ai-act-ready.eu/?utm_source=eu-ai-act.ro&amp;utm_medium=network&amp;utm_campaign=2610_ff_lansare&amp;utm_content=general</v>
      </c>
    </row>
    <row r="155" customFormat="false" ht="15" hidden="false" customHeight="false" outlineLevel="0" collapsed="false">
      <c r="A155" s="10" t="s">
        <v>70</v>
      </c>
      <c r="B155" s="10" t="str">
        <f aca="false">INDEX('Site-uri'!$B$2:$B$20,MATCH(A155,'Site-uri'!$A$2:$A$20,0))</f>
        <v>eu-ai-act.ro</v>
      </c>
      <c r="C155" s="10" t="s">
        <v>76</v>
      </c>
      <c r="D155" s="10" t="str">
        <f aca="false">INDEX('Site-uri'!$B$2:$B$20,MATCH(C155,'Site-uri'!$A$2:$A$20,0))</f>
        <v>eu-112.ro</v>
      </c>
      <c r="E155" s="10" t="str">
        <f aca="false">INDEX('Site-uri'!$C$2:$C$20,MATCH(C155,'Site-uri'!$A$2:$A$20,0))</f>
        <v>/</v>
      </c>
      <c r="F155" s="10" t="str">
        <f aca="false">B155</f>
        <v>eu-ai-act.ro</v>
      </c>
      <c r="G155" s="10" t="str">
        <f aca="false">Config!$B$5</f>
        <v>network</v>
      </c>
      <c r="H155" s="10" t="str">
        <f aca="false">Config!$B$3</f>
        <v>2610_ff_lansare</v>
      </c>
      <c r="I155" s="10" t="str">
        <f aca="false">Config!$B$4</f>
        <v>general</v>
      </c>
      <c r="J155" s="10" t="str">
        <f aca="false">"https://"&amp;D155&amp;E155&amp;"?utm_source="&amp;F155&amp;"&amp;utm_medium="&amp;G155&amp;"&amp;utm_campaign="&amp;H155&amp;"&amp;utm_content="&amp;I155</f>
        <v>https://eu-112.ro/?utm_source=eu-ai-act.ro&amp;utm_medium=network&amp;utm_campaign=2610_ff_lansare&amp;utm_content=general</v>
      </c>
    </row>
    <row r="156" customFormat="false" ht="15" hidden="false" customHeight="false" outlineLevel="0" collapsed="false">
      <c r="A156" s="10" t="s">
        <v>70</v>
      </c>
      <c r="B156" s="10" t="str">
        <f aca="false">INDEX('Site-uri'!$B$2:$B$20,MATCH(A156,'Site-uri'!$A$2:$A$20,0))</f>
        <v>eu-ai-act.ro</v>
      </c>
      <c r="C156" s="10" t="s">
        <v>79</v>
      </c>
      <c r="D156" s="10" t="str">
        <f aca="false">INDEX('Site-uri'!$B$2:$B$20,MATCH(C156,'Site-uri'!$A$2:$A$20,0))</f>
        <v>eu-112.eu</v>
      </c>
      <c r="E156" s="10" t="str">
        <f aca="false">INDEX('Site-uri'!$C$2:$C$20,MATCH(C156,'Site-uri'!$A$2:$A$20,0))</f>
        <v>/</v>
      </c>
      <c r="F156" s="10" t="str">
        <f aca="false">B156</f>
        <v>eu-ai-act.ro</v>
      </c>
      <c r="G156" s="10" t="str">
        <f aca="false">Config!$B$5</f>
        <v>network</v>
      </c>
      <c r="H156" s="10" t="str">
        <f aca="false">Config!$B$3</f>
        <v>2610_ff_lansare</v>
      </c>
      <c r="I156" s="10" t="str">
        <f aca="false">Config!$B$4</f>
        <v>general</v>
      </c>
      <c r="J156" s="10" t="str">
        <f aca="false">"https://"&amp;D156&amp;E156&amp;"?utm_source="&amp;F156&amp;"&amp;utm_medium="&amp;G156&amp;"&amp;utm_campaign="&amp;H156&amp;"&amp;utm_content="&amp;I156</f>
        <v>https://eu-112.eu/?utm_source=eu-ai-act.ro&amp;utm_medium=network&amp;utm_campaign=2610_ff_lansare&amp;utm_content=general</v>
      </c>
    </row>
    <row r="157" customFormat="false" ht="15" hidden="false" customHeight="false" outlineLevel="0" collapsed="false">
      <c r="A157" s="10" t="s">
        <v>70</v>
      </c>
      <c r="B157" s="10" t="str">
        <f aca="false">INDEX('Site-uri'!$B$2:$B$20,MATCH(A157,'Site-uri'!$A$2:$A$20,0))</f>
        <v>eu-ai-act.ro</v>
      </c>
      <c r="C157" s="10" t="s">
        <v>82</v>
      </c>
      <c r="D157" s="10" t="str">
        <f aca="false">INDEX('Site-uri'!$B$2:$B$20,MATCH(C157,'Site-uri'!$A$2:$A$20,0))</f>
        <v>1clic-ia.eu</v>
      </c>
      <c r="E157" s="10" t="str">
        <f aca="false">INDEX('Site-uri'!$C$2:$C$20,MATCH(C157,'Site-uri'!$A$2:$A$20,0))</f>
        <v>/</v>
      </c>
      <c r="F157" s="10" t="str">
        <f aca="false">B157</f>
        <v>eu-ai-act.ro</v>
      </c>
      <c r="G157" s="10" t="str">
        <f aca="false">Config!$B$5</f>
        <v>network</v>
      </c>
      <c r="H157" s="10" t="str">
        <f aca="false">Config!$B$3</f>
        <v>2610_ff_lansare</v>
      </c>
      <c r="I157" s="10" t="str">
        <f aca="false">Config!$B$4</f>
        <v>general</v>
      </c>
      <c r="J157" s="10" t="str">
        <f aca="false">"https://"&amp;D157&amp;E157&amp;"?utm_source="&amp;F157&amp;"&amp;utm_medium="&amp;G157&amp;"&amp;utm_campaign="&amp;H157&amp;"&amp;utm_content="&amp;I157</f>
        <v>https://1clic-ia.eu/?utm_source=eu-ai-act.ro&amp;utm_medium=network&amp;utm_campaign=2610_ff_lansare&amp;utm_content=general</v>
      </c>
    </row>
    <row r="158" customFormat="false" ht="15" hidden="false" customHeight="false" outlineLevel="0" collapsed="false">
      <c r="A158" s="10" t="s">
        <v>70</v>
      </c>
      <c r="B158" s="10" t="str">
        <f aca="false">INDEX('Site-uri'!$B$2:$B$20,MATCH(A158,'Site-uri'!$A$2:$A$20,0))</f>
        <v>eu-ai-act.ro</v>
      </c>
      <c r="C158" s="10" t="s">
        <v>85</v>
      </c>
      <c r="D158" s="10" t="str">
        <f aca="false">INDEX('Site-uri'!$B$2:$B$20,MATCH(C158,'Site-uri'!$A$2:$A$20,0))</f>
        <v>1clic-ia.fr</v>
      </c>
      <c r="E158" s="10" t="str">
        <f aca="false">INDEX('Site-uri'!$C$2:$C$20,MATCH(C158,'Site-uri'!$A$2:$A$20,0))</f>
        <v>/</v>
      </c>
      <c r="F158" s="10" t="str">
        <f aca="false">B158</f>
        <v>eu-ai-act.ro</v>
      </c>
      <c r="G158" s="10" t="str">
        <f aca="false">Config!$B$5</f>
        <v>network</v>
      </c>
      <c r="H158" s="10" t="str">
        <f aca="false">Config!$B$3</f>
        <v>2610_ff_lansare</v>
      </c>
      <c r="I158" s="10" t="str">
        <f aca="false">Config!$B$4</f>
        <v>general</v>
      </c>
      <c r="J158" s="10" t="str">
        <f aca="false">"https://"&amp;D158&amp;E158&amp;"?utm_source="&amp;F158&amp;"&amp;utm_medium="&amp;G158&amp;"&amp;utm_campaign="&amp;H158&amp;"&amp;utm_content="&amp;I158</f>
        <v>https://1clic-ia.fr/?utm_source=eu-ai-act.ro&amp;utm_medium=network&amp;utm_campaign=2610_ff_lansare&amp;utm_content=general</v>
      </c>
    </row>
    <row r="159" customFormat="false" ht="15" hidden="false" customHeight="false" outlineLevel="0" collapsed="false">
      <c r="A159" s="10" t="s">
        <v>70</v>
      </c>
      <c r="B159" s="10" t="str">
        <f aca="false">INDEX('Site-uri'!$B$2:$B$20,MATCH(A159,'Site-uri'!$A$2:$A$20,0))</f>
        <v>eu-ai-act.ro</v>
      </c>
      <c r="C159" s="10" t="s">
        <v>87</v>
      </c>
      <c r="D159" s="10" t="str">
        <f aca="false">INDEX('Site-uri'!$B$2:$B$20,MATCH(C159,'Site-uri'!$A$2:$A$20,0))</f>
        <v>firmsfinder.eu</v>
      </c>
      <c r="E159" s="10" t="str">
        <f aca="false">INDEX('Site-uri'!$C$2:$C$20,MATCH(C159,'Site-uri'!$A$2:$A$20,0))</f>
        <v>/</v>
      </c>
      <c r="F159" s="10" t="str">
        <f aca="false">B159</f>
        <v>eu-ai-act.ro</v>
      </c>
      <c r="G159" s="10" t="str">
        <f aca="false">Config!$B$5</f>
        <v>network</v>
      </c>
      <c r="H159" s="10" t="str">
        <f aca="false">Config!$B$3</f>
        <v>2610_ff_lansare</v>
      </c>
      <c r="I159" s="10" t="str">
        <f aca="false">Config!$B$4</f>
        <v>general</v>
      </c>
      <c r="J159" s="10" t="str">
        <f aca="false">"https://"&amp;D159&amp;E159&amp;"?utm_source="&amp;F159&amp;"&amp;utm_medium="&amp;G159&amp;"&amp;utm_campaign="&amp;H159&amp;"&amp;utm_content="&amp;I159</f>
        <v>https://firmsfinder.eu/?utm_source=eu-ai-act.ro&amp;utm_medium=network&amp;utm_campaign=2610_ff_lansare&amp;utm_content=general</v>
      </c>
    </row>
    <row r="160" customFormat="false" ht="15" hidden="false" customHeight="false" outlineLevel="0" collapsed="false">
      <c r="A160" s="10" t="s">
        <v>70</v>
      </c>
      <c r="B160" s="10" t="str">
        <f aca="false">INDEX('Site-uri'!$B$2:$B$20,MATCH(A160,'Site-uri'!$A$2:$A$20,0))</f>
        <v>eu-ai-act.ro</v>
      </c>
      <c r="C160" s="10" t="s">
        <v>90</v>
      </c>
      <c r="D160" s="10" t="str">
        <f aca="false">INDEX('Site-uri'!$B$2:$B$20,MATCH(C160,'Site-uri'!$A$2:$A$20,0))</f>
        <v>b2b-ai-library.org</v>
      </c>
      <c r="E160" s="10" t="str">
        <f aca="false">INDEX('Site-uri'!$C$2:$C$20,MATCH(C160,'Site-uri'!$A$2:$A$20,0))</f>
        <v>/</v>
      </c>
      <c r="F160" s="10" t="str">
        <f aca="false">B160</f>
        <v>eu-ai-act.ro</v>
      </c>
      <c r="G160" s="10" t="str">
        <f aca="false">Config!$B$5</f>
        <v>network</v>
      </c>
      <c r="H160" s="10" t="str">
        <f aca="false">Config!$B$3</f>
        <v>2610_ff_lansare</v>
      </c>
      <c r="I160" s="10" t="str">
        <f aca="false">Config!$B$4</f>
        <v>general</v>
      </c>
      <c r="J160" s="10" t="str">
        <f aca="false">"https://"&amp;D160&amp;E160&amp;"?utm_source="&amp;F160&amp;"&amp;utm_medium="&amp;G160&amp;"&amp;utm_campaign="&amp;H160&amp;"&amp;utm_content="&amp;I160</f>
        <v>https://b2b-ai-library.org/?utm_source=eu-ai-act.ro&amp;utm_medium=network&amp;utm_campaign=2610_ff_lansare&amp;utm_content=general</v>
      </c>
    </row>
    <row r="161" customFormat="false" ht="15" hidden="false" customHeight="false" outlineLevel="0" collapsed="false">
      <c r="A161" s="10" t="s">
        <v>70</v>
      </c>
      <c r="B161" s="10" t="str">
        <f aca="false">INDEX('Site-uri'!$B$2:$B$20,MATCH(A161,'Site-uri'!$A$2:$A$20,0))</f>
        <v>eu-ai-act.ro</v>
      </c>
      <c r="C161" s="10" t="s">
        <v>92</v>
      </c>
      <c r="D161" s="10" t="str">
        <f aca="false">INDEX('Site-uri'!$B$2:$B$20,MATCH(C161,'Site-uri'!$A$2:$A$20,0))</f>
        <v>the3webs.com</v>
      </c>
      <c r="E161" s="10" t="str">
        <f aca="false">INDEX('Site-uri'!$C$2:$C$20,MATCH(C161,'Site-uri'!$A$2:$A$20,0))</f>
        <v>/</v>
      </c>
      <c r="F161" s="10" t="str">
        <f aca="false">B161</f>
        <v>eu-ai-act.ro</v>
      </c>
      <c r="G161" s="10" t="str">
        <f aca="false">Config!$B$5</f>
        <v>network</v>
      </c>
      <c r="H161" s="10" t="str">
        <f aca="false">Config!$B$3</f>
        <v>2610_ff_lansare</v>
      </c>
      <c r="I161" s="10" t="str">
        <f aca="false">Config!$B$4</f>
        <v>general</v>
      </c>
      <c r="J161" s="10" t="str">
        <f aca="false">"https://"&amp;D161&amp;E161&amp;"?utm_source="&amp;F161&amp;"&amp;utm_medium="&amp;G161&amp;"&amp;utm_campaign="&amp;H161&amp;"&amp;utm_content="&amp;I161</f>
        <v>https://the3webs.com/?utm_source=eu-ai-act.ro&amp;utm_medium=network&amp;utm_campaign=2610_ff_lansare&amp;utm_content=general</v>
      </c>
    </row>
    <row r="162" customFormat="false" ht="15" hidden="false" customHeight="false" outlineLevel="0" collapsed="false">
      <c r="A162" s="10" t="s">
        <v>70</v>
      </c>
      <c r="B162" s="10" t="str">
        <f aca="false">INDEX('Site-uri'!$B$2:$B$20,MATCH(A162,'Site-uri'!$A$2:$A$20,0))</f>
        <v>eu-ai-act.ro</v>
      </c>
      <c r="C162" s="10" t="s">
        <v>95</v>
      </c>
      <c r="D162" s="10" t="str">
        <f aca="false">INDEX('Site-uri'!$B$2:$B$20,MATCH(C162,'Site-uri'!$A$2:$A$20,0))</f>
        <v>floride-e2.com</v>
      </c>
      <c r="E162" s="10" t="str">
        <f aca="false">INDEX('Site-uri'!$C$2:$C$20,MATCH(C162,'Site-uri'!$A$2:$A$20,0))</f>
        <v>/</v>
      </c>
      <c r="F162" s="10" t="str">
        <f aca="false">B162</f>
        <v>eu-ai-act.ro</v>
      </c>
      <c r="G162" s="10" t="str">
        <f aca="false">Config!$B$5</f>
        <v>network</v>
      </c>
      <c r="H162" s="10" t="str">
        <f aca="false">Config!$B$3</f>
        <v>2610_ff_lansare</v>
      </c>
      <c r="I162" s="10" t="str">
        <f aca="false">Config!$B$4</f>
        <v>general</v>
      </c>
      <c r="J162" s="10" t="str">
        <f aca="false">"https://"&amp;D162&amp;E162&amp;"?utm_source="&amp;F162&amp;"&amp;utm_medium="&amp;G162&amp;"&amp;utm_campaign="&amp;H162&amp;"&amp;utm_content="&amp;I162</f>
        <v>https://floride-e2.com/?utm_source=eu-ai-act.ro&amp;utm_medium=network&amp;utm_campaign=2610_ff_lansare&amp;utm_content=general</v>
      </c>
    </row>
    <row r="163" customFormat="false" ht="15" hidden="false" customHeight="false" outlineLevel="0" collapsed="false">
      <c r="A163" s="10" t="s">
        <v>70</v>
      </c>
      <c r="B163" s="10" t="str">
        <f aca="false">INDEX('Site-uri'!$B$2:$B$20,MATCH(A163,'Site-uri'!$A$2:$A$20,0))</f>
        <v>eu-ai-act.ro</v>
      </c>
      <c r="C163" s="10" t="s">
        <v>97</v>
      </c>
      <c r="D163" s="10" t="str">
        <f aca="false">INDEX('Site-uri'!$B$2:$B$20,MATCH(C163,'Site-uri'!$A$2:$A$20,0))</f>
        <v>ecbtax.com</v>
      </c>
      <c r="E163" s="10" t="str">
        <f aca="false">INDEX('Site-uri'!$C$2:$C$20,MATCH(C163,'Site-uri'!$A$2:$A$20,0))</f>
        <v>/</v>
      </c>
      <c r="F163" s="10" t="str">
        <f aca="false">B163</f>
        <v>eu-ai-act.ro</v>
      </c>
      <c r="G163" s="10" t="str">
        <f aca="false">Config!$B$5</f>
        <v>network</v>
      </c>
      <c r="H163" s="10" t="str">
        <f aca="false">Config!$B$3</f>
        <v>2610_ff_lansare</v>
      </c>
      <c r="I163" s="10" t="str">
        <f aca="false">Config!$B$4</f>
        <v>general</v>
      </c>
      <c r="J163" s="10" t="str">
        <f aca="false">"https://"&amp;D163&amp;E163&amp;"?utm_source="&amp;F163&amp;"&amp;utm_medium="&amp;G163&amp;"&amp;utm_campaign="&amp;H163&amp;"&amp;utm_content="&amp;I163</f>
        <v>https://ecbtax.com/?utm_source=eu-ai-act.ro&amp;utm_medium=network&amp;utm_campaign=2610_ff_lansare&amp;utm_content=general</v>
      </c>
    </row>
    <row r="164" customFormat="false" ht="15" hidden="false" customHeight="false" outlineLevel="0" collapsed="false">
      <c r="A164" s="10" t="s">
        <v>73</v>
      </c>
      <c r="B164" s="10" t="str">
        <f aca="false">INDEX('Site-uri'!$B$2:$B$20,MATCH(A164,'Site-uri'!$A$2:$A$20,0))</f>
        <v>eu-ai-act-ready.eu</v>
      </c>
      <c r="C164" s="10" t="s">
        <v>46</v>
      </c>
      <c r="D164" s="10" t="str">
        <f aca="false">INDEX('Site-uri'!$B$2:$B$20,MATCH(C164,'Site-uri'!$A$2:$A$20,0))</f>
        <v>5thelement.ai</v>
      </c>
      <c r="E164" s="10" t="str">
        <f aca="false">INDEX('Site-uri'!$C$2:$C$20,MATCH(C164,'Site-uri'!$A$2:$A$20,0))</f>
        <v>/</v>
      </c>
      <c r="F164" s="10" t="str">
        <f aca="false">B164</f>
        <v>eu-ai-act-ready.eu</v>
      </c>
      <c r="G164" s="10" t="str">
        <f aca="false">Config!$B$5</f>
        <v>network</v>
      </c>
      <c r="H164" s="10" t="str">
        <f aca="false">Config!$B$3</f>
        <v>2610_ff_lansare</v>
      </c>
      <c r="I164" s="10" t="str">
        <f aca="false">Config!$B$4</f>
        <v>general</v>
      </c>
      <c r="J164" s="10" t="str">
        <f aca="false">"https://"&amp;D164&amp;E164&amp;"?utm_source="&amp;F164&amp;"&amp;utm_medium="&amp;G164&amp;"&amp;utm_campaign="&amp;H164&amp;"&amp;utm_content="&amp;I164</f>
        <v>https://5thelement.ai/?utm_source=eu-ai-act-ready.eu&amp;utm_medium=network&amp;utm_campaign=2610_ff_lansare&amp;utm_content=general</v>
      </c>
    </row>
    <row r="165" customFormat="false" ht="15" hidden="false" customHeight="false" outlineLevel="0" collapsed="false">
      <c r="A165" s="10" t="s">
        <v>73</v>
      </c>
      <c r="B165" s="10" t="str">
        <f aca="false">INDEX('Site-uri'!$B$2:$B$20,MATCH(A165,'Site-uri'!$A$2:$A$20,0))</f>
        <v>eu-ai-act-ready.eu</v>
      </c>
      <c r="C165" s="10" t="s">
        <v>50</v>
      </c>
      <c r="D165" s="10" t="str">
        <f aca="false">INDEX('Site-uri'!$B$2:$B$20,MATCH(C165,'Site-uri'!$A$2:$A$20,0))</f>
        <v>aiventure.ro</v>
      </c>
      <c r="E165" s="10" t="str">
        <f aca="false">INDEX('Site-uri'!$C$2:$C$20,MATCH(C165,'Site-uri'!$A$2:$A$20,0))</f>
        <v>/</v>
      </c>
      <c r="F165" s="10" t="str">
        <f aca="false">B165</f>
        <v>eu-ai-act-ready.eu</v>
      </c>
      <c r="G165" s="10" t="str">
        <f aca="false">Config!$B$5</f>
        <v>network</v>
      </c>
      <c r="H165" s="10" t="str">
        <f aca="false">Config!$B$3</f>
        <v>2610_ff_lansare</v>
      </c>
      <c r="I165" s="10" t="str">
        <f aca="false">Config!$B$4</f>
        <v>general</v>
      </c>
      <c r="J165" s="10" t="str">
        <f aca="false">"https://"&amp;D165&amp;E165&amp;"?utm_source="&amp;F165&amp;"&amp;utm_medium="&amp;G165&amp;"&amp;utm_campaign="&amp;H165&amp;"&amp;utm_content="&amp;I165</f>
        <v>https://aiventure.ro/?utm_source=eu-ai-act-ready.eu&amp;utm_medium=network&amp;utm_campaign=2610_ff_lansare&amp;utm_content=general</v>
      </c>
    </row>
    <row r="166" customFormat="false" ht="15" hidden="false" customHeight="false" outlineLevel="0" collapsed="false">
      <c r="A166" s="10" t="s">
        <v>73</v>
      </c>
      <c r="B166" s="10" t="str">
        <f aca="false">INDEX('Site-uri'!$B$2:$B$20,MATCH(A166,'Site-uri'!$A$2:$A$20,0))</f>
        <v>eu-ai-act-ready.eu</v>
      </c>
      <c r="C166" s="10" t="s">
        <v>53</v>
      </c>
      <c r="D166" s="10" t="str">
        <f aca="false">INDEX('Site-uri'!$B$2:$B$20,MATCH(C166,'Site-uri'!$A$2:$A$20,0))</f>
        <v>aiventure.uk</v>
      </c>
      <c r="E166" s="10" t="str">
        <f aca="false">INDEX('Site-uri'!$C$2:$C$20,MATCH(C166,'Site-uri'!$A$2:$A$20,0))</f>
        <v>/</v>
      </c>
      <c r="F166" s="10" t="str">
        <f aca="false">B166</f>
        <v>eu-ai-act-ready.eu</v>
      </c>
      <c r="G166" s="10" t="str">
        <f aca="false">Config!$B$5</f>
        <v>network</v>
      </c>
      <c r="H166" s="10" t="str">
        <f aca="false">Config!$B$3</f>
        <v>2610_ff_lansare</v>
      </c>
      <c r="I166" s="10" t="str">
        <f aca="false">Config!$B$4</f>
        <v>general</v>
      </c>
      <c r="J166" s="10" t="str">
        <f aca="false">"https://"&amp;D166&amp;E166&amp;"?utm_source="&amp;F166&amp;"&amp;utm_medium="&amp;G166&amp;"&amp;utm_campaign="&amp;H166&amp;"&amp;utm_content="&amp;I166</f>
        <v>https://aiventure.uk/?utm_source=eu-ai-act-ready.eu&amp;utm_medium=network&amp;utm_campaign=2610_ff_lansare&amp;utm_content=general</v>
      </c>
    </row>
    <row r="167" customFormat="false" ht="15" hidden="false" customHeight="false" outlineLevel="0" collapsed="false">
      <c r="A167" s="10" t="s">
        <v>73</v>
      </c>
      <c r="B167" s="10" t="str">
        <f aca="false">INDEX('Site-uri'!$B$2:$B$20,MATCH(A167,'Site-uri'!$A$2:$A$20,0))</f>
        <v>eu-ai-act-ready.eu</v>
      </c>
      <c r="C167" s="10" t="s">
        <v>56</v>
      </c>
      <c r="D167" s="10" t="str">
        <f aca="false">INDEX('Site-uri'!$B$2:$B$20,MATCH(C167,'Site-uri'!$A$2:$A$20,0))</f>
        <v>3webobs.com</v>
      </c>
      <c r="E167" s="10" t="str">
        <f aca="false">INDEX('Site-uri'!$C$2:$C$20,MATCH(C167,'Site-uri'!$A$2:$A$20,0))</f>
        <v>/</v>
      </c>
      <c r="F167" s="10" t="str">
        <f aca="false">B167</f>
        <v>eu-ai-act-ready.eu</v>
      </c>
      <c r="G167" s="10" t="str">
        <f aca="false">Config!$B$5</f>
        <v>network</v>
      </c>
      <c r="H167" s="10" t="str">
        <f aca="false">Config!$B$3</f>
        <v>2610_ff_lansare</v>
      </c>
      <c r="I167" s="10" t="str">
        <f aca="false">Config!$B$4</f>
        <v>general</v>
      </c>
      <c r="J167" s="10" t="str">
        <f aca="false">"https://"&amp;D167&amp;E167&amp;"?utm_source="&amp;F167&amp;"&amp;utm_medium="&amp;G167&amp;"&amp;utm_campaign="&amp;H167&amp;"&amp;utm_content="&amp;I167</f>
        <v>https://3webobs.com/?utm_source=eu-ai-act-ready.eu&amp;utm_medium=network&amp;utm_campaign=2610_ff_lansare&amp;utm_content=general</v>
      </c>
    </row>
    <row r="168" customFormat="false" ht="15" hidden="false" customHeight="false" outlineLevel="0" collapsed="false">
      <c r="A168" s="10" t="s">
        <v>73</v>
      </c>
      <c r="B168" s="10" t="str">
        <f aca="false">INDEX('Site-uri'!$B$2:$B$20,MATCH(A168,'Site-uri'!$A$2:$A$20,0))</f>
        <v>eu-ai-act-ready.eu</v>
      </c>
      <c r="C168" s="10" t="s">
        <v>59</v>
      </c>
      <c r="D168" s="10" t="str">
        <f aca="false">INDEX('Site-uri'!$B$2:$B$20,MATCH(C168,'Site-uri'!$A$2:$A$20,0))</f>
        <v>ai-lens.eu</v>
      </c>
      <c r="E168" s="10" t="str">
        <f aca="false">INDEX('Site-uri'!$C$2:$C$20,MATCH(C168,'Site-uri'!$A$2:$A$20,0))</f>
        <v>/</v>
      </c>
      <c r="F168" s="10" t="str">
        <f aca="false">B168</f>
        <v>eu-ai-act-ready.eu</v>
      </c>
      <c r="G168" s="10" t="str">
        <f aca="false">Config!$B$5</f>
        <v>network</v>
      </c>
      <c r="H168" s="10" t="str">
        <f aca="false">Config!$B$3</f>
        <v>2610_ff_lansare</v>
      </c>
      <c r="I168" s="10" t="str">
        <f aca="false">Config!$B$4</f>
        <v>general</v>
      </c>
      <c r="J168" s="10" t="str">
        <f aca="false">"https://"&amp;D168&amp;E168&amp;"?utm_source="&amp;F168&amp;"&amp;utm_medium="&amp;G168&amp;"&amp;utm_campaign="&amp;H168&amp;"&amp;utm_content="&amp;I168</f>
        <v>https://ai-lens.eu/?utm_source=eu-ai-act-ready.eu&amp;utm_medium=network&amp;utm_campaign=2610_ff_lansare&amp;utm_content=general</v>
      </c>
    </row>
    <row r="169" customFormat="false" ht="15" hidden="false" customHeight="false" outlineLevel="0" collapsed="false">
      <c r="A169" s="10" t="s">
        <v>73</v>
      </c>
      <c r="B169" s="10" t="str">
        <f aca="false">INDEX('Site-uri'!$B$2:$B$20,MATCH(A169,'Site-uri'!$A$2:$A$20,0))</f>
        <v>eu-ai-act-ready.eu</v>
      </c>
      <c r="C169" s="10" t="s">
        <v>62</v>
      </c>
      <c r="D169" s="10" t="str">
        <f aca="false">INDEX('Site-uri'!$B$2:$B$20,MATCH(C169,'Site-uri'!$A$2:$A$20,0))</f>
        <v>aireadyinjector.com</v>
      </c>
      <c r="E169" s="10" t="str">
        <f aca="false">INDEX('Site-uri'!$C$2:$C$20,MATCH(C169,'Site-uri'!$A$2:$A$20,0))</f>
        <v>/</v>
      </c>
      <c r="F169" s="10" t="str">
        <f aca="false">B169</f>
        <v>eu-ai-act-ready.eu</v>
      </c>
      <c r="G169" s="10" t="str">
        <f aca="false">Config!$B$5</f>
        <v>network</v>
      </c>
      <c r="H169" s="10" t="str">
        <f aca="false">Config!$B$3</f>
        <v>2610_ff_lansare</v>
      </c>
      <c r="I169" s="10" t="str">
        <f aca="false">Config!$B$4</f>
        <v>general</v>
      </c>
      <c r="J169" s="10" t="str">
        <f aca="false">"https://"&amp;D169&amp;E169&amp;"?utm_source="&amp;F169&amp;"&amp;utm_medium="&amp;G169&amp;"&amp;utm_campaign="&amp;H169&amp;"&amp;utm_content="&amp;I169</f>
        <v>https://aireadyinjector.com/?utm_source=eu-ai-act-ready.eu&amp;utm_medium=network&amp;utm_campaign=2610_ff_lansare&amp;utm_content=general</v>
      </c>
    </row>
    <row r="170" customFormat="false" ht="15" hidden="false" customHeight="false" outlineLevel="0" collapsed="false">
      <c r="A170" s="10" t="s">
        <v>73</v>
      </c>
      <c r="B170" s="10" t="str">
        <f aca="false">INDEX('Site-uri'!$B$2:$B$20,MATCH(A170,'Site-uri'!$A$2:$A$20,0))</f>
        <v>eu-ai-act-ready.eu</v>
      </c>
      <c r="C170" s="10" t="s">
        <v>65</v>
      </c>
      <c r="D170" s="10" t="str">
        <f aca="false">INDEX('Site-uri'!$B$2:$B$20,MATCH(C170,'Site-uri'!$A$2:$A$20,0))</f>
        <v>eu-ai-audit.eu</v>
      </c>
      <c r="E170" s="10" t="str">
        <f aca="false">INDEX('Site-uri'!$C$2:$C$20,MATCH(C170,'Site-uri'!$A$2:$A$20,0))</f>
        <v>/</v>
      </c>
      <c r="F170" s="10" t="str">
        <f aca="false">B170</f>
        <v>eu-ai-act-ready.eu</v>
      </c>
      <c r="G170" s="10" t="str">
        <f aca="false">Config!$B$5</f>
        <v>network</v>
      </c>
      <c r="H170" s="10" t="str">
        <f aca="false">Config!$B$3</f>
        <v>2610_ff_lansare</v>
      </c>
      <c r="I170" s="10" t="str">
        <f aca="false">Config!$B$4</f>
        <v>general</v>
      </c>
      <c r="J170" s="10" t="str">
        <f aca="false">"https://"&amp;D170&amp;E170&amp;"?utm_source="&amp;F170&amp;"&amp;utm_medium="&amp;G170&amp;"&amp;utm_campaign="&amp;H170&amp;"&amp;utm_content="&amp;I170</f>
        <v>https://eu-ai-audit.eu/?utm_source=eu-ai-act-ready.eu&amp;utm_medium=network&amp;utm_campaign=2610_ff_lansare&amp;utm_content=general</v>
      </c>
    </row>
    <row r="171" customFormat="false" ht="15" hidden="false" customHeight="false" outlineLevel="0" collapsed="false">
      <c r="A171" s="10" t="s">
        <v>73</v>
      </c>
      <c r="B171" s="10" t="str">
        <f aca="false">INDEX('Site-uri'!$B$2:$B$20,MATCH(A171,'Site-uri'!$A$2:$A$20,0))</f>
        <v>eu-ai-act-ready.eu</v>
      </c>
      <c r="C171" s="10" t="s">
        <v>68</v>
      </c>
      <c r="D171" s="10" t="str">
        <f aca="false">INDEX('Site-uri'!$B$2:$B$20,MATCH(C171,'Site-uri'!$A$2:$A$20,0))</f>
        <v>eu-ai-ready.eu</v>
      </c>
      <c r="E171" s="10" t="str">
        <f aca="false">INDEX('Site-uri'!$C$2:$C$20,MATCH(C171,'Site-uri'!$A$2:$A$20,0))</f>
        <v>/</v>
      </c>
      <c r="F171" s="10" t="str">
        <f aca="false">B171</f>
        <v>eu-ai-act-ready.eu</v>
      </c>
      <c r="G171" s="10" t="str">
        <f aca="false">Config!$B$5</f>
        <v>network</v>
      </c>
      <c r="H171" s="10" t="str">
        <f aca="false">Config!$B$3</f>
        <v>2610_ff_lansare</v>
      </c>
      <c r="I171" s="10" t="str">
        <f aca="false">Config!$B$4</f>
        <v>general</v>
      </c>
      <c r="J171" s="10" t="str">
        <f aca="false">"https://"&amp;D171&amp;E171&amp;"?utm_source="&amp;F171&amp;"&amp;utm_medium="&amp;G171&amp;"&amp;utm_campaign="&amp;H171&amp;"&amp;utm_content="&amp;I171</f>
        <v>https://eu-ai-ready.eu/?utm_source=eu-ai-act-ready.eu&amp;utm_medium=network&amp;utm_campaign=2610_ff_lansare&amp;utm_content=general</v>
      </c>
    </row>
    <row r="172" customFormat="false" ht="15" hidden="false" customHeight="false" outlineLevel="0" collapsed="false">
      <c r="A172" s="10" t="s">
        <v>73</v>
      </c>
      <c r="B172" s="10" t="str">
        <f aca="false">INDEX('Site-uri'!$B$2:$B$20,MATCH(A172,'Site-uri'!$A$2:$A$20,0))</f>
        <v>eu-ai-act-ready.eu</v>
      </c>
      <c r="C172" s="10" t="s">
        <v>70</v>
      </c>
      <c r="D172" s="10" t="str">
        <f aca="false">INDEX('Site-uri'!$B$2:$B$20,MATCH(C172,'Site-uri'!$A$2:$A$20,0))</f>
        <v>eu-ai-act.ro</v>
      </c>
      <c r="E172" s="10" t="str">
        <f aca="false">INDEX('Site-uri'!$C$2:$C$20,MATCH(C172,'Site-uri'!$A$2:$A$20,0))</f>
        <v>/</v>
      </c>
      <c r="F172" s="10" t="str">
        <f aca="false">B172</f>
        <v>eu-ai-act-ready.eu</v>
      </c>
      <c r="G172" s="10" t="str">
        <f aca="false">Config!$B$5</f>
        <v>network</v>
      </c>
      <c r="H172" s="10" t="str">
        <f aca="false">Config!$B$3</f>
        <v>2610_ff_lansare</v>
      </c>
      <c r="I172" s="10" t="str">
        <f aca="false">Config!$B$4</f>
        <v>general</v>
      </c>
      <c r="J172" s="10" t="str">
        <f aca="false">"https://"&amp;D172&amp;E172&amp;"?utm_source="&amp;F172&amp;"&amp;utm_medium="&amp;G172&amp;"&amp;utm_campaign="&amp;H172&amp;"&amp;utm_content="&amp;I172</f>
        <v>https://eu-ai-act.ro/?utm_source=eu-ai-act-ready.eu&amp;utm_medium=network&amp;utm_campaign=2610_ff_lansare&amp;utm_content=general</v>
      </c>
    </row>
    <row r="173" customFormat="false" ht="15" hidden="false" customHeight="false" outlineLevel="0" collapsed="false">
      <c r="A173" s="10" t="s">
        <v>73</v>
      </c>
      <c r="B173" s="10" t="str">
        <f aca="false">INDEX('Site-uri'!$B$2:$B$20,MATCH(A173,'Site-uri'!$A$2:$A$20,0))</f>
        <v>eu-ai-act-ready.eu</v>
      </c>
      <c r="C173" s="10" t="s">
        <v>76</v>
      </c>
      <c r="D173" s="10" t="str">
        <f aca="false">INDEX('Site-uri'!$B$2:$B$20,MATCH(C173,'Site-uri'!$A$2:$A$20,0))</f>
        <v>eu-112.ro</v>
      </c>
      <c r="E173" s="10" t="str">
        <f aca="false">INDEX('Site-uri'!$C$2:$C$20,MATCH(C173,'Site-uri'!$A$2:$A$20,0))</f>
        <v>/</v>
      </c>
      <c r="F173" s="10" t="str">
        <f aca="false">B173</f>
        <v>eu-ai-act-ready.eu</v>
      </c>
      <c r="G173" s="10" t="str">
        <f aca="false">Config!$B$5</f>
        <v>network</v>
      </c>
      <c r="H173" s="10" t="str">
        <f aca="false">Config!$B$3</f>
        <v>2610_ff_lansare</v>
      </c>
      <c r="I173" s="10" t="str">
        <f aca="false">Config!$B$4</f>
        <v>general</v>
      </c>
      <c r="J173" s="10" t="str">
        <f aca="false">"https://"&amp;D173&amp;E173&amp;"?utm_source="&amp;F173&amp;"&amp;utm_medium="&amp;G173&amp;"&amp;utm_campaign="&amp;H173&amp;"&amp;utm_content="&amp;I173</f>
        <v>https://eu-112.ro/?utm_source=eu-ai-act-ready.eu&amp;utm_medium=network&amp;utm_campaign=2610_ff_lansare&amp;utm_content=general</v>
      </c>
    </row>
    <row r="174" customFormat="false" ht="15" hidden="false" customHeight="false" outlineLevel="0" collapsed="false">
      <c r="A174" s="10" t="s">
        <v>73</v>
      </c>
      <c r="B174" s="10" t="str">
        <f aca="false">INDEX('Site-uri'!$B$2:$B$20,MATCH(A174,'Site-uri'!$A$2:$A$20,0))</f>
        <v>eu-ai-act-ready.eu</v>
      </c>
      <c r="C174" s="10" t="s">
        <v>79</v>
      </c>
      <c r="D174" s="10" t="str">
        <f aca="false">INDEX('Site-uri'!$B$2:$B$20,MATCH(C174,'Site-uri'!$A$2:$A$20,0))</f>
        <v>eu-112.eu</v>
      </c>
      <c r="E174" s="10" t="str">
        <f aca="false">INDEX('Site-uri'!$C$2:$C$20,MATCH(C174,'Site-uri'!$A$2:$A$20,0))</f>
        <v>/</v>
      </c>
      <c r="F174" s="10" t="str">
        <f aca="false">B174</f>
        <v>eu-ai-act-ready.eu</v>
      </c>
      <c r="G174" s="10" t="str">
        <f aca="false">Config!$B$5</f>
        <v>network</v>
      </c>
      <c r="H174" s="10" t="str">
        <f aca="false">Config!$B$3</f>
        <v>2610_ff_lansare</v>
      </c>
      <c r="I174" s="10" t="str">
        <f aca="false">Config!$B$4</f>
        <v>general</v>
      </c>
      <c r="J174" s="10" t="str">
        <f aca="false">"https://"&amp;D174&amp;E174&amp;"?utm_source="&amp;F174&amp;"&amp;utm_medium="&amp;G174&amp;"&amp;utm_campaign="&amp;H174&amp;"&amp;utm_content="&amp;I174</f>
        <v>https://eu-112.eu/?utm_source=eu-ai-act-ready.eu&amp;utm_medium=network&amp;utm_campaign=2610_ff_lansare&amp;utm_content=general</v>
      </c>
    </row>
    <row r="175" customFormat="false" ht="15" hidden="false" customHeight="false" outlineLevel="0" collapsed="false">
      <c r="A175" s="10" t="s">
        <v>73</v>
      </c>
      <c r="B175" s="10" t="str">
        <f aca="false">INDEX('Site-uri'!$B$2:$B$20,MATCH(A175,'Site-uri'!$A$2:$A$20,0))</f>
        <v>eu-ai-act-ready.eu</v>
      </c>
      <c r="C175" s="10" t="s">
        <v>82</v>
      </c>
      <c r="D175" s="10" t="str">
        <f aca="false">INDEX('Site-uri'!$B$2:$B$20,MATCH(C175,'Site-uri'!$A$2:$A$20,0))</f>
        <v>1clic-ia.eu</v>
      </c>
      <c r="E175" s="10" t="str">
        <f aca="false">INDEX('Site-uri'!$C$2:$C$20,MATCH(C175,'Site-uri'!$A$2:$A$20,0))</f>
        <v>/</v>
      </c>
      <c r="F175" s="10" t="str">
        <f aca="false">B175</f>
        <v>eu-ai-act-ready.eu</v>
      </c>
      <c r="G175" s="10" t="str">
        <f aca="false">Config!$B$5</f>
        <v>network</v>
      </c>
      <c r="H175" s="10" t="str">
        <f aca="false">Config!$B$3</f>
        <v>2610_ff_lansare</v>
      </c>
      <c r="I175" s="10" t="str">
        <f aca="false">Config!$B$4</f>
        <v>general</v>
      </c>
      <c r="J175" s="10" t="str">
        <f aca="false">"https://"&amp;D175&amp;E175&amp;"?utm_source="&amp;F175&amp;"&amp;utm_medium="&amp;G175&amp;"&amp;utm_campaign="&amp;H175&amp;"&amp;utm_content="&amp;I175</f>
        <v>https://1clic-ia.eu/?utm_source=eu-ai-act-ready.eu&amp;utm_medium=network&amp;utm_campaign=2610_ff_lansare&amp;utm_content=general</v>
      </c>
    </row>
    <row r="176" customFormat="false" ht="15" hidden="false" customHeight="false" outlineLevel="0" collapsed="false">
      <c r="A176" s="10" t="s">
        <v>73</v>
      </c>
      <c r="B176" s="10" t="str">
        <f aca="false">INDEX('Site-uri'!$B$2:$B$20,MATCH(A176,'Site-uri'!$A$2:$A$20,0))</f>
        <v>eu-ai-act-ready.eu</v>
      </c>
      <c r="C176" s="10" t="s">
        <v>85</v>
      </c>
      <c r="D176" s="10" t="str">
        <f aca="false">INDEX('Site-uri'!$B$2:$B$20,MATCH(C176,'Site-uri'!$A$2:$A$20,0))</f>
        <v>1clic-ia.fr</v>
      </c>
      <c r="E176" s="10" t="str">
        <f aca="false">INDEX('Site-uri'!$C$2:$C$20,MATCH(C176,'Site-uri'!$A$2:$A$20,0))</f>
        <v>/</v>
      </c>
      <c r="F176" s="10" t="str">
        <f aca="false">B176</f>
        <v>eu-ai-act-ready.eu</v>
      </c>
      <c r="G176" s="10" t="str">
        <f aca="false">Config!$B$5</f>
        <v>network</v>
      </c>
      <c r="H176" s="10" t="str">
        <f aca="false">Config!$B$3</f>
        <v>2610_ff_lansare</v>
      </c>
      <c r="I176" s="10" t="str">
        <f aca="false">Config!$B$4</f>
        <v>general</v>
      </c>
      <c r="J176" s="10" t="str">
        <f aca="false">"https://"&amp;D176&amp;E176&amp;"?utm_source="&amp;F176&amp;"&amp;utm_medium="&amp;G176&amp;"&amp;utm_campaign="&amp;H176&amp;"&amp;utm_content="&amp;I176</f>
        <v>https://1clic-ia.fr/?utm_source=eu-ai-act-ready.eu&amp;utm_medium=network&amp;utm_campaign=2610_ff_lansare&amp;utm_content=general</v>
      </c>
    </row>
    <row r="177" customFormat="false" ht="15" hidden="false" customHeight="false" outlineLevel="0" collapsed="false">
      <c r="A177" s="10" t="s">
        <v>73</v>
      </c>
      <c r="B177" s="10" t="str">
        <f aca="false">INDEX('Site-uri'!$B$2:$B$20,MATCH(A177,'Site-uri'!$A$2:$A$20,0))</f>
        <v>eu-ai-act-ready.eu</v>
      </c>
      <c r="C177" s="10" t="s">
        <v>87</v>
      </c>
      <c r="D177" s="10" t="str">
        <f aca="false">INDEX('Site-uri'!$B$2:$B$20,MATCH(C177,'Site-uri'!$A$2:$A$20,0))</f>
        <v>firmsfinder.eu</v>
      </c>
      <c r="E177" s="10" t="str">
        <f aca="false">INDEX('Site-uri'!$C$2:$C$20,MATCH(C177,'Site-uri'!$A$2:$A$20,0))</f>
        <v>/</v>
      </c>
      <c r="F177" s="10" t="str">
        <f aca="false">B177</f>
        <v>eu-ai-act-ready.eu</v>
      </c>
      <c r="G177" s="10" t="str">
        <f aca="false">Config!$B$5</f>
        <v>network</v>
      </c>
      <c r="H177" s="10" t="str">
        <f aca="false">Config!$B$3</f>
        <v>2610_ff_lansare</v>
      </c>
      <c r="I177" s="10" t="str">
        <f aca="false">Config!$B$4</f>
        <v>general</v>
      </c>
      <c r="J177" s="10" t="str">
        <f aca="false">"https://"&amp;D177&amp;E177&amp;"?utm_source="&amp;F177&amp;"&amp;utm_medium="&amp;G177&amp;"&amp;utm_campaign="&amp;H177&amp;"&amp;utm_content="&amp;I177</f>
        <v>https://firmsfinder.eu/?utm_source=eu-ai-act-ready.eu&amp;utm_medium=network&amp;utm_campaign=2610_ff_lansare&amp;utm_content=general</v>
      </c>
    </row>
    <row r="178" customFormat="false" ht="15" hidden="false" customHeight="false" outlineLevel="0" collapsed="false">
      <c r="A178" s="10" t="s">
        <v>73</v>
      </c>
      <c r="B178" s="10" t="str">
        <f aca="false">INDEX('Site-uri'!$B$2:$B$20,MATCH(A178,'Site-uri'!$A$2:$A$20,0))</f>
        <v>eu-ai-act-ready.eu</v>
      </c>
      <c r="C178" s="10" t="s">
        <v>90</v>
      </c>
      <c r="D178" s="10" t="str">
        <f aca="false">INDEX('Site-uri'!$B$2:$B$20,MATCH(C178,'Site-uri'!$A$2:$A$20,0))</f>
        <v>b2b-ai-library.org</v>
      </c>
      <c r="E178" s="10" t="str">
        <f aca="false">INDEX('Site-uri'!$C$2:$C$20,MATCH(C178,'Site-uri'!$A$2:$A$20,0))</f>
        <v>/</v>
      </c>
      <c r="F178" s="10" t="str">
        <f aca="false">B178</f>
        <v>eu-ai-act-ready.eu</v>
      </c>
      <c r="G178" s="10" t="str">
        <f aca="false">Config!$B$5</f>
        <v>network</v>
      </c>
      <c r="H178" s="10" t="str">
        <f aca="false">Config!$B$3</f>
        <v>2610_ff_lansare</v>
      </c>
      <c r="I178" s="10" t="str">
        <f aca="false">Config!$B$4</f>
        <v>general</v>
      </c>
      <c r="J178" s="10" t="str">
        <f aca="false">"https://"&amp;D178&amp;E178&amp;"?utm_source="&amp;F178&amp;"&amp;utm_medium="&amp;G178&amp;"&amp;utm_campaign="&amp;H178&amp;"&amp;utm_content="&amp;I178</f>
        <v>https://b2b-ai-library.org/?utm_source=eu-ai-act-ready.eu&amp;utm_medium=network&amp;utm_campaign=2610_ff_lansare&amp;utm_content=general</v>
      </c>
    </row>
    <row r="179" customFormat="false" ht="15" hidden="false" customHeight="false" outlineLevel="0" collapsed="false">
      <c r="A179" s="10" t="s">
        <v>73</v>
      </c>
      <c r="B179" s="10" t="str">
        <f aca="false">INDEX('Site-uri'!$B$2:$B$20,MATCH(A179,'Site-uri'!$A$2:$A$20,0))</f>
        <v>eu-ai-act-ready.eu</v>
      </c>
      <c r="C179" s="10" t="s">
        <v>92</v>
      </c>
      <c r="D179" s="10" t="str">
        <f aca="false">INDEX('Site-uri'!$B$2:$B$20,MATCH(C179,'Site-uri'!$A$2:$A$20,0))</f>
        <v>the3webs.com</v>
      </c>
      <c r="E179" s="10" t="str">
        <f aca="false">INDEX('Site-uri'!$C$2:$C$20,MATCH(C179,'Site-uri'!$A$2:$A$20,0))</f>
        <v>/</v>
      </c>
      <c r="F179" s="10" t="str">
        <f aca="false">B179</f>
        <v>eu-ai-act-ready.eu</v>
      </c>
      <c r="G179" s="10" t="str">
        <f aca="false">Config!$B$5</f>
        <v>network</v>
      </c>
      <c r="H179" s="10" t="str">
        <f aca="false">Config!$B$3</f>
        <v>2610_ff_lansare</v>
      </c>
      <c r="I179" s="10" t="str">
        <f aca="false">Config!$B$4</f>
        <v>general</v>
      </c>
      <c r="J179" s="10" t="str">
        <f aca="false">"https://"&amp;D179&amp;E179&amp;"?utm_source="&amp;F179&amp;"&amp;utm_medium="&amp;G179&amp;"&amp;utm_campaign="&amp;H179&amp;"&amp;utm_content="&amp;I179</f>
        <v>https://the3webs.com/?utm_source=eu-ai-act-ready.eu&amp;utm_medium=network&amp;utm_campaign=2610_ff_lansare&amp;utm_content=general</v>
      </c>
    </row>
    <row r="180" customFormat="false" ht="15" hidden="false" customHeight="false" outlineLevel="0" collapsed="false">
      <c r="A180" s="10" t="s">
        <v>73</v>
      </c>
      <c r="B180" s="10" t="str">
        <f aca="false">INDEX('Site-uri'!$B$2:$B$20,MATCH(A180,'Site-uri'!$A$2:$A$20,0))</f>
        <v>eu-ai-act-ready.eu</v>
      </c>
      <c r="C180" s="10" t="s">
        <v>95</v>
      </c>
      <c r="D180" s="10" t="str">
        <f aca="false">INDEX('Site-uri'!$B$2:$B$20,MATCH(C180,'Site-uri'!$A$2:$A$20,0))</f>
        <v>floride-e2.com</v>
      </c>
      <c r="E180" s="10" t="str">
        <f aca="false">INDEX('Site-uri'!$C$2:$C$20,MATCH(C180,'Site-uri'!$A$2:$A$20,0))</f>
        <v>/</v>
      </c>
      <c r="F180" s="10" t="str">
        <f aca="false">B180</f>
        <v>eu-ai-act-ready.eu</v>
      </c>
      <c r="G180" s="10" t="str">
        <f aca="false">Config!$B$5</f>
        <v>network</v>
      </c>
      <c r="H180" s="10" t="str">
        <f aca="false">Config!$B$3</f>
        <v>2610_ff_lansare</v>
      </c>
      <c r="I180" s="10" t="str">
        <f aca="false">Config!$B$4</f>
        <v>general</v>
      </c>
      <c r="J180" s="10" t="str">
        <f aca="false">"https://"&amp;D180&amp;E180&amp;"?utm_source="&amp;F180&amp;"&amp;utm_medium="&amp;G180&amp;"&amp;utm_campaign="&amp;H180&amp;"&amp;utm_content="&amp;I180</f>
        <v>https://floride-e2.com/?utm_source=eu-ai-act-ready.eu&amp;utm_medium=network&amp;utm_campaign=2610_ff_lansare&amp;utm_content=general</v>
      </c>
    </row>
    <row r="181" customFormat="false" ht="15" hidden="false" customHeight="false" outlineLevel="0" collapsed="false">
      <c r="A181" s="10" t="s">
        <v>73</v>
      </c>
      <c r="B181" s="10" t="str">
        <f aca="false">INDEX('Site-uri'!$B$2:$B$20,MATCH(A181,'Site-uri'!$A$2:$A$20,0))</f>
        <v>eu-ai-act-ready.eu</v>
      </c>
      <c r="C181" s="10" t="s">
        <v>97</v>
      </c>
      <c r="D181" s="10" t="str">
        <f aca="false">INDEX('Site-uri'!$B$2:$B$20,MATCH(C181,'Site-uri'!$A$2:$A$20,0))</f>
        <v>ecbtax.com</v>
      </c>
      <c r="E181" s="10" t="str">
        <f aca="false">INDEX('Site-uri'!$C$2:$C$20,MATCH(C181,'Site-uri'!$A$2:$A$20,0))</f>
        <v>/</v>
      </c>
      <c r="F181" s="10" t="str">
        <f aca="false">B181</f>
        <v>eu-ai-act-ready.eu</v>
      </c>
      <c r="G181" s="10" t="str">
        <f aca="false">Config!$B$5</f>
        <v>network</v>
      </c>
      <c r="H181" s="10" t="str">
        <f aca="false">Config!$B$3</f>
        <v>2610_ff_lansare</v>
      </c>
      <c r="I181" s="10" t="str">
        <f aca="false">Config!$B$4</f>
        <v>general</v>
      </c>
      <c r="J181" s="10" t="str">
        <f aca="false">"https://"&amp;D181&amp;E181&amp;"?utm_source="&amp;F181&amp;"&amp;utm_medium="&amp;G181&amp;"&amp;utm_campaign="&amp;H181&amp;"&amp;utm_content="&amp;I181</f>
        <v>https://ecbtax.com/?utm_source=eu-ai-act-ready.eu&amp;utm_medium=network&amp;utm_campaign=2610_ff_lansare&amp;utm_content=general</v>
      </c>
    </row>
    <row r="182" customFormat="false" ht="15" hidden="false" customHeight="false" outlineLevel="0" collapsed="false">
      <c r="A182" s="10" t="s">
        <v>76</v>
      </c>
      <c r="B182" s="10" t="str">
        <f aca="false">INDEX('Site-uri'!$B$2:$B$20,MATCH(A182,'Site-uri'!$A$2:$A$20,0))</f>
        <v>eu-112.ro</v>
      </c>
      <c r="C182" s="10" t="s">
        <v>46</v>
      </c>
      <c r="D182" s="10" t="str">
        <f aca="false">INDEX('Site-uri'!$B$2:$B$20,MATCH(C182,'Site-uri'!$A$2:$A$20,0))</f>
        <v>5thelement.ai</v>
      </c>
      <c r="E182" s="10" t="str">
        <f aca="false">INDEX('Site-uri'!$C$2:$C$20,MATCH(C182,'Site-uri'!$A$2:$A$20,0))</f>
        <v>/</v>
      </c>
      <c r="F182" s="10" t="str">
        <f aca="false">B182</f>
        <v>eu-112.ro</v>
      </c>
      <c r="G182" s="10" t="str">
        <f aca="false">Config!$B$5</f>
        <v>network</v>
      </c>
      <c r="H182" s="10" t="str">
        <f aca="false">Config!$B$3</f>
        <v>2610_ff_lansare</v>
      </c>
      <c r="I182" s="10" t="str">
        <f aca="false">Config!$B$4</f>
        <v>general</v>
      </c>
      <c r="J182" s="10" t="str">
        <f aca="false">"https://"&amp;D182&amp;E182&amp;"?utm_source="&amp;F182&amp;"&amp;utm_medium="&amp;G182&amp;"&amp;utm_campaign="&amp;H182&amp;"&amp;utm_content="&amp;I182</f>
        <v>https://5thelement.ai/?utm_source=eu-112.ro&amp;utm_medium=network&amp;utm_campaign=2610_ff_lansare&amp;utm_content=general</v>
      </c>
    </row>
    <row r="183" customFormat="false" ht="15" hidden="false" customHeight="false" outlineLevel="0" collapsed="false">
      <c r="A183" s="10" t="s">
        <v>76</v>
      </c>
      <c r="B183" s="10" t="str">
        <f aca="false">INDEX('Site-uri'!$B$2:$B$20,MATCH(A183,'Site-uri'!$A$2:$A$20,0))</f>
        <v>eu-112.ro</v>
      </c>
      <c r="C183" s="10" t="s">
        <v>50</v>
      </c>
      <c r="D183" s="10" t="str">
        <f aca="false">INDEX('Site-uri'!$B$2:$B$20,MATCH(C183,'Site-uri'!$A$2:$A$20,0))</f>
        <v>aiventure.ro</v>
      </c>
      <c r="E183" s="10" t="str">
        <f aca="false">INDEX('Site-uri'!$C$2:$C$20,MATCH(C183,'Site-uri'!$A$2:$A$20,0))</f>
        <v>/</v>
      </c>
      <c r="F183" s="10" t="str">
        <f aca="false">B183</f>
        <v>eu-112.ro</v>
      </c>
      <c r="G183" s="10" t="str">
        <f aca="false">Config!$B$5</f>
        <v>network</v>
      </c>
      <c r="H183" s="10" t="str">
        <f aca="false">Config!$B$3</f>
        <v>2610_ff_lansare</v>
      </c>
      <c r="I183" s="10" t="str">
        <f aca="false">Config!$B$4</f>
        <v>general</v>
      </c>
      <c r="J183" s="10" t="str">
        <f aca="false">"https://"&amp;D183&amp;E183&amp;"?utm_source="&amp;F183&amp;"&amp;utm_medium="&amp;G183&amp;"&amp;utm_campaign="&amp;H183&amp;"&amp;utm_content="&amp;I183</f>
        <v>https://aiventure.ro/?utm_source=eu-112.ro&amp;utm_medium=network&amp;utm_campaign=2610_ff_lansare&amp;utm_content=general</v>
      </c>
    </row>
    <row r="184" customFormat="false" ht="15" hidden="false" customHeight="false" outlineLevel="0" collapsed="false">
      <c r="A184" s="10" t="s">
        <v>76</v>
      </c>
      <c r="B184" s="10" t="str">
        <f aca="false">INDEX('Site-uri'!$B$2:$B$20,MATCH(A184,'Site-uri'!$A$2:$A$20,0))</f>
        <v>eu-112.ro</v>
      </c>
      <c r="C184" s="10" t="s">
        <v>53</v>
      </c>
      <c r="D184" s="10" t="str">
        <f aca="false">INDEX('Site-uri'!$B$2:$B$20,MATCH(C184,'Site-uri'!$A$2:$A$20,0))</f>
        <v>aiventure.uk</v>
      </c>
      <c r="E184" s="10" t="str">
        <f aca="false">INDEX('Site-uri'!$C$2:$C$20,MATCH(C184,'Site-uri'!$A$2:$A$20,0))</f>
        <v>/</v>
      </c>
      <c r="F184" s="10" t="str">
        <f aca="false">B184</f>
        <v>eu-112.ro</v>
      </c>
      <c r="G184" s="10" t="str">
        <f aca="false">Config!$B$5</f>
        <v>network</v>
      </c>
      <c r="H184" s="10" t="str">
        <f aca="false">Config!$B$3</f>
        <v>2610_ff_lansare</v>
      </c>
      <c r="I184" s="10" t="str">
        <f aca="false">Config!$B$4</f>
        <v>general</v>
      </c>
      <c r="J184" s="10" t="str">
        <f aca="false">"https://"&amp;D184&amp;E184&amp;"?utm_source="&amp;F184&amp;"&amp;utm_medium="&amp;G184&amp;"&amp;utm_campaign="&amp;H184&amp;"&amp;utm_content="&amp;I184</f>
        <v>https://aiventure.uk/?utm_source=eu-112.ro&amp;utm_medium=network&amp;utm_campaign=2610_ff_lansare&amp;utm_content=general</v>
      </c>
    </row>
    <row r="185" customFormat="false" ht="15" hidden="false" customHeight="false" outlineLevel="0" collapsed="false">
      <c r="A185" s="10" t="s">
        <v>76</v>
      </c>
      <c r="B185" s="10" t="str">
        <f aca="false">INDEX('Site-uri'!$B$2:$B$20,MATCH(A185,'Site-uri'!$A$2:$A$20,0))</f>
        <v>eu-112.ro</v>
      </c>
      <c r="C185" s="10" t="s">
        <v>56</v>
      </c>
      <c r="D185" s="10" t="str">
        <f aca="false">INDEX('Site-uri'!$B$2:$B$20,MATCH(C185,'Site-uri'!$A$2:$A$20,0))</f>
        <v>3webobs.com</v>
      </c>
      <c r="E185" s="10" t="str">
        <f aca="false">INDEX('Site-uri'!$C$2:$C$20,MATCH(C185,'Site-uri'!$A$2:$A$20,0))</f>
        <v>/</v>
      </c>
      <c r="F185" s="10" t="str">
        <f aca="false">B185</f>
        <v>eu-112.ro</v>
      </c>
      <c r="G185" s="10" t="str">
        <f aca="false">Config!$B$5</f>
        <v>network</v>
      </c>
      <c r="H185" s="10" t="str">
        <f aca="false">Config!$B$3</f>
        <v>2610_ff_lansare</v>
      </c>
      <c r="I185" s="10" t="str">
        <f aca="false">Config!$B$4</f>
        <v>general</v>
      </c>
      <c r="J185" s="10" t="str">
        <f aca="false">"https://"&amp;D185&amp;E185&amp;"?utm_source="&amp;F185&amp;"&amp;utm_medium="&amp;G185&amp;"&amp;utm_campaign="&amp;H185&amp;"&amp;utm_content="&amp;I185</f>
        <v>https://3webobs.com/?utm_source=eu-112.ro&amp;utm_medium=network&amp;utm_campaign=2610_ff_lansare&amp;utm_content=general</v>
      </c>
    </row>
    <row r="186" customFormat="false" ht="15" hidden="false" customHeight="false" outlineLevel="0" collapsed="false">
      <c r="A186" s="10" t="s">
        <v>76</v>
      </c>
      <c r="B186" s="10" t="str">
        <f aca="false">INDEX('Site-uri'!$B$2:$B$20,MATCH(A186,'Site-uri'!$A$2:$A$20,0))</f>
        <v>eu-112.ro</v>
      </c>
      <c r="C186" s="10" t="s">
        <v>59</v>
      </c>
      <c r="D186" s="10" t="str">
        <f aca="false">INDEX('Site-uri'!$B$2:$B$20,MATCH(C186,'Site-uri'!$A$2:$A$20,0))</f>
        <v>ai-lens.eu</v>
      </c>
      <c r="E186" s="10" t="str">
        <f aca="false">INDEX('Site-uri'!$C$2:$C$20,MATCH(C186,'Site-uri'!$A$2:$A$20,0))</f>
        <v>/</v>
      </c>
      <c r="F186" s="10" t="str">
        <f aca="false">B186</f>
        <v>eu-112.ro</v>
      </c>
      <c r="G186" s="10" t="str">
        <f aca="false">Config!$B$5</f>
        <v>network</v>
      </c>
      <c r="H186" s="10" t="str">
        <f aca="false">Config!$B$3</f>
        <v>2610_ff_lansare</v>
      </c>
      <c r="I186" s="10" t="str">
        <f aca="false">Config!$B$4</f>
        <v>general</v>
      </c>
      <c r="J186" s="10" t="str">
        <f aca="false">"https://"&amp;D186&amp;E186&amp;"?utm_source="&amp;F186&amp;"&amp;utm_medium="&amp;G186&amp;"&amp;utm_campaign="&amp;H186&amp;"&amp;utm_content="&amp;I186</f>
        <v>https://ai-lens.eu/?utm_source=eu-112.ro&amp;utm_medium=network&amp;utm_campaign=2610_ff_lansare&amp;utm_content=general</v>
      </c>
    </row>
    <row r="187" customFormat="false" ht="15" hidden="false" customHeight="false" outlineLevel="0" collapsed="false">
      <c r="A187" s="10" t="s">
        <v>76</v>
      </c>
      <c r="B187" s="10" t="str">
        <f aca="false">INDEX('Site-uri'!$B$2:$B$20,MATCH(A187,'Site-uri'!$A$2:$A$20,0))</f>
        <v>eu-112.ro</v>
      </c>
      <c r="C187" s="10" t="s">
        <v>62</v>
      </c>
      <c r="D187" s="10" t="str">
        <f aca="false">INDEX('Site-uri'!$B$2:$B$20,MATCH(C187,'Site-uri'!$A$2:$A$20,0))</f>
        <v>aireadyinjector.com</v>
      </c>
      <c r="E187" s="10" t="str">
        <f aca="false">INDEX('Site-uri'!$C$2:$C$20,MATCH(C187,'Site-uri'!$A$2:$A$20,0))</f>
        <v>/</v>
      </c>
      <c r="F187" s="10" t="str">
        <f aca="false">B187</f>
        <v>eu-112.ro</v>
      </c>
      <c r="G187" s="10" t="str">
        <f aca="false">Config!$B$5</f>
        <v>network</v>
      </c>
      <c r="H187" s="10" t="str">
        <f aca="false">Config!$B$3</f>
        <v>2610_ff_lansare</v>
      </c>
      <c r="I187" s="10" t="str">
        <f aca="false">Config!$B$4</f>
        <v>general</v>
      </c>
      <c r="J187" s="10" t="str">
        <f aca="false">"https://"&amp;D187&amp;E187&amp;"?utm_source="&amp;F187&amp;"&amp;utm_medium="&amp;G187&amp;"&amp;utm_campaign="&amp;H187&amp;"&amp;utm_content="&amp;I187</f>
        <v>https://aireadyinjector.com/?utm_source=eu-112.ro&amp;utm_medium=network&amp;utm_campaign=2610_ff_lansare&amp;utm_content=general</v>
      </c>
    </row>
    <row r="188" customFormat="false" ht="15" hidden="false" customHeight="false" outlineLevel="0" collapsed="false">
      <c r="A188" s="10" t="s">
        <v>76</v>
      </c>
      <c r="B188" s="10" t="str">
        <f aca="false">INDEX('Site-uri'!$B$2:$B$20,MATCH(A188,'Site-uri'!$A$2:$A$20,0))</f>
        <v>eu-112.ro</v>
      </c>
      <c r="C188" s="10" t="s">
        <v>65</v>
      </c>
      <c r="D188" s="10" t="str">
        <f aca="false">INDEX('Site-uri'!$B$2:$B$20,MATCH(C188,'Site-uri'!$A$2:$A$20,0))</f>
        <v>eu-ai-audit.eu</v>
      </c>
      <c r="E188" s="10" t="str">
        <f aca="false">INDEX('Site-uri'!$C$2:$C$20,MATCH(C188,'Site-uri'!$A$2:$A$20,0))</f>
        <v>/</v>
      </c>
      <c r="F188" s="10" t="str">
        <f aca="false">B188</f>
        <v>eu-112.ro</v>
      </c>
      <c r="G188" s="10" t="str">
        <f aca="false">Config!$B$5</f>
        <v>network</v>
      </c>
      <c r="H188" s="10" t="str">
        <f aca="false">Config!$B$3</f>
        <v>2610_ff_lansare</v>
      </c>
      <c r="I188" s="10" t="str">
        <f aca="false">Config!$B$4</f>
        <v>general</v>
      </c>
      <c r="J188" s="10" t="str">
        <f aca="false">"https://"&amp;D188&amp;E188&amp;"?utm_source="&amp;F188&amp;"&amp;utm_medium="&amp;G188&amp;"&amp;utm_campaign="&amp;H188&amp;"&amp;utm_content="&amp;I188</f>
        <v>https://eu-ai-audit.eu/?utm_source=eu-112.ro&amp;utm_medium=network&amp;utm_campaign=2610_ff_lansare&amp;utm_content=general</v>
      </c>
    </row>
    <row r="189" customFormat="false" ht="15" hidden="false" customHeight="false" outlineLevel="0" collapsed="false">
      <c r="A189" s="10" t="s">
        <v>76</v>
      </c>
      <c r="B189" s="10" t="str">
        <f aca="false">INDEX('Site-uri'!$B$2:$B$20,MATCH(A189,'Site-uri'!$A$2:$A$20,0))</f>
        <v>eu-112.ro</v>
      </c>
      <c r="C189" s="10" t="s">
        <v>68</v>
      </c>
      <c r="D189" s="10" t="str">
        <f aca="false">INDEX('Site-uri'!$B$2:$B$20,MATCH(C189,'Site-uri'!$A$2:$A$20,0))</f>
        <v>eu-ai-ready.eu</v>
      </c>
      <c r="E189" s="10" t="str">
        <f aca="false">INDEX('Site-uri'!$C$2:$C$20,MATCH(C189,'Site-uri'!$A$2:$A$20,0))</f>
        <v>/</v>
      </c>
      <c r="F189" s="10" t="str">
        <f aca="false">B189</f>
        <v>eu-112.ro</v>
      </c>
      <c r="G189" s="10" t="str">
        <f aca="false">Config!$B$5</f>
        <v>network</v>
      </c>
      <c r="H189" s="10" t="str">
        <f aca="false">Config!$B$3</f>
        <v>2610_ff_lansare</v>
      </c>
      <c r="I189" s="10" t="str">
        <f aca="false">Config!$B$4</f>
        <v>general</v>
      </c>
      <c r="J189" s="10" t="str">
        <f aca="false">"https://"&amp;D189&amp;E189&amp;"?utm_source="&amp;F189&amp;"&amp;utm_medium="&amp;G189&amp;"&amp;utm_campaign="&amp;H189&amp;"&amp;utm_content="&amp;I189</f>
        <v>https://eu-ai-ready.eu/?utm_source=eu-112.ro&amp;utm_medium=network&amp;utm_campaign=2610_ff_lansare&amp;utm_content=general</v>
      </c>
    </row>
    <row r="190" customFormat="false" ht="15" hidden="false" customHeight="false" outlineLevel="0" collapsed="false">
      <c r="A190" s="10" t="s">
        <v>76</v>
      </c>
      <c r="B190" s="10" t="str">
        <f aca="false">INDEX('Site-uri'!$B$2:$B$20,MATCH(A190,'Site-uri'!$A$2:$A$20,0))</f>
        <v>eu-112.ro</v>
      </c>
      <c r="C190" s="10" t="s">
        <v>70</v>
      </c>
      <c r="D190" s="10" t="str">
        <f aca="false">INDEX('Site-uri'!$B$2:$B$20,MATCH(C190,'Site-uri'!$A$2:$A$20,0))</f>
        <v>eu-ai-act.ro</v>
      </c>
      <c r="E190" s="10" t="str">
        <f aca="false">INDEX('Site-uri'!$C$2:$C$20,MATCH(C190,'Site-uri'!$A$2:$A$20,0))</f>
        <v>/</v>
      </c>
      <c r="F190" s="10" t="str">
        <f aca="false">B190</f>
        <v>eu-112.ro</v>
      </c>
      <c r="G190" s="10" t="str">
        <f aca="false">Config!$B$5</f>
        <v>network</v>
      </c>
      <c r="H190" s="10" t="str">
        <f aca="false">Config!$B$3</f>
        <v>2610_ff_lansare</v>
      </c>
      <c r="I190" s="10" t="str">
        <f aca="false">Config!$B$4</f>
        <v>general</v>
      </c>
      <c r="J190" s="10" t="str">
        <f aca="false">"https://"&amp;D190&amp;E190&amp;"?utm_source="&amp;F190&amp;"&amp;utm_medium="&amp;G190&amp;"&amp;utm_campaign="&amp;H190&amp;"&amp;utm_content="&amp;I190</f>
        <v>https://eu-ai-act.ro/?utm_source=eu-112.ro&amp;utm_medium=network&amp;utm_campaign=2610_ff_lansare&amp;utm_content=general</v>
      </c>
    </row>
    <row r="191" customFormat="false" ht="15" hidden="false" customHeight="false" outlineLevel="0" collapsed="false">
      <c r="A191" s="10" t="s">
        <v>76</v>
      </c>
      <c r="B191" s="10" t="str">
        <f aca="false">INDEX('Site-uri'!$B$2:$B$20,MATCH(A191,'Site-uri'!$A$2:$A$20,0))</f>
        <v>eu-112.ro</v>
      </c>
      <c r="C191" s="10" t="s">
        <v>73</v>
      </c>
      <c r="D191" s="10" t="str">
        <f aca="false">INDEX('Site-uri'!$B$2:$B$20,MATCH(C191,'Site-uri'!$A$2:$A$20,0))</f>
        <v>eu-ai-act-ready.eu</v>
      </c>
      <c r="E191" s="10" t="str">
        <f aca="false">INDEX('Site-uri'!$C$2:$C$20,MATCH(C191,'Site-uri'!$A$2:$A$20,0))</f>
        <v>/</v>
      </c>
      <c r="F191" s="10" t="str">
        <f aca="false">B191</f>
        <v>eu-112.ro</v>
      </c>
      <c r="G191" s="10" t="str">
        <f aca="false">Config!$B$5</f>
        <v>network</v>
      </c>
      <c r="H191" s="10" t="str">
        <f aca="false">Config!$B$3</f>
        <v>2610_ff_lansare</v>
      </c>
      <c r="I191" s="10" t="str">
        <f aca="false">Config!$B$4</f>
        <v>general</v>
      </c>
      <c r="J191" s="10" t="str">
        <f aca="false">"https://"&amp;D191&amp;E191&amp;"?utm_source="&amp;F191&amp;"&amp;utm_medium="&amp;G191&amp;"&amp;utm_campaign="&amp;H191&amp;"&amp;utm_content="&amp;I191</f>
        <v>https://eu-ai-act-ready.eu/?utm_source=eu-112.ro&amp;utm_medium=network&amp;utm_campaign=2610_ff_lansare&amp;utm_content=general</v>
      </c>
    </row>
    <row r="192" customFormat="false" ht="15" hidden="false" customHeight="false" outlineLevel="0" collapsed="false">
      <c r="A192" s="10" t="s">
        <v>76</v>
      </c>
      <c r="B192" s="10" t="str">
        <f aca="false">INDEX('Site-uri'!$B$2:$B$20,MATCH(A192,'Site-uri'!$A$2:$A$20,0))</f>
        <v>eu-112.ro</v>
      </c>
      <c r="C192" s="10" t="s">
        <v>79</v>
      </c>
      <c r="D192" s="10" t="str">
        <f aca="false">INDEX('Site-uri'!$B$2:$B$20,MATCH(C192,'Site-uri'!$A$2:$A$20,0))</f>
        <v>eu-112.eu</v>
      </c>
      <c r="E192" s="10" t="str">
        <f aca="false">INDEX('Site-uri'!$C$2:$C$20,MATCH(C192,'Site-uri'!$A$2:$A$20,0))</f>
        <v>/</v>
      </c>
      <c r="F192" s="10" t="str">
        <f aca="false">B192</f>
        <v>eu-112.ro</v>
      </c>
      <c r="G192" s="10" t="str">
        <f aca="false">Config!$B$5</f>
        <v>network</v>
      </c>
      <c r="H192" s="10" t="str">
        <f aca="false">Config!$B$3</f>
        <v>2610_ff_lansare</v>
      </c>
      <c r="I192" s="10" t="str">
        <f aca="false">Config!$B$4</f>
        <v>general</v>
      </c>
      <c r="J192" s="10" t="str">
        <f aca="false">"https://"&amp;D192&amp;E192&amp;"?utm_source="&amp;F192&amp;"&amp;utm_medium="&amp;G192&amp;"&amp;utm_campaign="&amp;H192&amp;"&amp;utm_content="&amp;I192</f>
        <v>https://eu-112.eu/?utm_source=eu-112.ro&amp;utm_medium=network&amp;utm_campaign=2610_ff_lansare&amp;utm_content=general</v>
      </c>
    </row>
    <row r="193" customFormat="false" ht="15" hidden="false" customHeight="false" outlineLevel="0" collapsed="false">
      <c r="A193" s="10" t="s">
        <v>76</v>
      </c>
      <c r="B193" s="10" t="str">
        <f aca="false">INDEX('Site-uri'!$B$2:$B$20,MATCH(A193,'Site-uri'!$A$2:$A$20,0))</f>
        <v>eu-112.ro</v>
      </c>
      <c r="C193" s="10" t="s">
        <v>82</v>
      </c>
      <c r="D193" s="10" t="str">
        <f aca="false">INDEX('Site-uri'!$B$2:$B$20,MATCH(C193,'Site-uri'!$A$2:$A$20,0))</f>
        <v>1clic-ia.eu</v>
      </c>
      <c r="E193" s="10" t="str">
        <f aca="false">INDEX('Site-uri'!$C$2:$C$20,MATCH(C193,'Site-uri'!$A$2:$A$20,0))</f>
        <v>/</v>
      </c>
      <c r="F193" s="10" t="str">
        <f aca="false">B193</f>
        <v>eu-112.ro</v>
      </c>
      <c r="G193" s="10" t="str">
        <f aca="false">Config!$B$5</f>
        <v>network</v>
      </c>
      <c r="H193" s="10" t="str">
        <f aca="false">Config!$B$3</f>
        <v>2610_ff_lansare</v>
      </c>
      <c r="I193" s="10" t="str">
        <f aca="false">Config!$B$4</f>
        <v>general</v>
      </c>
      <c r="J193" s="10" t="str">
        <f aca="false">"https://"&amp;D193&amp;E193&amp;"?utm_source="&amp;F193&amp;"&amp;utm_medium="&amp;G193&amp;"&amp;utm_campaign="&amp;H193&amp;"&amp;utm_content="&amp;I193</f>
        <v>https://1clic-ia.eu/?utm_source=eu-112.ro&amp;utm_medium=network&amp;utm_campaign=2610_ff_lansare&amp;utm_content=general</v>
      </c>
    </row>
    <row r="194" customFormat="false" ht="15" hidden="false" customHeight="false" outlineLevel="0" collapsed="false">
      <c r="A194" s="10" t="s">
        <v>76</v>
      </c>
      <c r="B194" s="10" t="str">
        <f aca="false">INDEX('Site-uri'!$B$2:$B$20,MATCH(A194,'Site-uri'!$A$2:$A$20,0))</f>
        <v>eu-112.ro</v>
      </c>
      <c r="C194" s="10" t="s">
        <v>85</v>
      </c>
      <c r="D194" s="10" t="str">
        <f aca="false">INDEX('Site-uri'!$B$2:$B$20,MATCH(C194,'Site-uri'!$A$2:$A$20,0))</f>
        <v>1clic-ia.fr</v>
      </c>
      <c r="E194" s="10" t="str">
        <f aca="false">INDEX('Site-uri'!$C$2:$C$20,MATCH(C194,'Site-uri'!$A$2:$A$20,0))</f>
        <v>/</v>
      </c>
      <c r="F194" s="10" t="str">
        <f aca="false">B194</f>
        <v>eu-112.ro</v>
      </c>
      <c r="G194" s="10" t="str">
        <f aca="false">Config!$B$5</f>
        <v>network</v>
      </c>
      <c r="H194" s="10" t="str">
        <f aca="false">Config!$B$3</f>
        <v>2610_ff_lansare</v>
      </c>
      <c r="I194" s="10" t="str">
        <f aca="false">Config!$B$4</f>
        <v>general</v>
      </c>
      <c r="J194" s="10" t="str">
        <f aca="false">"https://"&amp;D194&amp;E194&amp;"?utm_source="&amp;F194&amp;"&amp;utm_medium="&amp;G194&amp;"&amp;utm_campaign="&amp;H194&amp;"&amp;utm_content="&amp;I194</f>
        <v>https://1clic-ia.fr/?utm_source=eu-112.ro&amp;utm_medium=network&amp;utm_campaign=2610_ff_lansare&amp;utm_content=general</v>
      </c>
    </row>
    <row r="195" customFormat="false" ht="15" hidden="false" customHeight="false" outlineLevel="0" collapsed="false">
      <c r="A195" s="10" t="s">
        <v>76</v>
      </c>
      <c r="B195" s="10" t="str">
        <f aca="false">INDEX('Site-uri'!$B$2:$B$20,MATCH(A195,'Site-uri'!$A$2:$A$20,0))</f>
        <v>eu-112.ro</v>
      </c>
      <c r="C195" s="10" t="s">
        <v>87</v>
      </c>
      <c r="D195" s="10" t="str">
        <f aca="false">INDEX('Site-uri'!$B$2:$B$20,MATCH(C195,'Site-uri'!$A$2:$A$20,0))</f>
        <v>firmsfinder.eu</v>
      </c>
      <c r="E195" s="10" t="str">
        <f aca="false">INDEX('Site-uri'!$C$2:$C$20,MATCH(C195,'Site-uri'!$A$2:$A$20,0))</f>
        <v>/</v>
      </c>
      <c r="F195" s="10" t="str">
        <f aca="false">B195</f>
        <v>eu-112.ro</v>
      </c>
      <c r="G195" s="10" t="str">
        <f aca="false">Config!$B$5</f>
        <v>network</v>
      </c>
      <c r="H195" s="10" t="str">
        <f aca="false">Config!$B$3</f>
        <v>2610_ff_lansare</v>
      </c>
      <c r="I195" s="10" t="str">
        <f aca="false">Config!$B$4</f>
        <v>general</v>
      </c>
      <c r="J195" s="10" t="str">
        <f aca="false">"https://"&amp;D195&amp;E195&amp;"?utm_source="&amp;F195&amp;"&amp;utm_medium="&amp;G195&amp;"&amp;utm_campaign="&amp;H195&amp;"&amp;utm_content="&amp;I195</f>
        <v>https://firmsfinder.eu/?utm_source=eu-112.ro&amp;utm_medium=network&amp;utm_campaign=2610_ff_lansare&amp;utm_content=general</v>
      </c>
    </row>
    <row r="196" customFormat="false" ht="15" hidden="false" customHeight="false" outlineLevel="0" collapsed="false">
      <c r="A196" s="10" t="s">
        <v>76</v>
      </c>
      <c r="B196" s="10" t="str">
        <f aca="false">INDEX('Site-uri'!$B$2:$B$20,MATCH(A196,'Site-uri'!$A$2:$A$20,0))</f>
        <v>eu-112.ro</v>
      </c>
      <c r="C196" s="10" t="s">
        <v>90</v>
      </c>
      <c r="D196" s="10" t="str">
        <f aca="false">INDEX('Site-uri'!$B$2:$B$20,MATCH(C196,'Site-uri'!$A$2:$A$20,0))</f>
        <v>b2b-ai-library.org</v>
      </c>
      <c r="E196" s="10" t="str">
        <f aca="false">INDEX('Site-uri'!$C$2:$C$20,MATCH(C196,'Site-uri'!$A$2:$A$20,0))</f>
        <v>/</v>
      </c>
      <c r="F196" s="10" t="str">
        <f aca="false">B196</f>
        <v>eu-112.ro</v>
      </c>
      <c r="G196" s="10" t="str">
        <f aca="false">Config!$B$5</f>
        <v>network</v>
      </c>
      <c r="H196" s="10" t="str">
        <f aca="false">Config!$B$3</f>
        <v>2610_ff_lansare</v>
      </c>
      <c r="I196" s="10" t="str">
        <f aca="false">Config!$B$4</f>
        <v>general</v>
      </c>
      <c r="J196" s="10" t="str">
        <f aca="false">"https://"&amp;D196&amp;E196&amp;"?utm_source="&amp;F196&amp;"&amp;utm_medium="&amp;G196&amp;"&amp;utm_campaign="&amp;H196&amp;"&amp;utm_content="&amp;I196</f>
        <v>https://b2b-ai-library.org/?utm_source=eu-112.ro&amp;utm_medium=network&amp;utm_campaign=2610_ff_lansare&amp;utm_content=general</v>
      </c>
    </row>
    <row r="197" customFormat="false" ht="15" hidden="false" customHeight="false" outlineLevel="0" collapsed="false">
      <c r="A197" s="10" t="s">
        <v>76</v>
      </c>
      <c r="B197" s="10" t="str">
        <f aca="false">INDEX('Site-uri'!$B$2:$B$20,MATCH(A197,'Site-uri'!$A$2:$A$20,0))</f>
        <v>eu-112.ro</v>
      </c>
      <c r="C197" s="10" t="s">
        <v>92</v>
      </c>
      <c r="D197" s="10" t="str">
        <f aca="false">INDEX('Site-uri'!$B$2:$B$20,MATCH(C197,'Site-uri'!$A$2:$A$20,0))</f>
        <v>the3webs.com</v>
      </c>
      <c r="E197" s="10" t="str">
        <f aca="false">INDEX('Site-uri'!$C$2:$C$20,MATCH(C197,'Site-uri'!$A$2:$A$20,0))</f>
        <v>/</v>
      </c>
      <c r="F197" s="10" t="str">
        <f aca="false">B197</f>
        <v>eu-112.ro</v>
      </c>
      <c r="G197" s="10" t="str">
        <f aca="false">Config!$B$5</f>
        <v>network</v>
      </c>
      <c r="H197" s="10" t="str">
        <f aca="false">Config!$B$3</f>
        <v>2610_ff_lansare</v>
      </c>
      <c r="I197" s="10" t="str">
        <f aca="false">Config!$B$4</f>
        <v>general</v>
      </c>
      <c r="J197" s="10" t="str">
        <f aca="false">"https://"&amp;D197&amp;E197&amp;"?utm_source="&amp;F197&amp;"&amp;utm_medium="&amp;G197&amp;"&amp;utm_campaign="&amp;H197&amp;"&amp;utm_content="&amp;I197</f>
        <v>https://the3webs.com/?utm_source=eu-112.ro&amp;utm_medium=network&amp;utm_campaign=2610_ff_lansare&amp;utm_content=general</v>
      </c>
    </row>
    <row r="198" customFormat="false" ht="15" hidden="false" customHeight="false" outlineLevel="0" collapsed="false">
      <c r="A198" s="10" t="s">
        <v>76</v>
      </c>
      <c r="B198" s="10" t="str">
        <f aca="false">INDEX('Site-uri'!$B$2:$B$20,MATCH(A198,'Site-uri'!$A$2:$A$20,0))</f>
        <v>eu-112.ro</v>
      </c>
      <c r="C198" s="10" t="s">
        <v>95</v>
      </c>
      <c r="D198" s="10" t="str">
        <f aca="false">INDEX('Site-uri'!$B$2:$B$20,MATCH(C198,'Site-uri'!$A$2:$A$20,0))</f>
        <v>floride-e2.com</v>
      </c>
      <c r="E198" s="10" t="str">
        <f aca="false">INDEX('Site-uri'!$C$2:$C$20,MATCH(C198,'Site-uri'!$A$2:$A$20,0))</f>
        <v>/</v>
      </c>
      <c r="F198" s="10" t="str">
        <f aca="false">B198</f>
        <v>eu-112.ro</v>
      </c>
      <c r="G198" s="10" t="str">
        <f aca="false">Config!$B$5</f>
        <v>network</v>
      </c>
      <c r="H198" s="10" t="str">
        <f aca="false">Config!$B$3</f>
        <v>2610_ff_lansare</v>
      </c>
      <c r="I198" s="10" t="str">
        <f aca="false">Config!$B$4</f>
        <v>general</v>
      </c>
      <c r="J198" s="10" t="str">
        <f aca="false">"https://"&amp;D198&amp;E198&amp;"?utm_source="&amp;F198&amp;"&amp;utm_medium="&amp;G198&amp;"&amp;utm_campaign="&amp;H198&amp;"&amp;utm_content="&amp;I198</f>
        <v>https://floride-e2.com/?utm_source=eu-112.ro&amp;utm_medium=network&amp;utm_campaign=2610_ff_lansare&amp;utm_content=general</v>
      </c>
    </row>
    <row r="199" customFormat="false" ht="15" hidden="false" customHeight="false" outlineLevel="0" collapsed="false">
      <c r="A199" s="10" t="s">
        <v>76</v>
      </c>
      <c r="B199" s="10" t="str">
        <f aca="false">INDEX('Site-uri'!$B$2:$B$20,MATCH(A199,'Site-uri'!$A$2:$A$20,0))</f>
        <v>eu-112.ro</v>
      </c>
      <c r="C199" s="10" t="s">
        <v>97</v>
      </c>
      <c r="D199" s="10" t="str">
        <f aca="false">INDEX('Site-uri'!$B$2:$B$20,MATCH(C199,'Site-uri'!$A$2:$A$20,0))</f>
        <v>ecbtax.com</v>
      </c>
      <c r="E199" s="10" t="str">
        <f aca="false">INDEX('Site-uri'!$C$2:$C$20,MATCH(C199,'Site-uri'!$A$2:$A$20,0))</f>
        <v>/</v>
      </c>
      <c r="F199" s="10" t="str">
        <f aca="false">B199</f>
        <v>eu-112.ro</v>
      </c>
      <c r="G199" s="10" t="str">
        <f aca="false">Config!$B$5</f>
        <v>network</v>
      </c>
      <c r="H199" s="10" t="str">
        <f aca="false">Config!$B$3</f>
        <v>2610_ff_lansare</v>
      </c>
      <c r="I199" s="10" t="str">
        <f aca="false">Config!$B$4</f>
        <v>general</v>
      </c>
      <c r="J199" s="10" t="str">
        <f aca="false">"https://"&amp;D199&amp;E199&amp;"?utm_source="&amp;F199&amp;"&amp;utm_medium="&amp;G199&amp;"&amp;utm_campaign="&amp;H199&amp;"&amp;utm_content="&amp;I199</f>
        <v>https://ecbtax.com/?utm_source=eu-112.ro&amp;utm_medium=network&amp;utm_campaign=2610_ff_lansare&amp;utm_content=general</v>
      </c>
    </row>
    <row r="200" customFormat="false" ht="15" hidden="false" customHeight="false" outlineLevel="0" collapsed="false">
      <c r="A200" s="10" t="s">
        <v>79</v>
      </c>
      <c r="B200" s="10" t="str">
        <f aca="false">INDEX('Site-uri'!$B$2:$B$20,MATCH(A200,'Site-uri'!$A$2:$A$20,0))</f>
        <v>eu-112.eu</v>
      </c>
      <c r="C200" s="10" t="s">
        <v>46</v>
      </c>
      <c r="D200" s="10" t="str">
        <f aca="false">INDEX('Site-uri'!$B$2:$B$20,MATCH(C200,'Site-uri'!$A$2:$A$20,0))</f>
        <v>5thelement.ai</v>
      </c>
      <c r="E200" s="10" t="str">
        <f aca="false">INDEX('Site-uri'!$C$2:$C$20,MATCH(C200,'Site-uri'!$A$2:$A$20,0))</f>
        <v>/</v>
      </c>
      <c r="F200" s="10" t="str">
        <f aca="false">B200</f>
        <v>eu-112.eu</v>
      </c>
      <c r="G200" s="10" t="str">
        <f aca="false">Config!$B$5</f>
        <v>network</v>
      </c>
      <c r="H200" s="10" t="str">
        <f aca="false">Config!$B$3</f>
        <v>2610_ff_lansare</v>
      </c>
      <c r="I200" s="10" t="str">
        <f aca="false">Config!$B$4</f>
        <v>general</v>
      </c>
      <c r="J200" s="10" t="str">
        <f aca="false">"https://"&amp;D200&amp;E200&amp;"?utm_source="&amp;F200&amp;"&amp;utm_medium="&amp;G200&amp;"&amp;utm_campaign="&amp;H200&amp;"&amp;utm_content="&amp;I200</f>
        <v>https://5thelement.ai/?utm_source=eu-112.eu&amp;utm_medium=network&amp;utm_campaign=2610_ff_lansare&amp;utm_content=general</v>
      </c>
    </row>
    <row r="201" customFormat="false" ht="15" hidden="false" customHeight="false" outlineLevel="0" collapsed="false">
      <c r="A201" s="10" t="s">
        <v>79</v>
      </c>
      <c r="B201" s="10" t="str">
        <f aca="false">INDEX('Site-uri'!$B$2:$B$20,MATCH(A201,'Site-uri'!$A$2:$A$20,0))</f>
        <v>eu-112.eu</v>
      </c>
      <c r="C201" s="10" t="s">
        <v>50</v>
      </c>
      <c r="D201" s="10" t="str">
        <f aca="false">INDEX('Site-uri'!$B$2:$B$20,MATCH(C201,'Site-uri'!$A$2:$A$20,0))</f>
        <v>aiventure.ro</v>
      </c>
      <c r="E201" s="10" t="str">
        <f aca="false">INDEX('Site-uri'!$C$2:$C$20,MATCH(C201,'Site-uri'!$A$2:$A$20,0))</f>
        <v>/</v>
      </c>
      <c r="F201" s="10" t="str">
        <f aca="false">B201</f>
        <v>eu-112.eu</v>
      </c>
      <c r="G201" s="10" t="str">
        <f aca="false">Config!$B$5</f>
        <v>network</v>
      </c>
      <c r="H201" s="10" t="str">
        <f aca="false">Config!$B$3</f>
        <v>2610_ff_lansare</v>
      </c>
      <c r="I201" s="10" t="str">
        <f aca="false">Config!$B$4</f>
        <v>general</v>
      </c>
      <c r="J201" s="10" t="str">
        <f aca="false">"https://"&amp;D201&amp;E201&amp;"?utm_source="&amp;F201&amp;"&amp;utm_medium="&amp;G201&amp;"&amp;utm_campaign="&amp;H201&amp;"&amp;utm_content="&amp;I201</f>
        <v>https://aiventure.ro/?utm_source=eu-112.eu&amp;utm_medium=network&amp;utm_campaign=2610_ff_lansare&amp;utm_content=general</v>
      </c>
    </row>
    <row r="202" customFormat="false" ht="15" hidden="false" customHeight="false" outlineLevel="0" collapsed="false">
      <c r="A202" s="10" t="s">
        <v>79</v>
      </c>
      <c r="B202" s="10" t="str">
        <f aca="false">INDEX('Site-uri'!$B$2:$B$20,MATCH(A202,'Site-uri'!$A$2:$A$20,0))</f>
        <v>eu-112.eu</v>
      </c>
      <c r="C202" s="10" t="s">
        <v>53</v>
      </c>
      <c r="D202" s="10" t="str">
        <f aca="false">INDEX('Site-uri'!$B$2:$B$20,MATCH(C202,'Site-uri'!$A$2:$A$20,0))</f>
        <v>aiventure.uk</v>
      </c>
      <c r="E202" s="10" t="str">
        <f aca="false">INDEX('Site-uri'!$C$2:$C$20,MATCH(C202,'Site-uri'!$A$2:$A$20,0))</f>
        <v>/</v>
      </c>
      <c r="F202" s="10" t="str">
        <f aca="false">B202</f>
        <v>eu-112.eu</v>
      </c>
      <c r="G202" s="10" t="str">
        <f aca="false">Config!$B$5</f>
        <v>network</v>
      </c>
      <c r="H202" s="10" t="str">
        <f aca="false">Config!$B$3</f>
        <v>2610_ff_lansare</v>
      </c>
      <c r="I202" s="10" t="str">
        <f aca="false">Config!$B$4</f>
        <v>general</v>
      </c>
      <c r="J202" s="10" t="str">
        <f aca="false">"https://"&amp;D202&amp;E202&amp;"?utm_source="&amp;F202&amp;"&amp;utm_medium="&amp;G202&amp;"&amp;utm_campaign="&amp;H202&amp;"&amp;utm_content="&amp;I202</f>
        <v>https://aiventure.uk/?utm_source=eu-112.eu&amp;utm_medium=network&amp;utm_campaign=2610_ff_lansare&amp;utm_content=general</v>
      </c>
    </row>
    <row r="203" customFormat="false" ht="15" hidden="false" customHeight="false" outlineLevel="0" collapsed="false">
      <c r="A203" s="10" t="s">
        <v>79</v>
      </c>
      <c r="B203" s="10" t="str">
        <f aca="false">INDEX('Site-uri'!$B$2:$B$20,MATCH(A203,'Site-uri'!$A$2:$A$20,0))</f>
        <v>eu-112.eu</v>
      </c>
      <c r="C203" s="10" t="s">
        <v>56</v>
      </c>
      <c r="D203" s="10" t="str">
        <f aca="false">INDEX('Site-uri'!$B$2:$B$20,MATCH(C203,'Site-uri'!$A$2:$A$20,0))</f>
        <v>3webobs.com</v>
      </c>
      <c r="E203" s="10" t="str">
        <f aca="false">INDEX('Site-uri'!$C$2:$C$20,MATCH(C203,'Site-uri'!$A$2:$A$20,0))</f>
        <v>/</v>
      </c>
      <c r="F203" s="10" t="str">
        <f aca="false">B203</f>
        <v>eu-112.eu</v>
      </c>
      <c r="G203" s="10" t="str">
        <f aca="false">Config!$B$5</f>
        <v>network</v>
      </c>
      <c r="H203" s="10" t="str">
        <f aca="false">Config!$B$3</f>
        <v>2610_ff_lansare</v>
      </c>
      <c r="I203" s="10" t="str">
        <f aca="false">Config!$B$4</f>
        <v>general</v>
      </c>
      <c r="J203" s="10" t="str">
        <f aca="false">"https://"&amp;D203&amp;E203&amp;"?utm_source="&amp;F203&amp;"&amp;utm_medium="&amp;G203&amp;"&amp;utm_campaign="&amp;H203&amp;"&amp;utm_content="&amp;I203</f>
        <v>https://3webobs.com/?utm_source=eu-112.eu&amp;utm_medium=network&amp;utm_campaign=2610_ff_lansare&amp;utm_content=general</v>
      </c>
    </row>
    <row r="204" customFormat="false" ht="15" hidden="false" customHeight="false" outlineLevel="0" collapsed="false">
      <c r="A204" s="10" t="s">
        <v>79</v>
      </c>
      <c r="B204" s="10" t="str">
        <f aca="false">INDEX('Site-uri'!$B$2:$B$20,MATCH(A204,'Site-uri'!$A$2:$A$20,0))</f>
        <v>eu-112.eu</v>
      </c>
      <c r="C204" s="10" t="s">
        <v>59</v>
      </c>
      <c r="D204" s="10" t="str">
        <f aca="false">INDEX('Site-uri'!$B$2:$B$20,MATCH(C204,'Site-uri'!$A$2:$A$20,0))</f>
        <v>ai-lens.eu</v>
      </c>
      <c r="E204" s="10" t="str">
        <f aca="false">INDEX('Site-uri'!$C$2:$C$20,MATCH(C204,'Site-uri'!$A$2:$A$20,0))</f>
        <v>/</v>
      </c>
      <c r="F204" s="10" t="str">
        <f aca="false">B204</f>
        <v>eu-112.eu</v>
      </c>
      <c r="G204" s="10" t="str">
        <f aca="false">Config!$B$5</f>
        <v>network</v>
      </c>
      <c r="H204" s="10" t="str">
        <f aca="false">Config!$B$3</f>
        <v>2610_ff_lansare</v>
      </c>
      <c r="I204" s="10" t="str">
        <f aca="false">Config!$B$4</f>
        <v>general</v>
      </c>
      <c r="J204" s="10" t="str">
        <f aca="false">"https://"&amp;D204&amp;E204&amp;"?utm_source="&amp;F204&amp;"&amp;utm_medium="&amp;G204&amp;"&amp;utm_campaign="&amp;H204&amp;"&amp;utm_content="&amp;I204</f>
        <v>https://ai-lens.eu/?utm_source=eu-112.eu&amp;utm_medium=network&amp;utm_campaign=2610_ff_lansare&amp;utm_content=general</v>
      </c>
    </row>
    <row r="205" customFormat="false" ht="15" hidden="false" customHeight="false" outlineLevel="0" collapsed="false">
      <c r="A205" s="10" t="s">
        <v>79</v>
      </c>
      <c r="B205" s="10" t="str">
        <f aca="false">INDEX('Site-uri'!$B$2:$B$20,MATCH(A205,'Site-uri'!$A$2:$A$20,0))</f>
        <v>eu-112.eu</v>
      </c>
      <c r="C205" s="10" t="s">
        <v>62</v>
      </c>
      <c r="D205" s="10" t="str">
        <f aca="false">INDEX('Site-uri'!$B$2:$B$20,MATCH(C205,'Site-uri'!$A$2:$A$20,0))</f>
        <v>aireadyinjector.com</v>
      </c>
      <c r="E205" s="10" t="str">
        <f aca="false">INDEX('Site-uri'!$C$2:$C$20,MATCH(C205,'Site-uri'!$A$2:$A$20,0))</f>
        <v>/</v>
      </c>
      <c r="F205" s="10" t="str">
        <f aca="false">B205</f>
        <v>eu-112.eu</v>
      </c>
      <c r="G205" s="10" t="str">
        <f aca="false">Config!$B$5</f>
        <v>network</v>
      </c>
      <c r="H205" s="10" t="str">
        <f aca="false">Config!$B$3</f>
        <v>2610_ff_lansare</v>
      </c>
      <c r="I205" s="10" t="str">
        <f aca="false">Config!$B$4</f>
        <v>general</v>
      </c>
      <c r="J205" s="10" t="str">
        <f aca="false">"https://"&amp;D205&amp;E205&amp;"?utm_source="&amp;F205&amp;"&amp;utm_medium="&amp;G205&amp;"&amp;utm_campaign="&amp;H205&amp;"&amp;utm_content="&amp;I205</f>
        <v>https://aireadyinjector.com/?utm_source=eu-112.eu&amp;utm_medium=network&amp;utm_campaign=2610_ff_lansare&amp;utm_content=general</v>
      </c>
    </row>
    <row r="206" customFormat="false" ht="15" hidden="false" customHeight="false" outlineLevel="0" collapsed="false">
      <c r="A206" s="10" t="s">
        <v>79</v>
      </c>
      <c r="B206" s="10" t="str">
        <f aca="false">INDEX('Site-uri'!$B$2:$B$20,MATCH(A206,'Site-uri'!$A$2:$A$20,0))</f>
        <v>eu-112.eu</v>
      </c>
      <c r="C206" s="10" t="s">
        <v>65</v>
      </c>
      <c r="D206" s="10" t="str">
        <f aca="false">INDEX('Site-uri'!$B$2:$B$20,MATCH(C206,'Site-uri'!$A$2:$A$20,0))</f>
        <v>eu-ai-audit.eu</v>
      </c>
      <c r="E206" s="10" t="str">
        <f aca="false">INDEX('Site-uri'!$C$2:$C$20,MATCH(C206,'Site-uri'!$A$2:$A$20,0))</f>
        <v>/</v>
      </c>
      <c r="F206" s="10" t="str">
        <f aca="false">B206</f>
        <v>eu-112.eu</v>
      </c>
      <c r="G206" s="10" t="str">
        <f aca="false">Config!$B$5</f>
        <v>network</v>
      </c>
      <c r="H206" s="10" t="str">
        <f aca="false">Config!$B$3</f>
        <v>2610_ff_lansare</v>
      </c>
      <c r="I206" s="10" t="str">
        <f aca="false">Config!$B$4</f>
        <v>general</v>
      </c>
      <c r="J206" s="10" t="str">
        <f aca="false">"https://"&amp;D206&amp;E206&amp;"?utm_source="&amp;F206&amp;"&amp;utm_medium="&amp;G206&amp;"&amp;utm_campaign="&amp;H206&amp;"&amp;utm_content="&amp;I206</f>
        <v>https://eu-ai-audit.eu/?utm_source=eu-112.eu&amp;utm_medium=network&amp;utm_campaign=2610_ff_lansare&amp;utm_content=general</v>
      </c>
    </row>
    <row r="207" customFormat="false" ht="15" hidden="false" customHeight="false" outlineLevel="0" collapsed="false">
      <c r="A207" s="10" t="s">
        <v>79</v>
      </c>
      <c r="B207" s="10" t="str">
        <f aca="false">INDEX('Site-uri'!$B$2:$B$20,MATCH(A207,'Site-uri'!$A$2:$A$20,0))</f>
        <v>eu-112.eu</v>
      </c>
      <c r="C207" s="10" t="s">
        <v>68</v>
      </c>
      <c r="D207" s="10" t="str">
        <f aca="false">INDEX('Site-uri'!$B$2:$B$20,MATCH(C207,'Site-uri'!$A$2:$A$20,0))</f>
        <v>eu-ai-ready.eu</v>
      </c>
      <c r="E207" s="10" t="str">
        <f aca="false">INDEX('Site-uri'!$C$2:$C$20,MATCH(C207,'Site-uri'!$A$2:$A$20,0))</f>
        <v>/</v>
      </c>
      <c r="F207" s="10" t="str">
        <f aca="false">B207</f>
        <v>eu-112.eu</v>
      </c>
      <c r="G207" s="10" t="str">
        <f aca="false">Config!$B$5</f>
        <v>network</v>
      </c>
      <c r="H207" s="10" t="str">
        <f aca="false">Config!$B$3</f>
        <v>2610_ff_lansare</v>
      </c>
      <c r="I207" s="10" t="str">
        <f aca="false">Config!$B$4</f>
        <v>general</v>
      </c>
      <c r="J207" s="10" t="str">
        <f aca="false">"https://"&amp;D207&amp;E207&amp;"?utm_source="&amp;F207&amp;"&amp;utm_medium="&amp;G207&amp;"&amp;utm_campaign="&amp;H207&amp;"&amp;utm_content="&amp;I207</f>
        <v>https://eu-ai-ready.eu/?utm_source=eu-112.eu&amp;utm_medium=network&amp;utm_campaign=2610_ff_lansare&amp;utm_content=general</v>
      </c>
    </row>
    <row r="208" customFormat="false" ht="15" hidden="false" customHeight="false" outlineLevel="0" collapsed="false">
      <c r="A208" s="10" t="s">
        <v>79</v>
      </c>
      <c r="B208" s="10" t="str">
        <f aca="false">INDEX('Site-uri'!$B$2:$B$20,MATCH(A208,'Site-uri'!$A$2:$A$20,0))</f>
        <v>eu-112.eu</v>
      </c>
      <c r="C208" s="10" t="s">
        <v>70</v>
      </c>
      <c r="D208" s="10" t="str">
        <f aca="false">INDEX('Site-uri'!$B$2:$B$20,MATCH(C208,'Site-uri'!$A$2:$A$20,0))</f>
        <v>eu-ai-act.ro</v>
      </c>
      <c r="E208" s="10" t="str">
        <f aca="false">INDEX('Site-uri'!$C$2:$C$20,MATCH(C208,'Site-uri'!$A$2:$A$20,0))</f>
        <v>/</v>
      </c>
      <c r="F208" s="10" t="str">
        <f aca="false">B208</f>
        <v>eu-112.eu</v>
      </c>
      <c r="G208" s="10" t="str">
        <f aca="false">Config!$B$5</f>
        <v>network</v>
      </c>
      <c r="H208" s="10" t="str">
        <f aca="false">Config!$B$3</f>
        <v>2610_ff_lansare</v>
      </c>
      <c r="I208" s="10" t="str">
        <f aca="false">Config!$B$4</f>
        <v>general</v>
      </c>
      <c r="J208" s="10" t="str">
        <f aca="false">"https://"&amp;D208&amp;E208&amp;"?utm_source="&amp;F208&amp;"&amp;utm_medium="&amp;G208&amp;"&amp;utm_campaign="&amp;H208&amp;"&amp;utm_content="&amp;I208</f>
        <v>https://eu-ai-act.ro/?utm_source=eu-112.eu&amp;utm_medium=network&amp;utm_campaign=2610_ff_lansare&amp;utm_content=general</v>
      </c>
    </row>
    <row r="209" customFormat="false" ht="15" hidden="false" customHeight="false" outlineLevel="0" collapsed="false">
      <c r="A209" s="10" t="s">
        <v>79</v>
      </c>
      <c r="B209" s="10" t="str">
        <f aca="false">INDEX('Site-uri'!$B$2:$B$20,MATCH(A209,'Site-uri'!$A$2:$A$20,0))</f>
        <v>eu-112.eu</v>
      </c>
      <c r="C209" s="10" t="s">
        <v>73</v>
      </c>
      <c r="D209" s="10" t="str">
        <f aca="false">INDEX('Site-uri'!$B$2:$B$20,MATCH(C209,'Site-uri'!$A$2:$A$20,0))</f>
        <v>eu-ai-act-ready.eu</v>
      </c>
      <c r="E209" s="10" t="str">
        <f aca="false">INDEX('Site-uri'!$C$2:$C$20,MATCH(C209,'Site-uri'!$A$2:$A$20,0))</f>
        <v>/</v>
      </c>
      <c r="F209" s="10" t="str">
        <f aca="false">B209</f>
        <v>eu-112.eu</v>
      </c>
      <c r="G209" s="10" t="str">
        <f aca="false">Config!$B$5</f>
        <v>network</v>
      </c>
      <c r="H209" s="10" t="str">
        <f aca="false">Config!$B$3</f>
        <v>2610_ff_lansare</v>
      </c>
      <c r="I209" s="10" t="str">
        <f aca="false">Config!$B$4</f>
        <v>general</v>
      </c>
      <c r="J209" s="10" t="str">
        <f aca="false">"https://"&amp;D209&amp;E209&amp;"?utm_source="&amp;F209&amp;"&amp;utm_medium="&amp;G209&amp;"&amp;utm_campaign="&amp;H209&amp;"&amp;utm_content="&amp;I209</f>
        <v>https://eu-ai-act-ready.eu/?utm_source=eu-112.eu&amp;utm_medium=network&amp;utm_campaign=2610_ff_lansare&amp;utm_content=general</v>
      </c>
    </row>
    <row r="210" customFormat="false" ht="15" hidden="false" customHeight="false" outlineLevel="0" collapsed="false">
      <c r="A210" s="10" t="s">
        <v>79</v>
      </c>
      <c r="B210" s="10" t="str">
        <f aca="false">INDEX('Site-uri'!$B$2:$B$20,MATCH(A210,'Site-uri'!$A$2:$A$20,0))</f>
        <v>eu-112.eu</v>
      </c>
      <c r="C210" s="10" t="s">
        <v>76</v>
      </c>
      <c r="D210" s="10" t="str">
        <f aca="false">INDEX('Site-uri'!$B$2:$B$20,MATCH(C210,'Site-uri'!$A$2:$A$20,0))</f>
        <v>eu-112.ro</v>
      </c>
      <c r="E210" s="10" t="str">
        <f aca="false">INDEX('Site-uri'!$C$2:$C$20,MATCH(C210,'Site-uri'!$A$2:$A$20,0))</f>
        <v>/</v>
      </c>
      <c r="F210" s="10" t="str">
        <f aca="false">B210</f>
        <v>eu-112.eu</v>
      </c>
      <c r="G210" s="10" t="str">
        <f aca="false">Config!$B$5</f>
        <v>network</v>
      </c>
      <c r="H210" s="10" t="str">
        <f aca="false">Config!$B$3</f>
        <v>2610_ff_lansare</v>
      </c>
      <c r="I210" s="10" t="str">
        <f aca="false">Config!$B$4</f>
        <v>general</v>
      </c>
      <c r="J210" s="10" t="str">
        <f aca="false">"https://"&amp;D210&amp;E210&amp;"?utm_source="&amp;F210&amp;"&amp;utm_medium="&amp;G210&amp;"&amp;utm_campaign="&amp;H210&amp;"&amp;utm_content="&amp;I210</f>
        <v>https://eu-112.ro/?utm_source=eu-112.eu&amp;utm_medium=network&amp;utm_campaign=2610_ff_lansare&amp;utm_content=general</v>
      </c>
    </row>
    <row r="211" customFormat="false" ht="15" hidden="false" customHeight="false" outlineLevel="0" collapsed="false">
      <c r="A211" s="10" t="s">
        <v>79</v>
      </c>
      <c r="B211" s="10" t="str">
        <f aca="false">INDEX('Site-uri'!$B$2:$B$20,MATCH(A211,'Site-uri'!$A$2:$A$20,0))</f>
        <v>eu-112.eu</v>
      </c>
      <c r="C211" s="10" t="s">
        <v>82</v>
      </c>
      <c r="D211" s="10" t="str">
        <f aca="false">INDEX('Site-uri'!$B$2:$B$20,MATCH(C211,'Site-uri'!$A$2:$A$20,0))</f>
        <v>1clic-ia.eu</v>
      </c>
      <c r="E211" s="10" t="str">
        <f aca="false">INDEX('Site-uri'!$C$2:$C$20,MATCH(C211,'Site-uri'!$A$2:$A$20,0))</f>
        <v>/</v>
      </c>
      <c r="F211" s="10" t="str">
        <f aca="false">B211</f>
        <v>eu-112.eu</v>
      </c>
      <c r="G211" s="10" t="str">
        <f aca="false">Config!$B$5</f>
        <v>network</v>
      </c>
      <c r="H211" s="10" t="str">
        <f aca="false">Config!$B$3</f>
        <v>2610_ff_lansare</v>
      </c>
      <c r="I211" s="10" t="str">
        <f aca="false">Config!$B$4</f>
        <v>general</v>
      </c>
      <c r="J211" s="10" t="str">
        <f aca="false">"https://"&amp;D211&amp;E211&amp;"?utm_source="&amp;F211&amp;"&amp;utm_medium="&amp;G211&amp;"&amp;utm_campaign="&amp;H211&amp;"&amp;utm_content="&amp;I211</f>
        <v>https://1clic-ia.eu/?utm_source=eu-112.eu&amp;utm_medium=network&amp;utm_campaign=2610_ff_lansare&amp;utm_content=general</v>
      </c>
    </row>
    <row r="212" customFormat="false" ht="15" hidden="false" customHeight="false" outlineLevel="0" collapsed="false">
      <c r="A212" s="10" t="s">
        <v>79</v>
      </c>
      <c r="B212" s="10" t="str">
        <f aca="false">INDEX('Site-uri'!$B$2:$B$20,MATCH(A212,'Site-uri'!$A$2:$A$20,0))</f>
        <v>eu-112.eu</v>
      </c>
      <c r="C212" s="10" t="s">
        <v>85</v>
      </c>
      <c r="D212" s="10" t="str">
        <f aca="false">INDEX('Site-uri'!$B$2:$B$20,MATCH(C212,'Site-uri'!$A$2:$A$20,0))</f>
        <v>1clic-ia.fr</v>
      </c>
      <c r="E212" s="10" t="str">
        <f aca="false">INDEX('Site-uri'!$C$2:$C$20,MATCH(C212,'Site-uri'!$A$2:$A$20,0))</f>
        <v>/</v>
      </c>
      <c r="F212" s="10" t="str">
        <f aca="false">B212</f>
        <v>eu-112.eu</v>
      </c>
      <c r="G212" s="10" t="str">
        <f aca="false">Config!$B$5</f>
        <v>network</v>
      </c>
      <c r="H212" s="10" t="str">
        <f aca="false">Config!$B$3</f>
        <v>2610_ff_lansare</v>
      </c>
      <c r="I212" s="10" t="str">
        <f aca="false">Config!$B$4</f>
        <v>general</v>
      </c>
      <c r="J212" s="10" t="str">
        <f aca="false">"https://"&amp;D212&amp;E212&amp;"?utm_source="&amp;F212&amp;"&amp;utm_medium="&amp;G212&amp;"&amp;utm_campaign="&amp;H212&amp;"&amp;utm_content="&amp;I212</f>
        <v>https://1clic-ia.fr/?utm_source=eu-112.eu&amp;utm_medium=network&amp;utm_campaign=2610_ff_lansare&amp;utm_content=general</v>
      </c>
    </row>
    <row r="213" customFormat="false" ht="15" hidden="false" customHeight="false" outlineLevel="0" collapsed="false">
      <c r="A213" s="10" t="s">
        <v>79</v>
      </c>
      <c r="B213" s="10" t="str">
        <f aca="false">INDEX('Site-uri'!$B$2:$B$20,MATCH(A213,'Site-uri'!$A$2:$A$20,0))</f>
        <v>eu-112.eu</v>
      </c>
      <c r="C213" s="10" t="s">
        <v>87</v>
      </c>
      <c r="D213" s="10" t="str">
        <f aca="false">INDEX('Site-uri'!$B$2:$B$20,MATCH(C213,'Site-uri'!$A$2:$A$20,0))</f>
        <v>firmsfinder.eu</v>
      </c>
      <c r="E213" s="10" t="str">
        <f aca="false">INDEX('Site-uri'!$C$2:$C$20,MATCH(C213,'Site-uri'!$A$2:$A$20,0))</f>
        <v>/</v>
      </c>
      <c r="F213" s="10" t="str">
        <f aca="false">B213</f>
        <v>eu-112.eu</v>
      </c>
      <c r="G213" s="10" t="str">
        <f aca="false">Config!$B$5</f>
        <v>network</v>
      </c>
      <c r="H213" s="10" t="str">
        <f aca="false">Config!$B$3</f>
        <v>2610_ff_lansare</v>
      </c>
      <c r="I213" s="10" t="str">
        <f aca="false">Config!$B$4</f>
        <v>general</v>
      </c>
      <c r="J213" s="10" t="str">
        <f aca="false">"https://"&amp;D213&amp;E213&amp;"?utm_source="&amp;F213&amp;"&amp;utm_medium="&amp;G213&amp;"&amp;utm_campaign="&amp;H213&amp;"&amp;utm_content="&amp;I213</f>
        <v>https://firmsfinder.eu/?utm_source=eu-112.eu&amp;utm_medium=network&amp;utm_campaign=2610_ff_lansare&amp;utm_content=general</v>
      </c>
    </row>
    <row r="214" customFormat="false" ht="15" hidden="false" customHeight="false" outlineLevel="0" collapsed="false">
      <c r="A214" s="10" t="s">
        <v>79</v>
      </c>
      <c r="B214" s="10" t="str">
        <f aca="false">INDEX('Site-uri'!$B$2:$B$20,MATCH(A214,'Site-uri'!$A$2:$A$20,0))</f>
        <v>eu-112.eu</v>
      </c>
      <c r="C214" s="10" t="s">
        <v>90</v>
      </c>
      <c r="D214" s="10" t="str">
        <f aca="false">INDEX('Site-uri'!$B$2:$B$20,MATCH(C214,'Site-uri'!$A$2:$A$20,0))</f>
        <v>b2b-ai-library.org</v>
      </c>
      <c r="E214" s="10" t="str">
        <f aca="false">INDEX('Site-uri'!$C$2:$C$20,MATCH(C214,'Site-uri'!$A$2:$A$20,0))</f>
        <v>/</v>
      </c>
      <c r="F214" s="10" t="str">
        <f aca="false">B214</f>
        <v>eu-112.eu</v>
      </c>
      <c r="G214" s="10" t="str">
        <f aca="false">Config!$B$5</f>
        <v>network</v>
      </c>
      <c r="H214" s="10" t="str">
        <f aca="false">Config!$B$3</f>
        <v>2610_ff_lansare</v>
      </c>
      <c r="I214" s="10" t="str">
        <f aca="false">Config!$B$4</f>
        <v>general</v>
      </c>
      <c r="J214" s="10" t="str">
        <f aca="false">"https://"&amp;D214&amp;E214&amp;"?utm_source="&amp;F214&amp;"&amp;utm_medium="&amp;G214&amp;"&amp;utm_campaign="&amp;H214&amp;"&amp;utm_content="&amp;I214</f>
        <v>https://b2b-ai-library.org/?utm_source=eu-112.eu&amp;utm_medium=network&amp;utm_campaign=2610_ff_lansare&amp;utm_content=general</v>
      </c>
    </row>
    <row r="215" customFormat="false" ht="15" hidden="false" customHeight="false" outlineLevel="0" collapsed="false">
      <c r="A215" s="10" t="s">
        <v>79</v>
      </c>
      <c r="B215" s="10" t="str">
        <f aca="false">INDEX('Site-uri'!$B$2:$B$20,MATCH(A215,'Site-uri'!$A$2:$A$20,0))</f>
        <v>eu-112.eu</v>
      </c>
      <c r="C215" s="10" t="s">
        <v>92</v>
      </c>
      <c r="D215" s="10" t="str">
        <f aca="false">INDEX('Site-uri'!$B$2:$B$20,MATCH(C215,'Site-uri'!$A$2:$A$20,0))</f>
        <v>the3webs.com</v>
      </c>
      <c r="E215" s="10" t="str">
        <f aca="false">INDEX('Site-uri'!$C$2:$C$20,MATCH(C215,'Site-uri'!$A$2:$A$20,0))</f>
        <v>/</v>
      </c>
      <c r="F215" s="10" t="str">
        <f aca="false">B215</f>
        <v>eu-112.eu</v>
      </c>
      <c r="G215" s="10" t="str">
        <f aca="false">Config!$B$5</f>
        <v>network</v>
      </c>
      <c r="H215" s="10" t="str">
        <f aca="false">Config!$B$3</f>
        <v>2610_ff_lansare</v>
      </c>
      <c r="I215" s="10" t="str">
        <f aca="false">Config!$B$4</f>
        <v>general</v>
      </c>
      <c r="J215" s="10" t="str">
        <f aca="false">"https://"&amp;D215&amp;E215&amp;"?utm_source="&amp;F215&amp;"&amp;utm_medium="&amp;G215&amp;"&amp;utm_campaign="&amp;H215&amp;"&amp;utm_content="&amp;I215</f>
        <v>https://the3webs.com/?utm_source=eu-112.eu&amp;utm_medium=network&amp;utm_campaign=2610_ff_lansare&amp;utm_content=general</v>
      </c>
    </row>
    <row r="216" customFormat="false" ht="15" hidden="false" customHeight="false" outlineLevel="0" collapsed="false">
      <c r="A216" s="10" t="s">
        <v>79</v>
      </c>
      <c r="B216" s="10" t="str">
        <f aca="false">INDEX('Site-uri'!$B$2:$B$20,MATCH(A216,'Site-uri'!$A$2:$A$20,0))</f>
        <v>eu-112.eu</v>
      </c>
      <c r="C216" s="10" t="s">
        <v>95</v>
      </c>
      <c r="D216" s="10" t="str">
        <f aca="false">INDEX('Site-uri'!$B$2:$B$20,MATCH(C216,'Site-uri'!$A$2:$A$20,0))</f>
        <v>floride-e2.com</v>
      </c>
      <c r="E216" s="10" t="str">
        <f aca="false">INDEX('Site-uri'!$C$2:$C$20,MATCH(C216,'Site-uri'!$A$2:$A$20,0))</f>
        <v>/</v>
      </c>
      <c r="F216" s="10" t="str">
        <f aca="false">B216</f>
        <v>eu-112.eu</v>
      </c>
      <c r="G216" s="10" t="str">
        <f aca="false">Config!$B$5</f>
        <v>network</v>
      </c>
      <c r="H216" s="10" t="str">
        <f aca="false">Config!$B$3</f>
        <v>2610_ff_lansare</v>
      </c>
      <c r="I216" s="10" t="str">
        <f aca="false">Config!$B$4</f>
        <v>general</v>
      </c>
      <c r="J216" s="10" t="str">
        <f aca="false">"https://"&amp;D216&amp;E216&amp;"?utm_source="&amp;F216&amp;"&amp;utm_medium="&amp;G216&amp;"&amp;utm_campaign="&amp;H216&amp;"&amp;utm_content="&amp;I216</f>
        <v>https://floride-e2.com/?utm_source=eu-112.eu&amp;utm_medium=network&amp;utm_campaign=2610_ff_lansare&amp;utm_content=general</v>
      </c>
    </row>
    <row r="217" customFormat="false" ht="15" hidden="false" customHeight="false" outlineLevel="0" collapsed="false">
      <c r="A217" s="10" t="s">
        <v>79</v>
      </c>
      <c r="B217" s="10" t="str">
        <f aca="false">INDEX('Site-uri'!$B$2:$B$20,MATCH(A217,'Site-uri'!$A$2:$A$20,0))</f>
        <v>eu-112.eu</v>
      </c>
      <c r="C217" s="10" t="s">
        <v>97</v>
      </c>
      <c r="D217" s="10" t="str">
        <f aca="false">INDEX('Site-uri'!$B$2:$B$20,MATCH(C217,'Site-uri'!$A$2:$A$20,0))</f>
        <v>ecbtax.com</v>
      </c>
      <c r="E217" s="10" t="str">
        <f aca="false">INDEX('Site-uri'!$C$2:$C$20,MATCH(C217,'Site-uri'!$A$2:$A$20,0))</f>
        <v>/</v>
      </c>
      <c r="F217" s="10" t="str">
        <f aca="false">B217</f>
        <v>eu-112.eu</v>
      </c>
      <c r="G217" s="10" t="str">
        <f aca="false">Config!$B$5</f>
        <v>network</v>
      </c>
      <c r="H217" s="10" t="str">
        <f aca="false">Config!$B$3</f>
        <v>2610_ff_lansare</v>
      </c>
      <c r="I217" s="10" t="str">
        <f aca="false">Config!$B$4</f>
        <v>general</v>
      </c>
      <c r="J217" s="10" t="str">
        <f aca="false">"https://"&amp;D217&amp;E217&amp;"?utm_source="&amp;F217&amp;"&amp;utm_medium="&amp;G217&amp;"&amp;utm_campaign="&amp;H217&amp;"&amp;utm_content="&amp;I217</f>
        <v>https://ecbtax.com/?utm_source=eu-112.eu&amp;utm_medium=network&amp;utm_campaign=2610_ff_lansare&amp;utm_content=general</v>
      </c>
    </row>
    <row r="218" customFormat="false" ht="15" hidden="false" customHeight="false" outlineLevel="0" collapsed="false">
      <c r="A218" s="10" t="s">
        <v>82</v>
      </c>
      <c r="B218" s="10" t="str">
        <f aca="false">INDEX('Site-uri'!$B$2:$B$20,MATCH(A218,'Site-uri'!$A$2:$A$20,0))</f>
        <v>1clic-ia.eu</v>
      </c>
      <c r="C218" s="10" t="s">
        <v>46</v>
      </c>
      <c r="D218" s="10" t="str">
        <f aca="false">INDEX('Site-uri'!$B$2:$B$20,MATCH(C218,'Site-uri'!$A$2:$A$20,0))</f>
        <v>5thelement.ai</v>
      </c>
      <c r="E218" s="10" t="str">
        <f aca="false">INDEX('Site-uri'!$C$2:$C$20,MATCH(C218,'Site-uri'!$A$2:$A$20,0))</f>
        <v>/</v>
      </c>
      <c r="F218" s="10" t="str">
        <f aca="false">B218</f>
        <v>1clic-ia.eu</v>
      </c>
      <c r="G218" s="10" t="str">
        <f aca="false">Config!$B$5</f>
        <v>network</v>
      </c>
      <c r="H218" s="10" t="str">
        <f aca="false">Config!$B$3</f>
        <v>2610_ff_lansare</v>
      </c>
      <c r="I218" s="10" t="str">
        <f aca="false">Config!$B$4</f>
        <v>general</v>
      </c>
      <c r="J218" s="10" t="str">
        <f aca="false">"https://"&amp;D218&amp;E218&amp;"?utm_source="&amp;F218&amp;"&amp;utm_medium="&amp;G218&amp;"&amp;utm_campaign="&amp;H218&amp;"&amp;utm_content="&amp;I218</f>
        <v>https://5thelement.ai/?utm_source=1clic-ia.eu&amp;utm_medium=network&amp;utm_campaign=2610_ff_lansare&amp;utm_content=general</v>
      </c>
    </row>
    <row r="219" customFormat="false" ht="15" hidden="false" customHeight="false" outlineLevel="0" collapsed="false">
      <c r="A219" s="10" t="s">
        <v>82</v>
      </c>
      <c r="B219" s="10" t="str">
        <f aca="false">INDEX('Site-uri'!$B$2:$B$20,MATCH(A219,'Site-uri'!$A$2:$A$20,0))</f>
        <v>1clic-ia.eu</v>
      </c>
      <c r="C219" s="10" t="s">
        <v>50</v>
      </c>
      <c r="D219" s="10" t="str">
        <f aca="false">INDEX('Site-uri'!$B$2:$B$20,MATCH(C219,'Site-uri'!$A$2:$A$20,0))</f>
        <v>aiventure.ro</v>
      </c>
      <c r="E219" s="10" t="str">
        <f aca="false">INDEX('Site-uri'!$C$2:$C$20,MATCH(C219,'Site-uri'!$A$2:$A$20,0))</f>
        <v>/</v>
      </c>
      <c r="F219" s="10" t="str">
        <f aca="false">B219</f>
        <v>1clic-ia.eu</v>
      </c>
      <c r="G219" s="10" t="str">
        <f aca="false">Config!$B$5</f>
        <v>network</v>
      </c>
      <c r="H219" s="10" t="str">
        <f aca="false">Config!$B$3</f>
        <v>2610_ff_lansare</v>
      </c>
      <c r="I219" s="10" t="str">
        <f aca="false">Config!$B$4</f>
        <v>general</v>
      </c>
      <c r="J219" s="10" t="str">
        <f aca="false">"https://"&amp;D219&amp;E219&amp;"?utm_source="&amp;F219&amp;"&amp;utm_medium="&amp;G219&amp;"&amp;utm_campaign="&amp;H219&amp;"&amp;utm_content="&amp;I219</f>
        <v>https://aiventure.ro/?utm_source=1clic-ia.eu&amp;utm_medium=network&amp;utm_campaign=2610_ff_lansare&amp;utm_content=general</v>
      </c>
    </row>
    <row r="220" customFormat="false" ht="15" hidden="false" customHeight="false" outlineLevel="0" collapsed="false">
      <c r="A220" s="10" t="s">
        <v>82</v>
      </c>
      <c r="B220" s="10" t="str">
        <f aca="false">INDEX('Site-uri'!$B$2:$B$20,MATCH(A220,'Site-uri'!$A$2:$A$20,0))</f>
        <v>1clic-ia.eu</v>
      </c>
      <c r="C220" s="10" t="s">
        <v>53</v>
      </c>
      <c r="D220" s="10" t="str">
        <f aca="false">INDEX('Site-uri'!$B$2:$B$20,MATCH(C220,'Site-uri'!$A$2:$A$20,0))</f>
        <v>aiventure.uk</v>
      </c>
      <c r="E220" s="10" t="str">
        <f aca="false">INDEX('Site-uri'!$C$2:$C$20,MATCH(C220,'Site-uri'!$A$2:$A$20,0))</f>
        <v>/</v>
      </c>
      <c r="F220" s="10" t="str">
        <f aca="false">B220</f>
        <v>1clic-ia.eu</v>
      </c>
      <c r="G220" s="10" t="str">
        <f aca="false">Config!$B$5</f>
        <v>network</v>
      </c>
      <c r="H220" s="10" t="str">
        <f aca="false">Config!$B$3</f>
        <v>2610_ff_lansare</v>
      </c>
      <c r="I220" s="10" t="str">
        <f aca="false">Config!$B$4</f>
        <v>general</v>
      </c>
      <c r="J220" s="10" t="str">
        <f aca="false">"https://"&amp;D220&amp;E220&amp;"?utm_source="&amp;F220&amp;"&amp;utm_medium="&amp;G220&amp;"&amp;utm_campaign="&amp;H220&amp;"&amp;utm_content="&amp;I220</f>
        <v>https://aiventure.uk/?utm_source=1clic-ia.eu&amp;utm_medium=network&amp;utm_campaign=2610_ff_lansare&amp;utm_content=general</v>
      </c>
    </row>
    <row r="221" customFormat="false" ht="15" hidden="false" customHeight="false" outlineLevel="0" collapsed="false">
      <c r="A221" s="10" t="s">
        <v>82</v>
      </c>
      <c r="B221" s="10" t="str">
        <f aca="false">INDEX('Site-uri'!$B$2:$B$20,MATCH(A221,'Site-uri'!$A$2:$A$20,0))</f>
        <v>1clic-ia.eu</v>
      </c>
      <c r="C221" s="10" t="s">
        <v>56</v>
      </c>
      <c r="D221" s="10" t="str">
        <f aca="false">INDEX('Site-uri'!$B$2:$B$20,MATCH(C221,'Site-uri'!$A$2:$A$20,0))</f>
        <v>3webobs.com</v>
      </c>
      <c r="E221" s="10" t="str">
        <f aca="false">INDEX('Site-uri'!$C$2:$C$20,MATCH(C221,'Site-uri'!$A$2:$A$20,0))</f>
        <v>/</v>
      </c>
      <c r="F221" s="10" t="str">
        <f aca="false">B221</f>
        <v>1clic-ia.eu</v>
      </c>
      <c r="G221" s="10" t="str">
        <f aca="false">Config!$B$5</f>
        <v>network</v>
      </c>
      <c r="H221" s="10" t="str">
        <f aca="false">Config!$B$3</f>
        <v>2610_ff_lansare</v>
      </c>
      <c r="I221" s="10" t="str">
        <f aca="false">Config!$B$4</f>
        <v>general</v>
      </c>
      <c r="J221" s="10" t="str">
        <f aca="false">"https://"&amp;D221&amp;E221&amp;"?utm_source="&amp;F221&amp;"&amp;utm_medium="&amp;G221&amp;"&amp;utm_campaign="&amp;H221&amp;"&amp;utm_content="&amp;I221</f>
        <v>https://3webobs.com/?utm_source=1clic-ia.eu&amp;utm_medium=network&amp;utm_campaign=2610_ff_lansare&amp;utm_content=general</v>
      </c>
    </row>
    <row r="222" customFormat="false" ht="15" hidden="false" customHeight="false" outlineLevel="0" collapsed="false">
      <c r="A222" s="10" t="s">
        <v>82</v>
      </c>
      <c r="B222" s="10" t="str">
        <f aca="false">INDEX('Site-uri'!$B$2:$B$20,MATCH(A222,'Site-uri'!$A$2:$A$20,0))</f>
        <v>1clic-ia.eu</v>
      </c>
      <c r="C222" s="10" t="s">
        <v>59</v>
      </c>
      <c r="D222" s="10" t="str">
        <f aca="false">INDEX('Site-uri'!$B$2:$B$20,MATCH(C222,'Site-uri'!$A$2:$A$20,0))</f>
        <v>ai-lens.eu</v>
      </c>
      <c r="E222" s="10" t="str">
        <f aca="false">INDEX('Site-uri'!$C$2:$C$20,MATCH(C222,'Site-uri'!$A$2:$A$20,0))</f>
        <v>/</v>
      </c>
      <c r="F222" s="10" t="str">
        <f aca="false">B222</f>
        <v>1clic-ia.eu</v>
      </c>
      <c r="G222" s="10" t="str">
        <f aca="false">Config!$B$5</f>
        <v>network</v>
      </c>
      <c r="H222" s="10" t="str">
        <f aca="false">Config!$B$3</f>
        <v>2610_ff_lansare</v>
      </c>
      <c r="I222" s="10" t="str">
        <f aca="false">Config!$B$4</f>
        <v>general</v>
      </c>
      <c r="J222" s="10" t="str">
        <f aca="false">"https://"&amp;D222&amp;E222&amp;"?utm_source="&amp;F222&amp;"&amp;utm_medium="&amp;G222&amp;"&amp;utm_campaign="&amp;H222&amp;"&amp;utm_content="&amp;I222</f>
        <v>https://ai-lens.eu/?utm_source=1clic-ia.eu&amp;utm_medium=network&amp;utm_campaign=2610_ff_lansare&amp;utm_content=general</v>
      </c>
    </row>
    <row r="223" customFormat="false" ht="15" hidden="false" customHeight="false" outlineLevel="0" collapsed="false">
      <c r="A223" s="10" t="s">
        <v>82</v>
      </c>
      <c r="B223" s="10" t="str">
        <f aca="false">INDEX('Site-uri'!$B$2:$B$20,MATCH(A223,'Site-uri'!$A$2:$A$20,0))</f>
        <v>1clic-ia.eu</v>
      </c>
      <c r="C223" s="10" t="s">
        <v>62</v>
      </c>
      <c r="D223" s="10" t="str">
        <f aca="false">INDEX('Site-uri'!$B$2:$B$20,MATCH(C223,'Site-uri'!$A$2:$A$20,0))</f>
        <v>aireadyinjector.com</v>
      </c>
      <c r="E223" s="10" t="str">
        <f aca="false">INDEX('Site-uri'!$C$2:$C$20,MATCH(C223,'Site-uri'!$A$2:$A$20,0))</f>
        <v>/</v>
      </c>
      <c r="F223" s="10" t="str">
        <f aca="false">B223</f>
        <v>1clic-ia.eu</v>
      </c>
      <c r="G223" s="10" t="str">
        <f aca="false">Config!$B$5</f>
        <v>network</v>
      </c>
      <c r="H223" s="10" t="str">
        <f aca="false">Config!$B$3</f>
        <v>2610_ff_lansare</v>
      </c>
      <c r="I223" s="10" t="str">
        <f aca="false">Config!$B$4</f>
        <v>general</v>
      </c>
      <c r="J223" s="10" t="str">
        <f aca="false">"https://"&amp;D223&amp;E223&amp;"?utm_source="&amp;F223&amp;"&amp;utm_medium="&amp;G223&amp;"&amp;utm_campaign="&amp;H223&amp;"&amp;utm_content="&amp;I223</f>
        <v>https://aireadyinjector.com/?utm_source=1clic-ia.eu&amp;utm_medium=network&amp;utm_campaign=2610_ff_lansare&amp;utm_content=general</v>
      </c>
    </row>
    <row r="224" customFormat="false" ht="15" hidden="false" customHeight="false" outlineLevel="0" collapsed="false">
      <c r="A224" s="10" t="s">
        <v>82</v>
      </c>
      <c r="B224" s="10" t="str">
        <f aca="false">INDEX('Site-uri'!$B$2:$B$20,MATCH(A224,'Site-uri'!$A$2:$A$20,0))</f>
        <v>1clic-ia.eu</v>
      </c>
      <c r="C224" s="10" t="s">
        <v>65</v>
      </c>
      <c r="D224" s="10" t="str">
        <f aca="false">INDEX('Site-uri'!$B$2:$B$20,MATCH(C224,'Site-uri'!$A$2:$A$20,0))</f>
        <v>eu-ai-audit.eu</v>
      </c>
      <c r="E224" s="10" t="str">
        <f aca="false">INDEX('Site-uri'!$C$2:$C$20,MATCH(C224,'Site-uri'!$A$2:$A$20,0))</f>
        <v>/</v>
      </c>
      <c r="F224" s="10" t="str">
        <f aca="false">B224</f>
        <v>1clic-ia.eu</v>
      </c>
      <c r="G224" s="10" t="str">
        <f aca="false">Config!$B$5</f>
        <v>network</v>
      </c>
      <c r="H224" s="10" t="str">
        <f aca="false">Config!$B$3</f>
        <v>2610_ff_lansare</v>
      </c>
      <c r="I224" s="10" t="str">
        <f aca="false">Config!$B$4</f>
        <v>general</v>
      </c>
      <c r="J224" s="10" t="str">
        <f aca="false">"https://"&amp;D224&amp;E224&amp;"?utm_source="&amp;F224&amp;"&amp;utm_medium="&amp;G224&amp;"&amp;utm_campaign="&amp;H224&amp;"&amp;utm_content="&amp;I224</f>
        <v>https://eu-ai-audit.eu/?utm_source=1clic-ia.eu&amp;utm_medium=network&amp;utm_campaign=2610_ff_lansare&amp;utm_content=general</v>
      </c>
    </row>
    <row r="225" customFormat="false" ht="15" hidden="false" customHeight="false" outlineLevel="0" collapsed="false">
      <c r="A225" s="10" t="s">
        <v>82</v>
      </c>
      <c r="B225" s="10" t="str">
        <f aca="false">INDEX('Site-uri'!$B$2:$B$20,MATCH(A225,'Site-uri'!$A$2:$A$20,0))</f>
        <v>1clic-ia.eu</v>
      </c>
      <c r="C225" s="10" t="s">
        <v>68</v>
      </c>
      <c r="D225" s="10" t="str">
        <f aca="false">INDEX('Site-uri'!$B$2:$B$20,MATCH(C225,'Site-uri'!$A$2:$A$20,0))</f>
        <v>eu-ai-ready.eu</v>
      </c>
      <c r="E225" s="10" t="str">
        <f aca="false">INDEX('Site-uri'!$C$2:$C$20,MATCH(C225,'Site-uri'!$A$2:$A$20,0))</f>
        <v>/</v>
      </c>
      <c r="F225" s="10" t="str">
        <f aca="false">B225</f>
        <v>1clic-ia.eu</v>
      </c>
      <c r="G225" s="10" t="str">
        <f aca="false">Config!$B$5</f>
        <v>network</v>
      </c>
      <c r="H225" s="10" t="str">
        <f aca="false">Config!$B$3</f>
        <v>2610_ff_lansare</v>
      </c>
      <c r="I225" s="10" t="str">
        <f aca="false">Config!$B$4</f>
        <v>general</v>
      </c>
      <c r="J225" s="10" t="str">
        <f aca="false">"https://"&amp;D225&amp;E225&amp;"?utm_source="&amp;F225&amp;"&amp;utm_medium="&amp;G225&amp;"&amp;utm_campaign="&amp;H225&amp;"&amp;utm_content="&amp;I225</f>
        <v>https://eu-ai-ready.eu/?utm_source=1clic-ia.eu&amp;utm_medium=network&amp;utm_campaign=2610_ff_lansare&amp;utm_content=general</v>
      </c>
    </row>
    <row r="226" customFormat="false" ht="15" hidden="false" customHeight="false" outlineLevel="0" collapsed="false">
      <c r="A226" s="10" t="s">
        <v>82</v>
      </c>
      <c r="B226" s="10" t="str">
        <f aca="false">INDEX('Site-uri'!$B$2:$B$20,MATCH(A226,'Site-uri'!$A$2:$A$20,0))</f>
        <v>1clic-ia.eu</v>
      </c>
      <c r="C226" s="10" t="s">
        <v>70</v>
      </c>
      <c r="D226" s="10" t="str">
        <f aca="false">INDEX('Site-uri'!$B$2:$B$20,MATCH(C226,'Site-uri'!$A$2:$A$20,0))</f>
        <v>eu-ai-act.ro</v>
      </c>
      <c r="E226" s="10" t="str">
        <f aca="false">INDEX('Site-uri'!$C$2:$C$20,MATCH(C226,'Site-uri'!$A$2:$A$20,0))</f>
        <v>/</v>
      </c>
      <c r="F226" s="10" t="str">
        <f aca="false">B226</f>
        <v>1clic-ia.eu</v>
      </c>
      <c r="G226" s="10" t="str">
        <f aca="false">Config!$B$5</f>
        <v>network</v>
      </c>
      <c r="H226" s="10" t="str">
        <f aca="false">Config!$B$3</f>
        <v>2610_ff_lansare</v>
      </c>
      <c r="I226" s="10" t="str">
        <f aca="false">Config!$B$4</f>
        <v>general</v>
      </c>
      <c r="J226" s="10" t="str">
        <f aca="false">"https://"&amp;D226&amp;E226&amp;"?utm_source="&amp;F226&amp;"&amp;utm_medium="&amp;G226&amp;"&amp;utm_campaign="&amp;H226&amp;"&amp;utm_content="&amp;I226</f>
        <v>https://eu-ai-act.ro/?utm_source=1clic-ia.eu&amp;utm_medium=network&amp;utm_campaign=2610_ff_lansare&amp;utm_content=general</v>
      </c>
    </row>
    <row r="227" customFormat="false" ht="15" hidden="false" customHeight="false" outlineLevel="0" collapsed="false">
      <c r="A227" s="10" t="s">
        <v>82</v>
      </c>
      <c r="B227" s="10" t="str">
        <f aca="false">INDEX('Site-uri'!$B$2:$B$20,MATCH(A227,'Site-uri'!$A$2:$A$20,0))</f>
        <v>1clic-ia.eu</v>
      </c>
      <c r="C227" s="10" t="s">
        <v>73</v>
      </c>
      <c r="D227" s="10" t="str">
        <f aca="false">INDEX('Site-uri'!$B$2:$B$20,MATCH(C227,'Site-uri'!$A$2:$A$20,0))</f>
        <v>eu-ai-act-ready.eu</v>
      </c>
      <c r="E227" s="10" t="str">
        <f aca="false">INDEX('Site-uri'!$C$2:$C$20,MATCH(C227,'Site-uri'!$A$2:$A$20,0))</f>
        <v>/</v>
      </c>
      <c r="F227" s="10" t="str">
        <f aca="false">B227</f>
        <v>1clic-ia.eu</v>
      </c>
      <c r="G227" s="10" t="str">
        <f aca="false">Config!$B$5</f>
        <v>network</v>
      </c>
      <c r="H227" s="10" t="str">
        <f aca="false">Config!$B$3</f>
        <v>2610_ff_lansare</v>
      </c>
      <c r="I227" s="10" t="str">
        <f aca="false">Config!$B$4</f>
        <v>general</v>
      </c>
      <c r="J227" s="10" t="str">
        <f aca="false">"https://"&amp;D227&amp;E227&amp;"?utm_source="&amp;F227&amp;"&amp;utm_medium="&amp;G227&amp;"&amp;utm_campaign="&amp;H227&amp;"&amp;utm_content="&amp;I227</f>
        <v>https://eu-ai-act-ready.eu/?utm_source=1clic-ia.eu&amp;utm_medium=network&amp;utm_campaign=2610_ff_lansare&amp;utm_content=general</v>
      </c>
    </row>
    <row r="228" customFormat="false" ht="15" hidden="false" customHeight="false" outlineLevel="0" collapsed="false">
      <c r="A228" s="10" t="s">
        <v>82</v>
      </c>
      <c r="B228" s="10" t="str">
        <f aca="false">INDEX('Site-uri'!$B$2:$B$20,MATCH(A228,'Site-uri'!$A$2:$A$20,0))</f>
        <v>1clic-ia.eu</v>
      </c>
      <c r="C228" s="10" t="s">
        <v>76</v>
      </c>
      <c r="D228" s="10" t="str">
        <f aca="false">INDEX('Site-uri'!$B$2:$B$20,MATCH(C228,'Site-uri'!$A$2:$A$20,0))</f>
        <v>eu-112.ro</v>
      </c>
      <c r="E228" s="10" t="str">
        <f aca="false">INDEX('Site-uri'!$C$2:$C$20,MATCH(C228,'Site-uri'!$A$2:$A$20,0))</f>
        <v>/</v>
      </c>
      <c r="F228" s="10" t="str">
        <f aca="false">B228</f>
        <v>1clic-ia.eu</v>
      </c>
      <c r="G228" s="10" t="str">
        <f aca="false">Config!$B$5</f>
        <v>network</v>
      </c>
      <c r="H228" s="10" t="str">
        <f aca="false">Config!$B$3</f>
        <v>2610_ff_lansare</v>
      </c>
      <c r="I228" s="10" t="str">
        <f aca="false">Config!$B$4</f>
        <v>general</v>
      </c>
      <c r="J228" s="10" t="str">
        <f aca="false">"https://"&amp;D228&amp;E228&amp;"?utm_source="&amp;F228&amp;"&amp;utm_medium="&amp;G228&amp;"&amp;utm_campaign="&amp;H228&amp;"&amp;utm_content="&amp;I228</f>
        <v>https://eu-112.ro/?utm_source=1clic-ia.eu&amp;utm_medium=network&amp;utm_campaign=2610_ff_lansare&amp;utm_content=general</v>
      </c>
    </row>
    <row r="229" customFormat="false" ht="15" hidden="false" customHeight="false" outlineLevel="0" collapsed="false">
      <c r="A229" s="10" t="s">
        <v>82</v>
      </c>
      <c r="B229" s="10" t="str">
        <f aca="false">INDEX('Site-uri'!$B$2:$B$20,MATCH(A229,'Site-uri'!$A$2:$A$20,0))</f>
        <v>1clic-ia.eu</v>
      </c>
      <c r="C229" s="10" t="s">
        <v>79</v>
      </c>
      <c r="D229" s="10" t="str">
        <f aca="false">INDEX('Site-uri'!$B$2:$B$20,MATCH(C229,'Site-uri'!$A$2:$A$20,0))</f>
        <v>eu-112.eu</v>
      </c>
      <c r="E229" s="10" t="str">
        <f aca="false">INDEX('Site-uri'!$C$2:$C$20,MATCH(C229,'Site-uri'!$A$2:$A$20,0))</f>
        <v>/</v>
      </c>
      <c r="F229" s="10" t="str">
        <f aca="false">B229</f>
        <v>1clic-ia.eu</v>
      </c>
      <c r="G229" s="10" t="str">
        <f aca="false">Config!$B$5</f>
        <v>network</v>
      </c>
      <c r="H229" s="10" t="str">
        <f aca="false">Config!$B$3</f>
        <v>2610_ff_lansare</v>
      </c>
      <c r="I229" s="10" t="str">
        <f aca="false">Config!$B$4</f>
        <v>general</v>
      </c>
      <c r="J229" s="10" t="str">
        <f aca="false">"https://"&amp;D229&amp;E229&amp;"?utm_source="&amp;F229&amp;"&amp;utm_medium="&amp;G229&amp;"&amp;utm_campaign="&amp;H229&amp;"&amp;utm_content="&amp;I229</f>
        <v>https://eu-112.eu/?utm_source=1clic-ia.eu&amp;utm_medium=network&amp;utm_campaign=2610_ff_lansare&amp;utm_content=general</v>
      </c>
    </row>
    <row r="230" customFormat="false" ht="15" hidden="false" customHeight="false" outlineLevel="0" collapsed="false">
      <c r="A230" s="10" t="s">
        <v>82</v>
      </c>
      <c r="B230" s="10" t="str">
        <f aca="false">INDEX('Site-uri'!$B$2:$B$20,MATCH(A230,'Site-uri'!$A$2:$A$20,0))</f>
        <v>1clic-ia.eu</v>
      </c>
      <c r="C230" s="10" t="s">
        <v>85</v>
      </c>
      <c r="D230" s="10" t="str">
        <f aca="false">INDEX('Site-uri'!$B$2:$B$20,MATCH(C230,'Site-uri'!$A$2:$A$20,0))</f>
        <v>1clic-ia.fr</v>
      </c>
      <c r="E230" s="10" t="str">
        <f aca="false">INDEX('Site-uri'!$C$2:$C$20,MATCH(C230,'Site-uri'!$A$2:$A$20,0))</f>
        <v>/</v>
      </c>
      <c r="F230" s="10" t="str">
        <f aca="false">B230</f>
        <v>1clic-ia.eu</v>
      </c>
      <c r="G230" s="10" t="str">
        <f aca="false">Config!$B$5</f>
        <v>network</v>
      </c>
      <c r="H230" s="10" t="str">
        <f aca="false">Config!$B$3</f>
        <v>2610_ff_lansare</v>
      </c>
      <c r="I230" s="10" t="str">
        <f aca="false">Config!$B$4</f>
        <v>general</v>
      </c>
      <c r="J230" s="10" t="str">
        <f aca="false">"https://"&amp;D230&amp;E230&amp;"?utm_source="&amp;F230&amp;"&amp;utm_medium="&amp;G230&amp;"&amp;utm_campaign="&amp;H230&amp;"&amp;utm_content="&amp;I230</f>
        <v>https://1clic-ia.fr/?utm_source=1clic-ia.eu&amp;utm_medium=network&amp;utm_campaign=2610_ff_lansare&amp;utm_content=general</v>
      </c>
    </row>
    <row r="231" customFormat="false" ht="15" hidden="false" customHeight="false" outlineLevel="0" collapsed="false">
      <c r="A231" s="10" t="s">
        <v>82</v>
      </c>
      <c r="B231" s="10" t="str">
        <f aca="false">INDEX('Site-uri'!$B$2:$B$20,MATCH(A231,'Site-uri'!$A$2:$A$20,0))</f>
        <v>1clic-ia.eu</v>
      </c>
      <c r="C231" s="10" t="s">
        <v>87</v>
      </c>
      <c r="D231" s="10" t="str">
        <f aca="false">INDEX('Site-uri'!$B$2:$B$20,MATCH(C231,'Site-uri'!$A$2:$A$20,0))</f>
        <v>firmsfinder.eu</v>
      </c>
      <c r="E231" s="10" t="str">
        <f aca="false">INDEX('Site-uri'!$C$2:$C$20,MATCH(C231,'Site-uri'!$A$2:$A$20,0))</f>
        <v>/</v>
      </c>
      <c r="F231" s="10" t="str">
        <f aca="false">B231</f>
        <v>1clic-ia.eu</v>
      </c>
      <c r="G231" s="10" t="str">
        <f aca="false">Config!$B$5</f>
        <v>network</v>
      </c>
      <c r="H231" s="10" t="str">
        <f aca="false">Config!$B$3</f>
        <v>2610_ff_lansare</v>
      </c>
      <c r="I231" s="10" t="str">
        <f aca="false">Config!$B$4</f>
        <v>general</v>
      </c>
      <c r="J231" s="10" t="str">
        <f aca="false">"https://"&amp;D231&amp;E231&amp;"?utm_source="&amp;F231&amp;"&amp;utm_medium="&amp;G231&amp;"&amp;utm_campaign="&amp;H231&amp;"&amp;utm_content="&amp;I231</f>
        <v>https://firmsfinder.eu/?utm_source=1clic-ia.eu&amp;utm_medium=network&amp;utm_campaign=2610_ff_lansare&amp;utm_content=general</v>
      </c>
    </row>
    <row r="232" customFormat="false" ht="15" hidden="false" customHeight="false" outlineLevel="0" collapsed="false">
      <c r="A232" s="10" t="s">
        <v>82</v>
      </c>
      <c r="B232" s="10" t="str">
        <f aca="false">INDEX('Site-uri'!$B$2:$B$20,MATCH(A232,'Site-uri'!$A$2:$A$20,0))</f>
        <v>1clic-ia.eu</v>
      </c>
      <c r="C232" s="10" t="s">
        <v>90</v>
      </c>
      <c r="D232" s="10" t="str">
        <f aca="false">INDEX('Site-uri'!$B$2:$B$20,MATCH(C232,'Site-uri'!$A$2:$A$20,0))</f>
        <v>b2b-ai-library.org</v>
      </c>
      <c r="E232" s="10" t="str">
        <f aca="false">INDEX('Site-uri'!$C$2:$C$20,MATCH(C232,'Site-uri'!$A$2:$A$20,0))</f>
        <v>/</v>
      </c>
      <c r="F232" s="10" t="str">
        <f aca="false">B232</f>
        <v>1clic-ia.eu</v>
      </c>
      <c r="G232" s="10" t="str">
        <f aca="false">Config!$B$5</f>
        <v>network</v>
      </c>
      <c r="H232" s="10" t="str">
        <f aca="false">Config!$B$3</f>
        <v>2610_ff_lansare</v>
      </c>
      <c r="I232" s="10" t="str">
        <f aca="false">Config!$B$4</f>
        <v>general</v>
      </c>
      <c r="J232" s="10" t="str">
        <f aca="false">"https://"&amp;D232&amp;E232&amp;"?utm_source="&amp;F232&amp;"&amp;utm_medium="&amp;G232&amp;"&amp;utm_campaign="&amp;H232&amp;"&amp;utm_content="&amp;I232</f>
        <v>https://b2b-ai-library.org/?utm_source=1clic-ia.eu&amp;utm_medium=network&amp;utm_campaign=2610_ff_lansare&amp;utm_content=general</v>
      </c>
    </row>
    <row r="233" customFormat="false" ht="15" hidden="false" customHeight="false" outlineLevel="0" collapsed="false">
      <c r="A233" s="10" t="s">
        <v>82</v>
      </c>
      <c r="B233" s="10" t="str">
        <f aca="false">INDEX('Site-uri'!$B$2:$B$20,MATCH(A233,'Site-uri'!$A$2:$A$20,0))</f>
        <v>1clic-ia.eu</v>
      </c>
      <c r="C233" s="10" t="s">
        <v>92</v>
      </c>
      <c r="D233" s="10" t="str">
        <f aca="false">INDEX('Site-uri'!$B$2:$B$20,MATCH(C233,'Site-uri'!$A$2:$A$20,0))</f>
        <v>the3webs.com</v>
      </c>
      <c r="E233" s="10" t="str">
        <f aca="false">INDEX('Site-uri'!$C$2:$C$20,MATCH(C233,'Site-uri'!$A$2:$A$20,0))</f>
        <v>/</v>
      </c>
      <c r="F233" s="10" t="str">
        <f aca="false">B233</f>
        <v>1clic-ia.eu</v>
      </c>
      <c r="G233" s="10" t="str">
        <f aca="false">Config!$B$5</f>
        <v>network</v>
      </c>
      <c r="H233" s="10" t="str">
        <f aca="false">Config!$B$3</f>
        <v>2610_ff_lansare</v>
      </c>
      <c r="I233" s="10" t="str">
        <f aca="false">Config!$B$4</f>
        <v>general</v>
      </c>
      <c r="J233" s="10" t="str">
        <f aca="false">"https://"&amp;D233&amp;E233&amp;"?utm_source="&amp;F233&amp;"&amp;utm_medium="&amp;G233&amp;"&amp;utm_campaign="&amp;H233&amp;"&amp;utm_content="&amp;I233</f>
        <v>https://the3webs.com/?utm_source=1clic-ia.eu&amp;utm_medium=network&amp;utm_campaign=2610_ff_lansare&amp;utm_content=general</v>
      </c>
    </row>
    <row r="234" customFormat="false" ht="15" hidden="false" customHeight="false" outlineLevel="0" collapsed="false">
      <c r="A234" s="10" t="s">
        <v>82</v>
      </c>
      <c r="B234" s="10" t="str">
        <f aca="false">INDEX('Site-uri'!$B$2:$B$20,MATCH(A234,'Site-uri'!$A$2:$A$20,0))</f>
        <v>1clic-ia.eu</v>
      </c>
      <c r="C234" s="10" t="s">
        <v>95</v>
      </c>
      <c r="D234" s="10" t="str">
        <f aca="false">INDEX('Site-uri'!$B$2:$B$20,MATCH(C234,'Site-uri'!$A$2:$A$20,0))</f>
        <v>floride-e2.com</v>
      </c>
      <c r="E234" s="10" t="str">
        <f aca="false">INDEX('Site-uri'!$C$2:$C$20,MATCH(C234,'Site-uri'!$A$2:$A$20,0))</f>
        <v>/</v>
      </c>
      <c r="F234" s="10" t="str">
        <f aca="false">B234</f>
        <v>1clic-ia.eu</v>
      </c>
      <c r="G234" s="10" t="str">
        <f aca="false">Config!$B$5</f>
        <v>network</v>
      </c>
      <c r="H234" s="10" t="str">
        <f aca="false">Config!$B$3</f>
        <v>2610_ff_lansare</v>
      </c>
      <c r="I234" s="10" t="str">
        <f aca="false">Config!$B$4</f>
        <v>general</v>
      </c>
      <c r="J234" s="10" t="str">
        <f aca="false">"https://"&amp;D234&amp;E234&amp;"?utm_source="&amp;F234&amp;"&amp;utm_medium="&amp;G234&amp;"&amp;utm_campaign="&amp;H234&amp;"&amp;utm_content="&amp;I234</f>
        <v>https://floride-e2.com/?utm_source=1clic-ia.eu&amp;utm_medium=network&amp;utm_campaign=2610_ff_lansare&amp;utm_content=general</v>
      </c>
    </row>
    <row r="235" customFormat="false" ht="15" hidden="false" customHeight="false" outlineLevel="0" collapsed="false">
      <c r="A235" s="10" t="s">
        <v>82</v>
      </c>
      <c r="B235" s="10" t="str">
        <f aca="false">INDEX('Site-uri'!$B$2:$B$20,MATCH(A235,'Site-uri'!$A$2:$A$20,0))</f>
        <v>1clic-ia.eu</v>
      </c>
      <c r="C235" s="10" t="s">
        <v>97</v>
      </c>
      <c r="D235" s="10" t="str">
        <f aca="false">INDEX('Site-uri'!$B$2:$B$20,MATCH(C235,'Site-uri'!$A$2:$A$20,0))</f>
        <v>ecbtax.com</v>
      </c>
      <c r="E235" s="10" t="str">
        <f aca="false">INDEX('Site-uri'!$C$2:$C$20,MATCH(C235,'Site-uri'!$A$2:$A$20,0))</f>
        <v>/</v>
      </c>
      <c r="F235" s="10" t="str">
        <f aca="false">B235</f>
        <v>1clic-ia.eu</v>
      </c>
      <c r="G235" s="10" t="str">
        <f aca="false">Config!$B$5</f>
        <v>network</v>
      </c>
      <c r="H235" s="10" t="str">
        <f aca="false">Config!$B$3</f>
        <v>2610_ff_lansare</v>
      </c>
      <c r="I235" s="10" t="str">
        <f aca="false">Config!$B$4</f>
        <v>general</v>
      </c>
      <c r="J235" s="10" t="str">
        <f aca="false">"https://"&amp;D235&amp;E235&amp;"?utm_source="&amp;F235&amp;"&amp;utm_medium="&amp;G235&amp;"&amp;utm_campaign="&amp;H235&amp;"&amp;utm_content="&amp;I235</f>
        <v>https://ecbtax.com/?utm_source=1clic-ia.eu&amp;utm_medium=network&amp;utm_campaign=2610_ff_lansare&amp;utm_content=general</v>
      </c>
    </row>
    <row r="236" customFormat="false" ht="15" hidden="false" customHeight="false" outlineLevel="0" collapsed="false">
      <c r="A236" s="10" t="s">
        <v>85</v>
      </c>
      <c r="B236" s="10" t="str">
        <f aca="false">INDEX('Site-uri'!$B$2:$B$20,MATCH(A236,'Site-uri'!$A$2:$A$20,0))</f>
        <v>1clic-ia.fr</v>
      </c>
      <c r="C236" s="10" t="s">
        <v>46</v>
      </c>
      <c r="D236" s="10" t="str">
        <f aca="false">INDEX('Site-uri'!$B$2:$B$20,MATCH(C236,'Site-uri'!$A$2:$A$20,0))</f>
        <v>5thelement.ai</v>
      </c>
      <c r="E236" s="10" t="str">
        <f aca="false">INDEX('Site-uri'!$C$2:$C$20,MATCH(C236,'Site-uri'!$A$2:$A$20,0))</f>
        <v>/</v>
      </c>
      <c r="F236" s="10" t="str">
        <f aca="false">B236</f>
        <v>1clic-ia.fr</v>
      </c>
      <c r="G236" s="10" t="str">
        <f aca="false">Config!$B$5</f>
        <v>network</v>
      </c>
      <c r="H236" s="10" t="str">
        <f aca="false">Config!$B$3</f>
        <v>2610_ff_lansare</v>
      </c>
      <c r="I236" s="10" t="str">
        <f aca="false">Config!$B$4</f>
        <v>general</v>
      </c>
      <c r="J236" s="10" t="str">
        <f aca="false">"https://"&amp;D236&amp;E236&amp;"?utm_source="&amp;F236&amp;"&amp;utm_medium="&amp;G236&amp;"&amp;utm_campaign="&amp;H236&amp;"&amp;utm_content="&amp;I236</f>
        <v>https://5thelement.ai/?utm_source=1clic-ia.fr&amp;utm_medium=network&amp;utm_campaign=2610_ff_lansare&amp;utm_content=general</v>
      </c>
    </row>
    <row r="237" customFormat="false" ht="15" hidden="false" customHeight="false" outlineLevel="0" collapsed="false">
      <c r="A237" s="10" t="s">
        <v>85</v>
      </c>
      <c r="B237" s="10" t="str">
        <f aca="false">INDEX('Site-uri'!$B$2:$B$20,MATCH(A237,'Site-uri'!$A$2:$A$20,0))</f>
        <v>1clic-ia.fr</v>
      </c>
      <c r="C237" s="10" t="s">
        <v>50</v>
      </c>
      <c r="D237" s="10" t="str">
        <f aca="false">INDEX('Site-uri'!$B$2:$B$20,MATCH(C237,'Site-uri'!$A$2:$A$20,0))</f>
        <v>aiventure.ro</v>
      </c>
      <c r="E237" s="10" t="str">
        <f aca="false">INDEX('Site-uri'!$C$2:$C$20,MATCH(C237,'Site-uri'!$A$2:$A$20,0))</f>
        <v>/</v>
      </c>
      <c r="F237" s="10" t="str">
        <f aca="false">B237</f>
        <v>1clic-ia.fr</v>
      </c>
      <c r="G237" s="10" t="str">
        <f aca="false">Config!$B$5</f>
        <v>network</v>
      </c>
      <c r="H237" s="10" t="str">
        <f aca="false">Config!$B$3</f>
        <v>2610_ff_lansare</v>
      </c>
      <c r="I237" s="10" t="str">
        <f aca="false">Config!$B$4</f>
        <v>general</v>
      </c>
      <c r="J237" s="10" t="str">
        <f aca="false">"https://"&amp;D237&amp;E237&amp;"?utm_source="&amp;F237&amp;"&amp;utm_medium="&amp;G237&amp;"&amp;utm_campaign="&amp;H237&amp;"&amp;utm_content="&amp;I237</f>
        <v>https://aiventure.ro/?utm_source=1clic-ia.fr&amp;utm_medium=network&amp;utm_campaign=2610_ff_lansare&amp;utm_content=general</v>
      </c>
    </row>
    <row r="238" customFormat="false" ht="15" hidden="false" customHeight="false" outlineLevel="0" collapsed="false">
      <c r="A238" s="10" t="s">
        <v>85</v>
      </c>
      <c r="B238" s="10" t="str">
        <f aca="false">INDEX('Site-uri'!$B$2:$B$20,MATCH(A238,'Site-uri'!$A$2:$A$20,0))</f>
        <v>1clic-ia.fr</v>
      </c>
      <c r="C238" s="10" t="s">
        <v>53</v>
      </c>
      <c r="D238" s="10" t="str">
        <f aca="false">INDEX('Site-uri'!$B$2:$B$20,MATCH(C238,'Site-uri'!$A$2:$A$20,0))</f>
        <v>aiventure.uk</v>
      </c>
      <c r="E238" s="10" t="str">
        <f aca="false">INDEX('Site-uri'!$C$2:$C$20,MATCH(C238,'Site-uri'!$A$2:$A$20,0))</f>
        <v>/</v>
      </c>
      <c r="F238" s="10" t="str">
        <f aca="false">B238</f>
        <v>1clic-ia.fr</v>
      </c>
      <c r="G238" s="10" t="str">
        <f aca="false">Config!$B$5</f>
        <v>network</v>
      </c>
      <c r="H238" s="10" t="str">
        <f aca="false">Config!$B$3</f>
        <v>2610_ff_lansare</v>
      </c>
      <c r="I238" s="10" t="str">
        <f aca="false">Config!$B$4</f>
        <v>general</v>
      </c>
      <c r="J238" s="10" t="str">
        <f aca="false">"https://"&amp;D238&amp;E238&amp;"?utm_source="&amp;F238&amp;"&amp;utm_medium="&amp;G238&amp;"&amp;utm_campaign="&amp;H238&amp;"&amp;utm_content="&amp;I238</f>
        <v>https://aiventure.uk/?utm_source=1clic-ia.fr&amp;utm_medium=network&amp;utm_campaign=2610_ff_lansare&amp;utm_content=general</v>
      </c>
    </row>
    <row r="239" customFormat="false" ht="15" hidden="false" customHeight="false" outlineLevel="0" collapsed="false">
      <c r="A239" s="10" t="s">
        <v>85</v>
      </c>
      <c r="B239" s="10" t="str">
        <f aca="false">INDEX('Site-uri'!$B$2:$B$20,MATCH(A239,'Site-uri'!$A$2:$A$20,0))</f>
        <v>1clic-ia.fr</v>
      </c>
      <c r="C239" s="10" t="s">
        <v>56</v>
      </c>
      <c r="D239" s="10" t="str">
        <f aca="false">INDEX('Site-uri'!$B$2:$B$20,MATCH(C239,'Site-uri'!$A$2:$A$20,0))</f>
        <v>3webobs.com</v>
      </c>
      <c r="E239" s="10" t="str">
        <f aca="false">INDEX('Site-uri'!$C$2:$C$20,MATCH(C239,'Site-uri'!$A$2:$A$20,0))</f>
        <v>/</v>
      </c>
      <c r="F239" s="10" t="str">
        <f aca="false">B239</f>
        <v>1clic-ia.fr</v>
      </c>
      <c r="G239" s="10" t="str">
        <f aca="false">Config!$B$5</f>
        <v>network</v>
      </c>
      <c r="H239" s="10" t="str">
        <f aca="false">Config!$B$3</f>
        <v>2610_ff_lansare</v>
      </c>
      <c r="I239" s="10" t="str">
        <f aca="false">Config!$B$4</f>
        <v>general</v>
      </c>
      <c r="J239" s="10" t="str">
        <f aca="false">"https://"&amp;D239&amp;E239&amp;"?utm_source="&amp;F239&amp;"&amp;utm_medium="&amp;G239&amp;"&amp;utm_campaign="&amp;H239&amp;"&amp;utm_content="&amp;I239</f>
        <v>https://3webobs.com/?utm_source=1clic-ia.fr&amp;utm_medium=network&amp;utm_campaign=2610_ff_lansare&amp;utm_content=general</v>
      </c>
    </row>
    <row r="240" customFormat="false" ht="15" hidden="false" customHeight="false" outlineLevel="0" collapsed="false">
      <c r="A240" s="10" t="s">
        <v>85</v>
      </c>
      <c r="B240" s="10" t="str">
        <f aca="false">INDEX('Site-uri'!$B$2:$B$20,MATCH(A240,'Site-uri'!$A$2:$A$20,0))</f>
        <v>1clic-ia.fr</v>
      </c>
      <c r="C240" s="10" t="s">
        <v>59</v>
      </c>
      <c r="D240" s="10" t="str">
        <f aca="false">INDEX('Site-uri'!$B$2:$B$20,MATCH(C240,'Site-uri'!$A$2:$A$20,0))</f>
        <v>ai-lens.eu</v>
      </c>
      <c r="E240" s="10" t="str">
        <f aca="false">INDEX('Site-uri'!$C$2:$C$20,MATCH(C240,'Site-uri'!$A$2:$A$20,0))</f>
        <v>/</v>
      </c>
      <c r="F240" s="10" t="str">
        <f aca="false">B240</f>
        <v>1clic-ia.fr</v>
      </c>
      <c r="G240" s="10" t="str">
        <f aca="false">Config!$B$5</f>
        <v>network</v>
      </c>
      <c r="H240" s="10" t="str">
        <f aca="false">Config!$B$3</f>
        <v>2610_ff_lansare</v>
      </c>
      <c r="I240" s="10" t="str">
        <f aca="false">Config!$B$4</f>
        <v>general</v>
      </c>
      <c r="J240" s="10" t="str">
        <f aca="false">"https://"&amp;D240&amp;E240&amp;"?utm_source="&amp;F240&amp;"&amp;utm_medium="&amp;G240&amp;"&amp;utm_campaign="&amp;H240&amp;"&amp;utm_content="&amp;I240</f>
        <v>https://ai-lens.eu/?utm_source=1clic-ia.fr&amp;utm_medium=network&amp;utm_campaign=2610_ff_lansare&amp;utm_content=general</v>
      </c>
    </row>
    <row r="241" customFormat="false" ht="15" hidden="false" customHeight="false" outlineLevel="0" collapsed="false">
      <c r="A241" s="10" t="s">
        <v>85</v>
      </c>
      <c r="B241" s="10" t="str">
        <f aca="false">INDEX('Site-uri'!$B$2:$B$20,MATCH(A241,'Site-uri'!$A$2:$A$20,0))</f>
        <v>1clic-ia.fr</v>
      </c>
      <c r="C241" s="10" t="s">
        <v>62</v>
      </c>
      <c r="D241" s="10" t="str">
        <f aca="false">INDEX('Site-uri'!$B$2:$B$20,MATCH(C241,'Site-uri'!$A$2:$A$20,0))</f>
        <v>aireadyinjector.com</v>
      </c>
      <c r="E241" s="10" t="str">
        <f aca="false">INDEX('Site-uri'!$C$2:$C$20,MATCH(C241,'Site-uri'!$A$2:$A$20,0))</f>
        <v>/</v>
      </c>
      <c r="F241" s="10" t="str">
        <f aca="false">B241</f>
        <v>1clic-ia.fr</v>
      </c>
      <c r="G241" s="10" t="str">
        <f aca="false">Config!$B$5</f>
        <v>network</v>
      </c>
      <c r="H241" s="10" t="str">
        <f aca="false">Config!$B$3</f>
        <v>2610_ff_lansare</v>
      </c>
      <c r="I241" s="10" t="str">
        <f aca="false">Config!$B$4</f>
        <v>general</v>
      </c>
      <c r="J241" s="10" t="str">
        <f aca="false">"https://"&amp;D241&amp;E241&amp;"?utm_source="&amp;F241&amp;"&amp;utm_medium="&amp;G241&amp;"&amp;utm_campaign="&amp;H241&amp;"&amp;utm_content="&amp;I241</f>
        <v>https://aireadyinjector.com/?utm_source=1clic-ia.fr&amp;utm_medium=network&amp;utm_campaign=2610_ff_lansare&amp;utm_content=general</v>
      </c>
    </row>
    <row r="242" customFormat="false" ht="15" hidden="false" customHeight="false" outlineLevel="0" collapsed="false">
      <c r="A242" s="10" t="s">
        <v>85</v>
      </c>
      <c r="B242" s="10" t="str">
        <f aca="false">INDEX('Site-uri'!$B$2:$B$20,MATCH(A242,'Site-uri'!$A$2:$A$20,0))</f>
        <v>1clic-ia.fr</v>
      </c>
      <c r="C242" s="10" t="s">
        <v>65</v>
      </c>
      <c r="D242" s="10" t="str">
        <f aca="false">INDEX('Site-uri'!$B$2:$B$20,MATCH(C242,'Site-uri'!$A$2:$A$20,0))</f>
        <v>eu-ai-audit.eu</v>
      </c>
      <c r="E242" s="10" t="str">
        <f aca="false">INDEX('Site-uri'!$C$2:$C$20,MATCH(C242,'Site-uri'!$A$2:$A$20,0))</f>
        <v>/</v>
      </c>
      <c r="F242" s="10" t="str">
        <f aca="false">B242</f>
        <v>1clic-ia.fr</v>
      </c>
      <c r="G242" s="10" t="str">
        <f aca="false">Config!$B$5</f>
        <v>network</v>
      </c>
      <c r="H242" s="10" t="str">
        <f aca="false">Config!$B$3</f>
        <v>2610_ff_lansare</v>
      </c>
      <c r="I242" s="10" t="str">
        <f aca="false">Config!$B$4</f>
        <v>general</v>
      </c>
      <c r="J242" s="10" t="str">
        <f aca="false">"https://"&amp;D242&amp;E242&amp;"?utm_source="&amp;F242&amp;"&amp;utm_medium="&amp;G242&amp;"&amp;utm_campaign="&amp;H242&amp;"&amp;utm_content="&amp;I242</f>
        <v>https://eu-ai-audit.eu/?utm_source=1clic-ia.fr&amp;utm_medium=network&amp;utm_campaign=2610_ff_lansare&amp;utm_content=general</v>
      </c>
    </row>
    <row r="243" customFormat="false" ht="15" hidden="false" customHeight="false" outlineLevel="0" collapsed="false">
      <c r="A243" s="10" t="s">
        <v>85</v>
      </c>
      <c r="B243" s="10" t="str">
        <f aca="false">INDEX('Site-uri'!$B$2:$B$20,MATCH(A243,'Site-uri'!$A$2:$A$20,0))</f>
        <v>1clic-ia.fr</v>
      </c>
      <c r="C243" s="10" t="s">
        <v>68</v>
      </c>
      <c r="D243" s="10" t="str">
        <f aca="false">INDEX('Site-uri'!$B$2:$B$20,MATCH(C243,'Site-uri'!$A$2:$A$20,0))</f>
        <v>eu-ai-ready.eu</v>
      </c>
      <c r="E243" s="10" t="str">
        <f aca="false">INDEX('Site-uri'!$C$2:$C$20,MATCH(C243,'Site-uri'!$A$2:$A$20,0))</f>
        <v>/</v>
      </c>
      <c r="F243" s="10" t="str">
        <f aca="false">B243</f>
        <v>1clic-ia.fr</v>
      </c>
      <c r="G243" s="10" t="str">
        <f aca="false">Config!$B$5</f>
        <v>network</v>
      </c>
      <c r="H243" s="10" t="str">
        <f aca="false">Config!$B$3</f>
        <v>2610_ff_lansare</v>
      </c>
      <c r="I243" s="10" t="str">
        <f aca="false">Config!$B$4</f>
        <v>general</v>
      </c>
      <c r="J243" s="10" t="str">
        <f aca="false">"https://"&amp;D243&amp;E243&amp;"?utm_source="&amp;F243&amp;"&amp;utm_medium="&amp;G243&amp;"&amp;utm_campaign="&amp;H243&amp;"&amp;utm_content="&amp;I243</f>
        <v>https://eu-ai-ready.eu/?utm_source=1clic-ia.fr&amp;utm_medium=network&amp;utm_campaign=2610_ff_lansare&amp;utm_content=general</v>
      </c>
    </row>
    <row r="244" customFormat="false" ht="15" hidden="false" customHeight="false" outlineLevel="0" collapsed="false">
      <c r="A244" s="10" t="s">
        <v>85</v>
      </c>
      <c r="B244" s="10" t="str">
        <f aca="false">INDEX('Site-uri'!$B$2:$B$20,MATCH(A244,'Site-uri'!$A$2:$A$20,0))</f>
        <v>1clic-ia.fr</v>
      </c>
      <c r="C244" s="10" t="s">
        <v>70</v>
      </c>
      <c r="D244" s="10" t="str">
        <f aca="false">INDEX('Site-uri'!$B$2:$B$20,MATCH(C244,'Site-uri'!$A$2:$A$20,0))</f>
        <v>eu-ai-act.ro</v>
      </c>
      <c r="E244" s="10" t="str">
        <f aca="false">INDEX('Site-uri'!$C$2:$C$20,MATCH(C244,'Site-uri'!$A$2:$A$20,0))</f>
        <v>/</v>
      </c>
      <c r="F244" s="10" t="str">
        <f aca="false">B244</f>
        <v>1clic-ia.fr</v>
      </c>
      <c r="G244" s="10" t="str">
        <f aca="false">Config!$B$5</f>
        <v>network</v>
      </c>
      <c r="H244" s="10" t="str">
        <f aca="false">Config!$B$3</f>
        <v>2610_ff_lansare</v>
      </c>
      <c r="I244" s="10" t="str">
        <f aca="false">Config!$B$4</f>
        <v>general</v>
      </c>
      <c r="J244" s="10" t="str">
        <f aca="false">"https://"&amp;D244&amp;E244&amp;"?utm_source="&amp;F244&amp;"&amp;utm_medium="&amp;G244&amp;"&amp;utm_campaign="&amp;H244&amp;"&amp;utm_content="&amp;I244</f>
        <v>https://eu-ai-act.ro/?utm_source=1clic-ia.fr&amp;utm_medium=network&amp;utm_campaign=2610_ff_lansare&amp;utm_content=general</v>
      </c>
    </row>
    <row r="245" customFormat="false" ht="15" hidden="false" customHeight="false" outlineLevel="0" collapsed="false">
      <c r="A245" s="10" t="s">
        <v>85</v>
      </c>
      <c r="B245" s="10" t="str">
        <f aca="false">INDEX('Site-uri'!$B$2:$B$20,MATCH(A245,'Site-uri'!$A$2:$A$20,0))</f>
        <v>1clic-ia.fr</v>
      </c>
      <c r="C245" s="10" t="s">
        <v>73</v>
      </c>
      <c r="D245" s="10" t="str">
        <f aca="false">INDEX('Site-uri'!$B$2:$B$20,MATCH(C245,'Site-uri'!$A$2:$A$20,0))</f>
        <v>eu-ai-act-ready.eu</v>
      </c>
      <c r="E245" s="10" t="str">
        <f aca="false">INDEX('Site-uri'!$C$2:$C$20,MATCH(C245,'Site-uri'!$A$2:$A$20,0))</f>
        <v>/</v>
      </c>
      <c r="F245" s="10" t="str">
        <f aca="false">B245</f>
        <v>1clic-ia.fr</v>
      </c>
      <c r="G245" s="10" t="str">
        <f aca="false">Config!$B$5</f>
        <v>network</v>
      </c>
      <c r="H245" s="10" t="str">
        <f aca="false">Config!$B$3</f>
        <v>2610_ff_lansare</v>
      </c>
      <c r="I245" s="10" t="str">
        <f aca="false">Config!$B$4</f>
        <v>general</v>
      </c>
      <c r="J245" s="10" t="str">
        <f aca="false">"https://"&amp;D245&amp;E245&amp;"?utm_source="&amp;F245&amp;"&amp;utm_medium="&amp;G245&amp;"&amp;utm_campaign="&amp;H245&amp;"&amp;utm_content="&amp;I245</f>
        <v>https://eu-ai-act-ready.eu/?utm_source=1clic-ia.fr&amp;utm_medium=network&amp;utm_campaign=2610_ff_lansare&amp;utm_content=general</v>
      </c>
    </row>
    <row r="246" customFormat="false" ht="15" hidden="false" customHeight="false" outlineLevel="0" collapsed="false">
      <c r="A246" s="10" t="s">
        <v>85</v>
      </c>
      <c r="B246" s="10" t="str">
        <f aca="false">INDEX('Site-uri'!$B$2:$B$20,MATCH(A246,'Site-uri'!$A$2:$A$20,0))</f>
        <v>1clic-ia.fr</v>
      </c>
      <c r="C246" s="10" t="s">
        <v>76</v>
      </c>
      <c r="D246" s="10" t="str">
        <f aca="false">INDEX('Site-uri'!$B$2:$B$20,MATCH(C246,'Site-uri'!$A$2:$A$20,0))</f>
        <v>eu-112.ro</v>
      </c>
      <c r="E246" s="10" t="str">
        <f aca="false">INDEX('Site-uri'!$C$2:$C$20,MATCH(C246,'Site-uri'!$A$2:$A$20,0))</f>
        <v>/</v>
      </c>
      <c r="F246" s="10" t="str">
        <f aca="false">B246</f>
        <v>1clic-ia.fr</v>
      </c>
      <c r="G246" s="10" t="str">
        <f aca="false">Config!$B$5</f>
        <v>network</v>
      </c>
      <c r="H246" s="10" t="str">
        <f aca="false">Config!$B$3</f>
        <v>2610_ff_lansare</v>
      </c>
      <c r="I246" s="10" t="str">
        <f aca="false">Config!$B$4</f>
        <v>general</v>
      </c>
      <c r="J246" s="10" t="str">
        <f aca="false">"https://"&amp;D246&amp;E246&amp;"?utm_source="&amp;F246&amp;"&amp;utm_medium="&amp;G246&amp;"&amp;utm_campaign="&amp;H246&amp;"&amp;utm_content="&amp;I246</f>
        <v>https://eu-112.ro/?utm_source=1clic-ia.fr&amp;utm_medium=network&amp;utm_campaign=2610_ff_lansare&amp;utm_content=general</v>
      </c>
    </row>
    <row r="247" customFormat="false" ht="15" hidden="false" customHeight="false" outlineLevel="0" collapsed="false">
      <c r="A247" s="10" t="s">
        <v>85</v>
      </c>
      <c r="B247" s="10" t="str">
        <f aca="false">INDEX('Site-uri'!$B$2:$B$20,MATCH(A247,'Site-uri'!$A$2:$A$20,0))</f>
        <v>1clic-ia.fr</v>
      </c>
      <c r="C247" s="10" t="s">
        <v>79</v>
      </c>
      <c r="D247" s="10" t="str">
        <f aca="false">INDEX('Site-uri'!$B$2:$B$20,MATCH(C247,'Site-uri'!$A$2:$A$20,0))</f>
        <v>eu-112.eu</v>
      </c>
      <c r="E247" s="10" t="str">
        <f aca="false">INDEX('Site-uri'!$C$2:$C$20,MATCH(C247,'Site-uri'!$A$2:$A$20,0))</f>
        <v>/</v>
      </c>
      <c r="F247" s="10" t="str">
        <f aca="false">B247</f>
        <v>1clic-ia.fr</v>
      </c>
      <c r="G247" s="10" t="str">
        <f aca="false">Config!$B$5</f>
        <v>network</v>
      </c>
      <c r="H247" s="10" t="str">
        <f aca="false">Config!$B$3</f>
        <v>2610_ff_lansare</v>
      </c>
      <c r="I247" s="10" t="str">
        <f aca="false">Config!$B$4</f>
        <v>general</v>
      </c>
      <c r="J247" s="10" t="str">
        <f aca="false">"https://"&amp;D247&amp;E247&amp;"?utm_source="&amp;F247&amp;"&amp;utm_medium="&amp;G247&amp;"&amp;utm_campaign="&amp;H247&amp;"&amp;utm_content="&amp;I247</f>
        <v>https://eu-112.eu/?utm_source=1clic-ia.fr&amp;utm_medium=network&amp;utm_campaign=2610_ff_lansare&amp;utm_content=general</v>
      </c>
    </row>
    <row r="248" customFormat="false" ht="15" hidden="false" customHeight="false" outlineLevel="0" collapsed="false">
      <c r="A248" s="10" t="s">
        <v>85</v>
      </c>
      <c r="B248" s="10" t="str">
        <f aca="false">INDEX('Site-uri'!$B$2:$B$20,MATCH(A248,'Site-uri'!$A$2:$A$20,0))</f>
        <v>1clic-ia.fr</v>
      </c>
      <c r="C248" s="10" t="s">
        <v>82</v>
      </c>
      <c r="D248" s="10" t="str">
        <f aca="false">INDEX('Site-uri'!$B$2:$B$20,MATCH(C248,'Site-uri'!$A$2:$A$20,0))</f>
        <v>1clic-ia.eu</v>
      </c>
      <c r="E248" s="10" t="str">
        <f aca="false">INDEX('Site-uri'!$C$2:$C$20,MATCH(C248,'Site-uri'!$A$2:$A$20,0))</f>
        <v>/</v>
      </c>
      <c r="F248" s="10" t="str">
        <f aca="false">B248</f>
        <v>1clic-ia.fr</v>
      </c>
      <c r="G248" s="10" t="str">
        <f aca="false">Config!$B$5</f>
        <v>network</v>
      </c>
      <c r="H248" s="10" t="str">
        <f aca="false">Config!$B$3</f>
        <v>2610_ff_lansare</v>
      </c>
      <c r="I248" s="10" t="str">
        <f aca="false">Config!$B$4</f>
        <v>general</v>
      </c>
      <c r="J248" s="10" t="str">
        <f aca="false">"https://"&amp;D248&amp;E248&amp;"?utm_source="&amp;F248&amp;"&amp;utm_medium="&amp;G248&amp;"&amp;utm_campaign="&amp;H248&amp;"&amp;utm_content="&amp;I248</f>
        <v>https://1clic-ia.eu/?utm_source=1clic-ia.fr&amp;utm_medium=network&amp;utm_campaign=2610_ff_lansare&amp;utm_content=general</v>
      </c>
    </row>
    <row r="249" customFormat="false" ht="15" hidden="false" customHeight="false" outlineLevel="0" collapsed="false">
      <c r="A249" s="10" t="s">
        <v>85</v>
      </c>
      <c r="B249" s="10" t="str">
        <f aca="false">INDEX('Site-uri'!$B$2:$B$20,MATCH(A249,'Site-uri'!$A$2:$A$20,0))</f>
        <v>1clic-ia.fr</v>
      </c>
      <c r="C249" s="10" t="s">
        <v>87</v>
      </c>
      <c r="D249" s="10" t="str">
        <f aca="false">INDEX('Site-uri'!$B$2:$B$20,MATCH(C249,'Site-uri'!$A$2:$A$20,0))</f>
        <v>firmsfinder.eu</v>
      </c>
      <c r="E249" s="10" t="str">
        <f aca="false">INDEX('Site-uri'!$C$2:$C$20,MATCH(C249,'Site-uri'!$A$2:$A$20,0))</f>
        <v>/</v>
      </c>
      <c r="F249" s="10" t="str">
        <f aca="false">B249</f>
        <v>1clic-ia.fr</v>
      </c>
      <c r="G249" s="10" t="str">
        <f aca="false">Config!$B$5</f>
        <v>network</v>
      </c>
      <c r="H249" s="10" t="str">
        <f aca="false">Config!$B$3</f>
        <v>2610_ff_lansare</v>
      </c>
      <c r="I249" s="10" t="str">
        <f aca="false">Config!$B$4</f>
        <v>general</v>
      </c>
      <c r="J249" s="10" t="str">
        <f aca="false">"https://"&amp;D249&amp;E249&amp;"?utm_source="&amp;F249&amp;"&amp;utm_medium="&amp;G249&amp;"&amp;utm_campaign="&amp;H249&amp;"&amp;utm_content="&amp;I249</f>
        <v>https://firmsfinder.eu/?utm_source=1clic-ia.fr&amp;utm_medium=network&amp;utm_campaign=2610_ff_lansare&amp;utm_content=general</v>
      </c>
    </row>
    <row r="250" customFormat="false" ht="15" hidden="false" customHeight="false" outlineLevel="0" collapsed="false">
      <c r="A250" s="10" t="s">
        <v>85</v>
      </c>
      <c r="B250" s="10" t="str">
        <f aca="false">INDEX('Site-uri'!$B$2:$B$20,MATCH(A250,'Site-uri'!$A$2:$A$20,0))</f>
        <v>1clic-ia.fr</v>
      </c>
      <c r="C250" s="10" t="s">
        <v>90</v>
      </c>
      <c r="D250" s="10" t="str">
        <f aca="false">INDEX('Site-uri'!$B$2:$B$20,MATCH(C250,'Site-uri'!$A$2:$A$20,0))</f>
        <v>b2b-ai-library.org</v>
      </c>
      <c r="E250" s="10" t="str">
        <f aca="false">INDEX('Site-uri'!$C$2:$C$20,MATCH(C250,'Site-uri'!$A$2:$A$20,0))</f>
        <v>/</v>
      </c>
      <c r="F250" s="10" t="str">
        <f aca="false">B250</f>
        <v>1clic-ia.fr</v>
      </c>
      <c r="G250" s="10" t="str">
        <f aca="false">Config!$B$5</f>
        <v>network</v>
      </c>
      <c r="H250" s="10" t="str">
        <f aca="false">Config!$B$3</f>
        <v>2610_ff_lansare</v>
      </c>
      <c r="I250" s="10" t="str">
        <f aca="false">Config!$B$4</f>
        <v>general</v>
      </c>
      <c r="J250" s="10" t="str">
        <f aca="false">"https://"&amp;D250&amp;E250&amp;"?utm_source="&amp;F250&amp;"&amp;utm_medium="&amp;G250&amp;"&amp;utm_campaign="&amp;H250&amp;"&amp;utm_content="&amp;I250</f>
        <v>https://b2b-ai-library.org/?utm_source=1clic-ia.fr&amp;utm_medium=network&amp;utm_campaign=2610_ff_lansare&amp;utm_content=general</v>
      </c>
    </row>
    <row r="251" customFormat="false" ht="15" hidden="false" customHeight="false" outlineLevel="0" collapsed="false">
      <c r="A251" s="10" t="s">
        <v>85</v>
      </c>
      <c r="B251" s="10" t="str">
        <f aca="false">INDEX('Site-uri'!$B$2:$B$20,MATCH(A251,'Site-uri'!$A$2:$A$20,0))</f>
        <v>1clic-ia.fr</v>
      </c>
      <c r="C251" s="10" t="s">
        <v>92</v>
      </c>
      <c r="D251" s="10" t="str">
        <f aca="false">INDEX('Site-uri'!$B$2:$B$20,MATCH(C251,'Site-uri'!$A$2:$A$20,0))</f>
        <v>the3webs.com</v>
      </c>
      <c r="E251" s="10" t="str">
        <f aca="false">INDEX('Site-uri'!$C$2:$C$20,MATCH(C251,'Site-uri'!$A$2:$A$20,0))</f>
        <v>/</v>
      </c>
      <c r="F251" s="10" t="str">
        <f aca="false">B251</f>
        <v>1clic-ia.fr</v>
      </c>
      <c r="G251" s="10" t="str">
        <f aca="false">Config!$B$5</f>
        <v>network</v>
      </c>
      <c r="H251" s="10" t="str">
        <f aca="false">Config!$B$3</f>
        <v>2610_ff_lansare</v>
      </c>
      <c r="I251" s="10" t="str">
        <f aca="false">Config!$B$4</f>
        <v>general</v>
      </c>
      <c r="J251" s="10" t="str">
        <f aca="false">"https://"&amp;D251&amp;E251&amp;"?utm_source="&amp;F251&amp;"&amp;utm_medium="&amp;G251&amp;"&amp;utm_campaign="&amp;H251&amp;"&amp;utm_content="&amp;I251</f>
        <v>https://the3webs.com/?utm_source=1clic-ia.fr&amp;utm_medium=network&amp;utm_campaign=2610_ff_lansare&amp;utm_content=general</v>
      </c>
    </row>
    <row r="252" customFormat="false" ht="15" hidden="false" customHeight="false" outlineLevel="0" collapsed="false">
      <c r="A252" s="10" t="s">
        <v>85</v>
      </c>
      <c r="B252" s="10" t="str">
        <f aca="false">INDEX('Site-uri'!$B$2:$B$20,MATCH(A252,'Site-uri'!$A$2:$A$20,0))</f>
        <v>1clic-ia.fr</v>
      </c>
      <c r="C252" s="10" t="s">
        <v>95</v>
      </c>
      <c r="D252" s="10" t="str">
        <f aca="false">INDEX('Site-uri'!$B$2:$B$20,MATCH(C252,'Site-uri'!$A$2:$A$20,0))</f>
        <v>floride-e2.com</v>
      </c>
      <c r="E252" s="10" t="str">
        <f aca="false">INDEX('Site-uri'!$C$2:$C$20,MATCH(C252,'Site-uri'!$A$2:$A$20,0))</f>
        <v>/</v>
      </c>
      <c r="F252" s="10" t="str">
        <f aca="false">B252</f>
        <v>1clic-ia.fr</v>
      </c>
      <c r="G252" s="10" t="str">
        <f aca="false">Config!$B$5</f>
        <v>network</v>
      </c>
      <c r="H252" s="10" t="str">
        <f aca="false">Config!$B$3</f>
        <v>2610_ff_lansare</v>
      </c>
      <c r="I252" s="10" t="str">
        <f aca="false">Config!$B$4</f>
        <v>general</v>
      </c>
      <c r="J252" s="10" t="str">
        <f aca="false">"https://"&amp;D252&amp;E252&amp;"?utm_source="&amp;F252&amp;"&amp;utm_medium="&amp;G252&amp;"&amp;utm_campaign="&amp;H252&amp;"&amp;utm_content="&amp;I252</f>
        <v>https://floride-e2.com/?utm_source=1clic-ia.fr&amp;utm_medium=network&amp;utm_campaign=2610_ff_lansare&amp;utm_content=general</v>
      </c>
    </row>
    <row r="253" customFormat="false" ht="15" hidden="false" customHeight="false" outlineLevel="0" collapsed="false">
      <c r="A253" s="10" t="s">
        <v>85</v>
      </c>
      <c r="B253" s="10" t="str">
        <f aca="false">INDEX('Site-uri'!$B$2:$B$20,MATCH(A253,'Site-uri'!$A$2:$A$20,0))</f>
        <v>1clic-ia.fr</v>
      </c>
      <c r="C253" s="10" t="s">
        <v>97</v>
      </c>
      <c r="D253" s="10" t="str">
        <f aca="false">INDEX('Site-uri'!$B$2:$B$20,MATCH(C253,'Site-uri'!$A$2:$A$20,0))</f>
        <v>ecbtax.com</v>
      </c>
      <c r="E253" s="10" t="str">
        <f aca="false">INDEX('Site-uri'!$C$2:$C$20,MATCH(C253,'Site-uri'!$A$2:$A$20,0))</f>
        <v>/</v>
      </c>
      <c r="F253" s="10" t="str">
        <f aca="false">B253</f>
        <v>1clic-ia.fr</v>
      </c>
      <c r="G253" s="10" t="str">
        <f aca="false">Config!$B$5</f>
        <v>network</v>
      </c>
      <c r="H253" s="10" t="str">
        <f aca="false">Config!$B$3</f>
        <v>2610_ff_lansare</v>
      </c>
      <c r="I253" s="10" t="str">
        <f aca="false">Config!$B$4</f>
        <v>general</v>
      </c>
      <c r="J253" s="10" t="str">
        <f aca="false">"https://"&amp;D253&amp;E253&amp;"?utm_source="&amp;F253&amp;"&amp;utm_medium="&amp;G253&amp;"&amp;utm_campaign="&amp;H253&amp;"&amp;utm_content="&amp;I253</f>
        <v>https://ecbtax.com/?utm_source=1clic-ia.fr&amp;utm_medium=network&amp;utm_campaign=2610_ff_lansare&amp;utm_content=general</v>
      </c>
    </row>
    <row r="254" customFormat="false" ht="15" hidden="false" customHeight="false" outlineLevel="0" collapsed="false">
      <c r="A254" s="10" t="s">
        <v>87</v>
      </c>
      <c r="B254" s="10" t="str">
        <f aca="false">INDEX('Site-uri'!$B$2:$B$20,MATCH(A254,'Site-uri'!$A$2:$A$20,0))</f>
        <v>firmsfinder.eu</v>
      </c>
      <c r="C254" s="10" t="s">
        <v>46</v>
      </c>
      <c r="D254" s="10" t="str">
        <f aca="false">INDEX('Site-uri'!$B$2:$B$20,MATCH(C254,'Site-uri'!$A$2:$A$20,0))</f>
        <v>5thelement.ai</v>
      </c>
      <c r="E254" s="10" t="str">
        <f aca="false">INDEX('Site-uri'!$C$2:$C$20,MATCH(C254,'Site-uri'!$A$2:$A$20,0))</f>
        <v>/</v>
      </c>
      <c r="F254" s="10" t="str">
        <f aca="false">B254</f>
        <v>firmsfinder.eu</v>
      </c>
      <c r="G254" s="10" t="str">
        <f aca="false">Config!$B$5</f>
        <v>network</v>
      </c>
      <c r="H254" s="10" t="str">
        <f aca="false">Config!$B$3</f>
        <v>2610_ff_lansare</v>
      </c>
      <c r="I254" s="10" t="str">
        <f aca="false">Config!$B$4</f>
        <v>general</v>
      </c>
      <c r="J254" s="10" t="str">
        <f aca="false">"https://"&amp;D254&amp;E254&amp;"?utm_source="&amp;F254&amp;"&amp;utm_medium="&amp;G254&amp;"&amp;utm_campaign="&amp;H254&amp;"&amp;utm_content="&amp;I254</f>
        <v>https://5thelement.ai/?utm_source=firmsfinder.eu&amp;utm_medium=network&amp;utm_campaign=2610_ff_lansare&amp;utm_content=general</v>
      </c>
    </row>
    <row r="255" customFormat="false" ht="15" hidden="false" customHeight="false" outlineLevel="0" collapsed="false">
      <c r="A255" s="10" t="s">
        <v>87</v>
      </c>
      <c r="B255" s="10" t="str">
        <f aca="false">INDEX('Site-uri'!$B$2:$B$20,MATCH(A255,'Site-uri'!$A$2:$A$20,0))</f>
        <v>firmsfinder.eu</v>
      </c>
      <c r="C255" s="10" t="s">
        <v>50</v>
      </c>
      <c r="D255" s="10" t="str">
        <f aca="false">INDEX('Site-uri'!$B$2:$B$20,MATCH(C255,'Site-uri'!$A$2:$A$20,0))</f>
        <v>aiventure.ro</v>
      </c>
      <c r="E255" s="10" t="str">
        <f aca="false">INDEX('Site-uri'!$C$2:$C$20,MATCH(C255,'Site-uri'!$A$2:$A$20,0))</f>
        <v>/</v>
      </c>
      <c r="F255" s="10" t="str">
        <f aca="false">B255</f>
        <v>firmsfinder.eu</v>
      </c>
      <c r="G255" s="10" t="str">
        <f aca="false">Config!$B$5</f>
        <v>network</v>
      </c>
      <c r="H255" s="10" t="str">
        <f aca="false">Config!$B$3</f>
        <v>2610_ff_lansare</v>
      </c>
      <c r="I255" s="10" t="str">
        <f aca="false">Config!$B$4</f>
        <v>general</v>
      </c>
      <c r="J255" s="10" t="str">
        <f aca="false">"https://"&amp;D255&amp;E255&amp;"?utm_source="&amp;F255&amp;"&amp;utm_medium="&amp;G255&amp;"&amp;utm_campaign="&amp;H255&amp;"&amp;utm_content="&amp;I255</f>
        <v>https://aiventure.ro/?utm_source=firmsfinder.eu&amp;utm_medium=network&amp;utm_campaign=2610_ff_lansare&amp;utm_content=general</v>
      </c>
    </row>
    <row r="256" customFormat="false" ht="15" hidden="false" customHeight="false" outlineLevel="0" collapsed="false">
      <c r="A256" s="10" t="s">
        <v>87</v>
      </c>
      <c r="B256" s="10" t="str">
        <f aca="false">INDEX('Site-uri'!$B$2:$B$20,MATCH(A256,'Site-uri'!$A$2:$A$20,0))</f>
        <v>firmsfinder.eu</v>
      </c>
      <c r="C256" s="10" t="s">
        <v>53</v>
      </c>
      <c r="D256" s="10" t="str">
        <f aca="false">INDEX('Site-uri'!$B$2:$B$20,MATCH(C256,'Site-uri'!$A$2:$A$20,0))</f>
        <v>aiventure.uk</v>
      </c>
      <c r="E256" s="10" t="str">
        <f aca="false">INDEX('Site-uri'!$C$2:$C$20,MATCH(C256,'Site-uri'!$A$2:$A$20,0))</f>
        <v>/</v>
      </c>
      <c r="F256" s="10" t="str">
        <f aca="false">B256</f>
        <v>firmsfinder.eu</v>
      </c>
      <c r="G256" s="10" t="str">
        <f aca="false">Config!$B$5</f>
        <v>network</v>
      </c>
      <c r="H256" s="10" t="str">
        <f aca="false">Config!$B$3</f>
        <v>2610_ff_lansare</v>
      </c>
      <c r="I256" s="10" t="str">
        <f aca="false">Config!$B$4</f>
        <v>general</v>
      </c>
      <c r="J256" s="10" t="str">
        <f aca="false">"https://"&amp;D256&amp;E256&amp;"?utm_source="&amp;F256&amp;"&amp;utm_medium="&amp;G256&amp;"&amp;utm_campaign="&amp;H256&amp;"&amp;utm_content="&amp;I256</f>
        <v>https://aiventure.uk/?utm_source=firmsfinder.eu&amp;utm_medium=network&amp;utm_campaign=2610_ff_lansare&amp;utm_content=general</v>
      </c>
    </row>
    <row r="257" customFormat="false" ht="15" hidden="false" customHeight="false" outlineLevel="0" collapsed="false">
      <c r="A257" s="10" t="s">
        <v>87</v>
      </c>
      <c r="B257" s="10" t="str">
        <f aca="false">INDEX('Site-uri'!$B$2:$B$20,MATCH(A257,'Site-uri'!$A$2:$A$20,0))</f>
        <v>firmsfinder.eu</v>
      </c>
      <c r="C257" s="10" t="s">
        <v>56</v>
      </c>
      <c r="D257" s="10" t="str">
        <f aca="false">INDEX('Site-uri'!$B$2:$B$20,MATCH(C257,'Site-uri'!$A$2:$A$20,0))</f>
        <v>3webobs.com</v>
      </c>
      <c r="E257" s="10" t="str">
        <f aca="false">INDEX('Site-uri'!$C$2:$C$20,MATCH(C257,'Site-uri'!$A$2:$A$20,0))</f>
        <v>/</v>
      </c>
      <c r="F257" s="10" t="str">
        <f aca="false">B257</f>
        <v>firmsfinder.eu</v>
      </c>
      <c r="G257" s="10" t="str">
        <f aca="false">Config!$B$5</f>
        <v>network</v>
      </c>
      <c r="H257" s="10" t="str">
        <f aca="false">Config!$B$3</f>
        <v>2610_ff_lansare</v>
      </c>
      <c r="I257" s="10" t="str">
        <f aca="false">Config!$B$4</f>
        <v>general</v>
      </c>
      <c r="J257" s="10" t="str">
        <f aca="false">"https://"&amp;D257&amp;E257&amp;"?utm_source="&amp;F257&amp;"&amp;utm_medium="&amp;G257&amp;"&amp;utm_campaign="&amp;H257&amp;"&amp;utm_content="&amp;I257</f>
        <v>https://3webobs.com/?utm_source=firmsfinder.eu&amp;utm_medium=network&amp;utm_campaign=2610_ff_lansare&amp;utm_content=general</v>
      </c>
    </row>
    <row r="258" customFormat="false" ht="15" hidden="false" customHeight="false" outlineLevel="0" collapsed="false">
      <c r="A258" s="10" t="s">
        <v>87</v>
      </c>
      <c r="B258" s="10" t="str">
        <f aca="false">INDEX('Site-uri'!$B$2:$B$20,MATCH(A258,'Site-uri'!$A$2:$A$20,0))</f>
        <v>firmsfinder.eu</v>
      </c>
      <c r="C258" s="10" t="s">
        <v>59</v>
      </c>
      <c r="D258" s="10" t="str">
        <f aca="false">INDEX('Site-uri'!$B$2:$B$20,MATCH(C258,'Site-uri'!$A$2:$A$20,0))</f>
        <v>ai-lens.eu</v>
      </c>
      <c r="E258" s="10" t="str">
        <f aca="false">INDEX('Site-uri'!$C$2:$C$20,MATCH(C258,'Site-uri'!$A$2:$A$20,0))</f>
        <v>/</v>
      </c>
      <c r="F258" s="10" t="str">
        <f aca="false">B258</f>
        <v>firmsfinder.eu</v>
      </c>
      <c r="G258" s="10" t="str">
        <f aca="false">Config!$B$5</f>
        <v>network</v>
      </c>
      <c r="H258" s="10" t="str">
        <f aca="false">Config!$B$3</f>
        <v>2610_ff_lansare</v>
      </c>
      <c r="I258" s="10" t="str">
        <f aca="false">Config!$B$4</f>
        <v>general</v>
      </c>
      <c r="J258" s="10" t="str">
        <f aca="false">"https://"&amp;D258&amp;E258&amp;"?utm_source="&amp;F258&amp;"&amp;utm_medium="&amp;G258&amp;"&amp;utm_campaign="&amp;H258&amp;"&amp;utm_content="&amp;I258</f>
        <v>https://ai-lens.eu/?utm_source=firmsfinder.eu&amp;utm_medium=network&amp;utm_campaign=2610_ff_lansare&amp;utm_content=general</v>
      </c>
    </row>
    <row r="259" customFormat="false" ht="15" hidden="false" customHeight="false" outlineLevel="0" collapsed="false">
      <c r="A259" s="10" t="s">
        <v>87</v>
      </c>
      <c r="B259" s="10" t="str">
        <f aca="false">INDEX('Site-uri'!$B$2:$B$20,MATCH(A259,'Site-uri'!$A$2:$A$20,0))</f>
        <v>firmsfinder.eu</v>
      </c>
      <c r="C259" s="10" t="s">
        <v>62</v>
      </c>
      <c r="D259" s="10" t="str">
        <f aca="false">INDEX('Site-uri'!$B$2:$B$20,MATCH(C259,'Site-uri'!$A$2:$A$20,0))</f>
        <v>aireadyinjector.com</v>
      </c>
      <c r="E259" s="10" t="str">
        <f aca="false">INDEX('Site-uri'!$C$2:$C$20,MATCH(C259,'Site-uri'!$A$2:$A$20,0))</f>
        <v>/</v>
      </c>
      <c r="F259" s="10" t="str">
        <f aca="false">B259</f>
        <v>firmsfinder.eu</v>
      </c>
      <c r="G259" s="10" t="str">
        <f aca="false">Config!$B$5</f>
        <v>network</v>
      </c>
      <c r="H259" s="10" t="str">
        <f aca="false">Config!$B$3</f>
        <v>2610_ff_lansare</v>
      </c>
      <c r="I259" s="10" t="str">
        <f aca="false">Config!$B$4</f>
        <v>general</v>
      </c>
      <c r="J259" s="10" t="str">
        <f aca="false">"https://"&amp;D259&amp;E259&amp;"?utm_source="&amp;F259&amp;"&amp;utm_medium="&amp;G259&amp;"&amp;utm_campaign="&amp;H259&amp;"&amp;utm_content="&amp;I259</f>
        <v>https://aireadyinjector.com/?utm_source=firmsfinder.eu&amp;utm_medium=network&amp;utm_campaign=2610_ff_lansare&amp;utm_content=general</v>
      </c>
    </row>
    <row r="260" customFormat="false" ht="15" hidden="false" customHeight="false" outlineLevel="0" collapsed="false">
      <c r="A260" s="10" t="s">
        <v>87</v>
      </c>
      <c r="B260" s="10" t="str">
        <f aca="false">INDEX('Site-uri'!$B$2:$B$20,MATCH(A260,'Site-uri'!$A$2:$A$20,0))</f>
        <v>firmsfinder.eu</v>
      </c>
      <c r="C260" s="10" t="s">
        <v>65</v>
      </c>
      <c r="D260" s="10" t="str">
        <f aca="false">INDEX('Site-uri'!$B$2:$B$20,MATCH(C260,'Site-uri'!$A$2:$A$20,0))</f>
        <v>eu-ai-audit.eu</v>
      </c>
      <c r="E260" s="10" t="str">
        <f aca="false">INDEX('Site-uri'!$C$2:$C$20,MATCH(C260,'Site-uri'!$A$2:$A$20,0))</f>
        <v>/</v>
      </c>
      <c r="F260" s="10" t="str">
        <f aca="false">B260</f>
        <v>firmsfinder.eu</v>
      </c>
      <c r="G260" s="10" t="str">
        <f aca="false">Config!$B$5</f>
        <v>network</v>
      </c>
      <c r="H260" s="10" t="str">
        <f aca="false">Config!$B$3</f>
        <v>2610_ff_lansare</v>
      </c>
      <c r="I260" s="10" t="str">
        <f aca="false">Config!$B$4</f>
        <v>general</v>
      </c>
      <c r="J260" s="10" t="str">
        <f aca="false">"https://"&amp;D260&amp;E260&amp;"?utm_source="&amp;F260&amp;"&amp;utm_medium="&amp;G260&amp;"&amp;utm_campaign="&amp;H260&amp;"&amp;utm_content="&amp;I260</f>
        <v>https://eu-ai-audit.eu/?utm_source=firmsfinder.eu&amp;utm_medium=network&amp;utm_campaign=2610_ff_lansare&amp;utm_content=general</v>
      </c>
    </row>
    <row r="261" customFormat="false" ht="15" hidden="false" customHeight="false" outlineLevel="0" collapsed="false">
      <c r="A261" s="10" t="s">
        <v>87</v>
      </c>
      <c r="B261" s="10" t="str">
        <f aca="false">INDEX('Site-uri'!$B$2:$B$20,MATCH(A261,'Site-uri'!$A$2:$A$20,0))</f>
        <v>firmsfinder.eu</v>
      </c>
      <c r="C261" s="10" t="s">
        <v>68</v>
      </c>
      <c r="D261" s="10" t="str">
        <f aca="false">INDEX('Site-uri'!$B$2:$B$20,MATCH(C261,'Site-uri'!$A$2:$A$20,0))</f>
        <v>eu-ai-ready.eu</v>
      </c>
      <c r="E261" s="10" t="str">
        <f aca="false">INDEX('Site-uri'!$C$2:$C$20,MATCH(C261,'Site-uri'!$A$2:$A$20,0))</f>
        <v>/</v>
      </c>
      <c r="F261" s="10" t="str">
        <f aca="false">B261</f>
        <v>firmsfinder.eu</v>
      </c>
      <c r="G261" s="10" t="str">
        <f aca="false">Config!$B$5</f>
        <v>network</v>
      </c>
      <c r="H261" s="10" t="str">
        <f aca="false">Config!$B$3</f>
        <v>2610_ff_lansare</v>
      </c>
      <c r="I261" s="10" t="str">
        <f aca="false">Config!$B$4</f>
        <v>general</v>
      </c>
      <c r="J261" s="10" t="str">
        <f aca="false">"https://"&amp;D261&amp;E261&amp;"?utm_source="&amp;F261&amp;"&amp;utm_medium="&amp;G261&amp;"&amp;utm_campaign="&amp;H261&amp;"&amp;utm_content="&amp;I261</f>
        <v>https://eu-ai-ready.eu/?utm_source=firmsfinder.eu&amp;utm_medium=network&amp;utm_campaign=2610_ff_lansare&amp;utm_content=general</v>
      </c>
    </row>
    <row r="262" customFormat="false" ht="15" hidden="false" customHeight="false" outlineLevel="0" collapsed="false">
      <c r="A262" s="10" t="s">
        <v>87</v>
      </c>
      <c r="B262" s="10" t="str">
        <f aca="false">INDEX('Site-uri'!$B$2:$B$20,MATCH(A262,'Site-uri'!$A$2:$A$20,0))</f>
        <v>firmsfinder.eu</v>
      </c>
      <c r="C262" s="10" t="s">
        <v>70</v>
      </c>
      <c r="D262" s="10" t="str">
        <f aca="false">INDEX('Site-uri'!$B$2:$B$20,MATCH(C262,'Site-uri'!$A$2:$A$20,0))</f>
        <v>eu-ai-act.ro</v>
      </c>
      <c r="E262" s="10" t="str">
        <f aca="false">INDEX('Site-uri'!$C$2:$C$20,MATCH(C262,'Site-uri'!$A$2:$A$20,0))</f>
        <v>/</v>
      </c>
      <c r="F262" s="10" t="str">
        <f aca="false">B262</f>
        <v>firmsfinder.eu</v>
      </c>
      <c r="G262" s="10" t="str">
        <f aca="false">Config!$B$5</f>
        <v>network</v>
      </c>
      <c r="H262" s="10" t="str">
        <f aca="false">Config!$B$3</f>
        <v>2610_ff_lansare</v>
      </c>
      <c r="I262" s="10" t="str">
        <f aca="false">Config!$B$4</f>
        <v>general</v>
      </c>
      <c r="J262" s="10" t="str">
        <f aca="false">"https://"&amp;D262&amp;E262&amp;"?utm_source="&amp;F262&amp;"&amp;utm_medium="&amp;G262&amp;"&amp;utm_campaign="&amp;H262&amp;"&amp;utm_content="&amp;I262</f>
        <v>https://eu-ai-act.ro/?utm_source=firmsfinder.eu&amp;utm_medium=network&amp;utm_campaign=2610_ff_lansare&amp;utm_content=general</v>
      </c>
    </row>
    <row r="263" customFormat="false" ht="15" hidden="false" customHeight="false" outlineLevel="0" collapsed="false">
      <c r="A263" s="10" t="s">
        <v>87</v>
      </c>
      <c r="B263" s="10" t="str">
        <f aca="false">INDEX('Site-uri'!$B$2:$B$20,MATCH(A263,'Site-uri'!$A$2:$A$20,0))</f>
        <v>firmsfinder.eu</v>
      </c>
      <c r="C263" s="10" t="s">
        <v>73</v>
      </c>
      <c r="D263" s="10" t="str">
        <f aca="false">INDEX('Site-uri'!$B$2:$B$20,MATCH(C263,'Site-uri'!$A$2:$A$20,0))</f>
        <v>eu-ai-act-ready.eu</v>
      </c>
      <c r="E263" s="10" t="str">
        <f aca="false">INDEX('Site-uri'!$C$2:$C$20,MATCH(C263,'Site-uri'!$A$2:$A$20,0))</f>
        <v>/</v>
      </c>
      <c r="F263" s="10" t="str">
        <f aca="false">B263</f>
        <v>firmsfinder.eu</v>
      </c>
      <c r="G263" s="10" t="str">
        <f aca="false">Config!$B$5</f>
        <v>network</v>
      </c>
      <c r="H263" s="10" t="str">
        <f aca="false">Config!$B$3</f>
        <v>2610_ff_lansare</v>
      </c>
      <c r="I263" s="10" t="str">
        <f aca="false">Config!$B$4</f>
        <v>general</v>
      </c>
      <c r="J263" s="10" t="str">
        <f aca="false">"https://"&amp;D263&amp;E263&amp;"?utm_source="&amp;F263&amp;"&amp;utm_medium="&amp;G263&amp;"&amp;utm_campaign="&amp;H263&amp;"&amp;utm_content="&amp;I263</f>
        <v>https://eu-ai-act-ready.eu/?utm_source=firmsfinder.eu&amp;utm_medium=network&amp;utm_campaign=2610_ff_lansare&amp;utm_content=general</v>
      </c>
    </row>
    <row r="264" customFormat="false" ht="15" hidden="false" customHeight="false" outlineLevel="0" collapsed="false">
      <c r="A264" s="10" t="s">
        <v>87</v>
      </c>
      <c r="B264" s="10" t="str">
        <f aca="false">INDEX('Site-uri'!$B$2:$B$20,MATCH(A264,'Site-uri'!$A$2:$A$20,0))</f>
        <v>firmsfinder.eu</v>
      </c>
      <c r="C264" s="10" t="s">
        <v>76</v>
      </c>
      <c r="D264" s="10" t="str">
        <f aca="false">INDEX('Site-uri'!$B$2:$B$20,MATCH(C264,'Site-uri'!$A$2:$A$20,0))</f>
        <v>eu-112.ro</v>
      </c>
      <c r="E264" s="10" t="str">
        <f aca="false">INDEX('Site-uri'!$C$2:$C$20,MATCH(C264,'Site-uri'!$A$2:$A$20,0))</f>
        <v>/</v>
      </c>
      <c r="F264" s="10" t="str">
        <f aca="false">B264</f>
        <v>firmsfinder.eu</v>
      </c>
      <c r="G264" s="10" t="str">
        <f aca="false">Config!$B$5</f>
        <v>network</v>
      </c>
      <c r="H264" s="10" t="str">
        <f aca="false">Config!$B$3</f>
        <v>2610_ff_lansare</v>
      </c>
      <c r="I264" s="10" t="str">
        <f aca="false">Config!$B$4</f>
        <v>general</v>
      </c>
      <c r="J264" s="10" t="str">
        <f aca="false">"https://"&amp;D264&amp;E264&amp;"?utm_source="&amp;F264&amp;"&amp;utm_medium="&amp;G264&amp;"&amp;utm_campaign="&amp;H264&amp;"&amp;utm_content="&amp;I264</f>
        <v>https://eu-112.ro/?utm_source=firmsfinder.eu&amp;utm_medium=network&amp;utm_campaign=2610_ff_lansare&amp;utm_content=general</v>
      </c>
    </row>
    <row r="265" customFormat="false" ht="15" hidden="false" customHeight="false" outlineLevel="0" collapsed="false">
      <c r="A265" s="10" t="s">
        <v>87</v>
      </c>
      <c r="B265" s="10" t="str">
        <f aca="false">INDEX('Site-uri'!$B$2:$B$20,MATCH(A265,'Site-uri'!$A$2:$A$20,0))</f>
        <v>firmsfinder.eu</v>
      </c>
      <c r="C265" s="10" t="s">
        <v>79</v>
      </c>
      <c r="D265" s="10" t="str">
        <f aca="false">INDEX('Site-uri'!$B$2:$B$20,MATCH(C265,'Site-uri'!$A$2:$A$20,0))</f>
        <v>eu-112.eu</v>
      </c>
      <c r="E265" s="10" t="str">
        <f aca="false">INDEX('Site-uri'!$C$2:$C$20,MATCH(C265,'Site-uri'!$A$2:$A$20,0))</f>
        <v>/</v>
      </c>
      <c r="F265" s="10" t="str">
        <f aca="false">B265</f>
        <v>firmsfinder.eu</v>
      </c>
      <c r="G265" s="10" t="str">
        <f aca="false">Config!$B$5</f>
        <v>network</v>
      </c>
      <c r="H265" s="10" t="str">
        <f aca="false">Config!$B$3</f>
        <v>2610_ff_lansare</v>
      </c>
      <c r="I265" s="10" t="str">
        <f aca="false">Config!$B$4</f>
        <v>general</v>
      </c>
      <c r="J265" s="10" t="str">
        <f aca="false">"https://"&amp;D265&amp;E265&amp;"?utm_source="&amp;F265&amp;"&amp;utm_medium="&amp;G265&amp;"&amp;utm_campaign="&amp;H265&amp;"&amp;utm_content="&amp;I265</f>
        <v>https://eu-112.eu/?utm_source=firmsfinder.eu&amp;utm_medium=network&amp;utm_campaign=2610_ff_lansare&amp;utm_content=general</v>
      </c>
    </row>
    <row r="266" customFormat="false" ht="15" hidden="false" customHeight="false" outlineLevel="0" collapsed="false">
      <c r="A266" s="10" t="s">
        <v>87</v>
      </c>
      <c r="B266" s="10" t="str">
        <f aca="false">INDEX('Site-uri'!$B$2:$B$20,MATCH(A266,'Site-uri'!$A$2:$A$20,0))</f>
        <v>firmsfinder.eu</v>
      </c>
      <c r="C266" s="10" t="s">
        <v>82</v>
      </c>
      <c r="D266" s="10" t="str">
        <f aca="false">INDEX('Site-uri'!$B$2:$B$20,MATCH(C266,'Site-uri'!$A$2:$A$20,0))</f>
        <v>1clic-ia.eu</v>
      </c>
      <c r="E266" s="10" t="str">
        <f aca="false">INDEX('Site-uri'!$C$2:$C$20,MATCH(C266,'Site-uri'!$A$2:$A$20,0))</f>
        <v>/</v>
      </c>
      <c r="F266" s="10" t="str">
        <f aca="false">B266</f>
        <v>firmsfinder.eu</v>
      </c>
      <c r="G266" s="10" t="str">
        <f aca="false">Config!$B$5</f>
        <v>network</v>
      </c>
      <c r="H266" s="10" t="str">
        <f aca="false">Config!$B$3</f>
        <v>2610_ff_lansare</v>
      </c>
      <c r="I266" s="10" t="str">
        <f aca="false">Config!$B$4</f>
        <v>general</v>
      </c>
      <c r="J266" s="10" t="str">
        <f aca="false">"https://"&amp;D266&amp;E266&amp;"?utm_source="&amp;F266&amp;"&amp;utm_medium="&amp;G266&amp;"&amp;utm_campaign="&amp;H266&amp;"&amp;utm_content="&amp;I266</f>
        <v>https://1clic-ia.eu/?utm_source=firmsfinder.eu&amp;utm_medium=network&amp;utm_campaign=2610_ff_lansare&amp;utm_content=general</v>
      </c>
    </row>
    <row r="267" customFormat="false" ht="15" hidden="false" customHeight="false" outlineLevel="0" collapsed="false">
      <c r="A267" s="10" t="s">
        <v>87</v>
      </c>
      <c r="B267" s="10" t="str">
        <f aca="false">INDEX('Site-uri'!$B$2:$B$20,MATCH(A267,'Site-uri'!$A$2:$A$20,0))</f>
        <v>firmsfinder.eu</v>
      </c>
      <c r="C267" s="10" t="s">
        <v>85</v>
      </c>
      <c r="D267" s="10" t="str">
        <f aca="false">INDEX('Site-uri'!$B$2:$B$20,MATCH(C267,'Site-uri'!$A$2:$A$20,0))</f>
        <v>1clic-ia.fr</v>
      </c>
      <c r="E267" s="10" t="str">
        <f aca="false">INDEX('Site-uri'!$C$2:$C$20,MATCH(C267,'Site-uri'!$A$2:$A$20,0))</f>
        <v>/</v>
      </c>
      <c r="F267" s="10" t="str">
        <f aca="false">B267</f>
        <v>firmsfinder.eu</v>
      </c>
      <c r="G267" s="10" t="str">
        <f aca="false">Config!$B$5</f>
        <v>network</v>
      </c>
      <c r="H267" s="10" t="str">
        <f aca="false">Config!$B$3</f>
        <v>2610_ff_lansare</v>
      </c>
      <c r="I267" s="10" t="str">
        <f aca="false">Config!$B$4</f>
        <v>general</v>
      </c>
      <c r="J267" s="10" t="str">
        <f aca="false">"https://"&amp;D267&amp;E267&amp;"?utm_source="&amp;F267&amp;"&amp;utm_medium="&amp;G267&amp;"&amp;utm_campaign="&amp;H267&amp;"&amp;utm_content="&amp;I267</f>
        <v>https://1clic-ia.fr/?utm_source=firmsfinder.eu&amp;utm_medium=network&amp;utm_campaign=2610_ff_lansare&amp;utm_content=general</v>
      </c>
    </row>
    <row r="268" customFormat="false" ht="15" hidden="false" customHeight="false" outlineLevel="0" collapsed="false">
      <c r="A268" s="10" t="s">
        <v>87</v>
      </c>
      <c r="B268" s="10" t="str">
        <f aca="false">INDEX('Site-uri'!$B$2:$B$20,MATCH(A268,'Site-uri'!$A$2:$A$20,0))</f>
        <v>firmsfinder.eu</v>
      </c>
      <c r="C268" s="10" t="s">
        <v>90</v>
      </c>
      <c r="D268" s="10" t="str">
        <f aca="false">INDEX('Site-uri'!$B$2:$B$20,MATCH(C268,'Site-uri'!$A$2:$A$20,0))</f>
        <v>b2b-ai-library.org</v>
      </c>
      <c r="E268" s="10" t="str">
        <f aca="false">INDEX('Site-uri'!$C$2:$C$20,MATCH(C268,'Site-uri'!$A$2:$A$20,0))</f>
        <v>/</v>
      </c>
      <c r="F268" s="10" t="str">
        <f aca="false">B268</f>
        <v>firmsfinder.eu</v>
      </c>
      <c r="G268" s="10" t="str">
        <f aca="false">Config!$B$5</f>
        <v>network</v>
      </c>
      <c r="H268" s="10" t="str">
        <f aca="false">Config!$B$3</f>
        <v>2610_ff_lansare</v>
      </c>
      <c r="I268" s="10" t="str">
        <f aca="false">Config!$B$4</f>
        <v>general</v>
      </c>
      <c r="J268" s="10" t="str">
        <f aca="false">"https://"&amp;D268&amp;E268&amp;"?utm_source="&amp;F268&amp;"&amp;utm_medium="&amp;G268&amp;"&amp;utm_campaign="&amp;H268&amp;"&amp;utm_content="&amp;I268</f>
        <v>https://b2b-ai-library.org/?utm_source=firmsfinder.eu&amp;utm_medium=network&amp;utm_campaign=2610_ff_lansare&amp;utm_content=general</v>
      </c>
    </row>
    <row r="269" customFormat="false" ht="15" hidden="false" customHeight="false" outlineLevel="0" collapsed="false">
      <c r="A269" s="10" t="s">
        <v>87</v>
      </c>
      <c r="B269" s="10" t="str">
        <f aca="false">INDEX('Site-uri'!$B$2:$B$20,MATCH(A269,'Site-uri'!$A$2:$A$20,0))</f>
        <v>firmsfinder.eu</v>
      </c>
      <c r="C269" s="10" t="s">
        <v>92</v>
      </c>
      <c r="D269" s="10" t="str">
        <f aca="false">INDEX('Site-uri'!$B$2:$B$20,MATCH(C269,'Site-uri'!$A$2:$A$20,0))</f>
        <v>the3webs.com</v>
      </c>
      <c r="E269" s="10" t="str">
        <f aca="false">INDEX('Site-uri'!$C$2:$C$20,MATCH(C269,'Site-uri'!$A$2:$A$20,0))</f>
        <v>/</v>
      </c>
      <c r="F269" s="10" t="str">
        <f aca="false">B269</f>
        <v>firmsfinder.eu</v>
      </c>
      <c r="G269" s="10" t="str">
        <f aca="false">Config!$B$5</f>
        <v>network</v>
      </c>
      <c r="H269" s="10" t="str">
        <f aca="false">Config!$B$3</f>
        <v>2610_ff_lansare</v>
      </c>
      <c r="I269" s="10" t="str">
        <f aca="false">Config!$B$4</f>
        <v>general</v>
      </c>
      <c r="J269" s="10" t="str">
        <f aca="false">"https://"&amp;D269&amp;E269&amp;"?utm_source="&amp;F269&amp;"&amp;utm_medium="&amp;G269&amp;"&amp;utm_campaign="&amp;H269&amp;"&amp;utm_content="&amp;I269</f>
        <v>https://the3webs.com/?utm_source=firmsfinder.eu&amp;utm_medium=network&amp;utm_campaign=2610_ff_lansare&amp;utm_content=general</v>
      </c>
    </row>
    <row r="270" customFormat="false" ht="15" hidden="false" customHeight="false" outlineLevel="0" collapsed="false">
      <c r="A270" s="10" t="s">
        <v>87</v>
      </c>
      <c r="B270" s="10" t="str">
        <f aca="false">INDEX('Site-uri'!$B$2:$B$20,MATCH(A270,'Site-uri'!$A$2:$A$20,0))</f>
        <v>firmsfinder.eu</v>
      </c>
      <c r="C270" s="10" t="s">
        <v>95</v>
      </c>
      <c r="D270" s="10" t="str">
        <f aca="false">INDEX('Site-uri'!$B$2:$B$20,MATCH(C270,'Site-uri'!$A$2:$A$20,0))</f>
        <v>floride-e2.com</v>
      </c>
      <c r="E270" s="10" t="str">
        <f aca="false">INDEX('Site-uri'!$C$2:$C$20,MATCH(C270,'Site-uri'!$A$2:$A$20,0))</f>
        <v>/</v>
      </c>
      <c r="F270" s="10" t="str">
        <f aca="false">B270</f>
        <v>firmsfinder.eu</v>
      </c>
      <c r="G270" s="10" t="str">
        <f aca="false">Config!$B$5</f>
        <v>network</v>
      </c>
      <c r="H270" s="10" t="str">
        <f aca="false">Config!$B$3</f>
        <v>2610_ff_lansare</v>
      </c>
      <c r="I270" s="10" t="str">
        <f aca="false">Config!$B$4</f>
        <v>general</v>
      </c>
      <c r="J270" s="10" t="str">
        <f aca="false">"https://"&amp;D270&amp;E270&amp;"?utm_source="&amp;F270&amp;"&amp;utm_medium="&amp;G270&amp;"&amp;utm_campaign="&amp;H270&amp;"&amp;utm_content="&amp;I270</f>
        <v>https://floride-e2.com/?utm_source=firmsfinder.eu&amp;utm_medium=network&amp;utm_campaign=2610_ff_lansare&amp;utm_content=general</v>
      </c>
    </row>
    <row r="271" customFormat="false" ht="15" hidden="false" customHeight="false" outlineLevel="0" collapsed="false">
      <c r="A271" s="10" t="s">
        <v>87</v>
      </c>
      <c r="B271" s="10" t="str">
        <f aca="false">INDEX('Site-uri'!$B$2:$B$20,MATCH(A271,'Site-uri'!$A$2:$A$20,0))</f>
        <v>firmsfinder.eu</v>
      </c>
      <c r="C271" s="10" t="s">
        <v>97</v>
      </c>
      <c r="D271" s="10" t="str">
        <f aca="false">INDEX('Site-uri'!$B$2:$B$20,MATCH(C271,'Site-uri'!$A$2:$A$20,0))</f>
        <v>ecbtax.com</v>
      </c>
      <c r="E271" s="10" t="str">
        <f aca="false">INDEX('Site-uri'!$C$2:$C$20,MATCH(C271,'Site-uri'!$A$2:$A$20,0))</f>
        <v>/</v>
      </c>
      <c r="F271" s="10" t="str">
        <f aca="false">B271</f>
        <v>firmsfinder.eu</v>
      </c>
      <c r="G271" s="10" t="str">
        <f aca="false">Config!$B$5</f>
        <v>network</v>
      </c>
      <c r="H271" s="10" t="str">
        <f aca="false">Config!$B$3</f>
        <v>2610_ff_lansare</v>
      </c>
      <c r="I271" s="10" t="str">
        <f aca="false">Config!$B$4</f>
        <v>general</v>
      </c>
      <c r="J271" s="10" t="str">
        <f aca="false">"https://"&amp;D271&amp;E271&amp;"?utm_source="&amp;F271&amp;"&amp;utm_medium="&amp;G271&amp;"&amp;utm_campaign="&amp;H271&amp;"&amp;utm_content="&amp;I271</f>
        <v>https://ecbtax.com/?utm_source=firmsfinder.eu&amp;utm_medium=network&amp;utm_campaign=2610_ff_lansare&amp;utm_content=general</v>
      </c>
    </row>
    <row r="272" customFormat="false" ht="15" hidden="false" customHeight="false" outlineLevel="0" collapsed="false">
      <c r="A272" s="10" t="s">
        <v>90</v>
      </c>
      <c r="B272" s="10" t="str">
        <f aca="false">INDEX('Site-uri'!$B$2:$B$20,MATCH(A272,'Site-uri'!$A$2:$A$20,0))</f>
        <v>b2b-ai-library.org</v>
      </c>
      <c r="C272" s="10" t="s">
        <v>46</v>
      </c>
      <c r="D272" s="10" t="str">
        <f aca="false">INDEX('Site-uri'!$B$2:$B$20,MATCH(C272,'Site-uri'!$A$2:$A$20,0))</f>
        <v>5thelement.ai</v>
      </c>
      <c r="E272" s="10" t="str">
        <f aca="false">INDEX('Site-uri'!$C$2:$C$20,MATCH(C272,'Site-uri'!$A$2:$A$20,0))</f>
        <v>/</v>
      </c>
      <c r="F272" s="10" t="str">
        <f aca="false">B272</f>
        <v>b2b-ai-library.org</v>
      </c>
      <c r="G272" s="10" t="str">
        <f aca="false">Config!$B$5</f>
        <v>network</v>
      </c>
      <c r="H272" s="10" t="str">
        <f aca="false">Config!$B$3</f>
        <v>2610_ff_lansare</v>
      </c>
      <c r="I272" s="10" t="str">
        <f aca="false">Config!$B$4</f>
        <v>general</v>
      </c>
      <c r="J272" s="10" t="str">
        <f aca="false">"https://"&amp;D272&amp;E272&amp;"?utm_source="&amp;F272&amp;"&amp;utm_medium="&amp;G272&amp;"&amp;utm_campaign="&amp;H272&amp;"&amp;utm_content="&amp;I272</f>
        <v>https://5thelement.ai/?utm_source=b2b-ai-library.org&amp;utm_medium=network&amp;utm_campaign=2610_ff_lansare&amp;utm_content=general</v>
      </c>
    </row>
    <row r="273" customFormat="false" ht="15" hidden="false" customHeight="false" outlineLevel="0" collapsed="false">
      <c r="A273" s="10" t="s">
        <v>90</v>
      </c>
      <c r="B273" s="10" t="str">
        <f aca="false">INDEX('Site-uri'!$B$2:$B$20,MATCH(A273,'Site-uri'!$A$2:$A$20,0))</f>
        <v>b2b-ai-library.org</v>
      </c>
      <c r="C273" s="10" t="s">
        <v>50</v>
      </c>
      <c r="D273" s="10" t="str">
        <f aca="false">INDEX('Site-uri'!$B$2:$B$20,MATCH(C273,'Site-uri'!$A$2:$A$20,0))</f>
        <v>aiventure.ro</v>
      </c>
      <c r="E273" s="10" t="str">
        <f aca="false">INDEX('Site-uri'!$C$2:$C$20,MATCH(C273,'Site-uri'!$A$2:$A$20,0))</f>
        <v>/</v>
      </c>
      <c r="F273" s="10" t="str">
        <f aca="false">B273</f>
        <v>b2b-ai-library.org</v>
      </c>
      <c r="G273" s="10" t="str">
        <f aca="false">Config!$B$5</f>
        <v>network</v>
      </c>
      <c r="H273" s="10" t="str">
        <f aca="false">Config!$B$3</f>
        <v>2610_ff_lansare</v>
      </c>
      <c r="I273" s="10" t="str">
        <f aca="false">Config!$B$4</f>
        <v>general</v>
      </c>
      <c r="J273" s="10" t="str">
        <f aca="false">"https://"&amp;D273&amp;E273&amp;"?utm_source="&amp;F273&amp;"&amp;utm_medium="&amp;G273&amp;"&amp;utm_campaign="&amp;H273&amp;"&amp;utm_content="&amp;I273</f>
        <v>https://aiventure.ro/?utm_source=b2b-ai-library.org&amp;utm_medium=network&amp;utm_campaign=2610_ff_lansare&amp;utm_content=general</v>
      </c>
    </row>
    <row r="274" customFormat="false" ht="15" hidden="false" customHeight="false" outlineLevel="0" collapsed="false">
      <c r="A274" s="10" t="s">
        <v>90</v>
      </c>
      <c r="B274" s="10" t="str">
        <f aca="false">INDEX('Site-uri'!$B$2:$B$20,MATCH(A274,'Site-uri'!$A$2:$A$20,0))</f>
        <v>b2b-ai-library.org</v>
      </c>
      <c r="C274" s="10" t="s">
        <v>53</v>
      </c>
      <c r="D274" s="10" t="str">
        <f aca="false">INDEX('Site-uri'!$B$2:$B$20,MATCH(C274,'Site-uri'!$A$2:$A$20,0))</f>
        <v>aiventure.uk</v>
      </c>
      <c r="E274" s="10" t="str">
        <f aca="false">INDEX('Site-uri'!$C$2:$C$20,MATCH(C274,'Site-uri'!$A$2:$A$20,0))</f>
        <v>/</v>
      </c>
      <c r="F274" s="10" t="str">
        <f aca="false">B274</f>
        <v>b2b-ai-library.org</v>
      </c>
      <c r="G274" s="10" t="str">
        <f aca="false">Config!$B$5</f>
        <v>network</v>
      </c>
      <c r="H274" s="10" t="str">
        <f aca="false">Config!$B$3</f>
        <v>2610_ff_lansare</v>
      </c>
      <c r="I274" s="10" t="str">
        <f aca="false">Config!$B$4</f>
        <v>general</v>
      </c>
      <c r="J274" s="10" t="str">
        <f aca="false">"https://"&amp;D274&amp;E274&amp;"?utm_source="&amp;F274&amp;"&amp;utm_medium="&amp;G274&amp;"&amp;utm_campaign="&amp;H274&amp;"&amp;utm_content="&amp;I274</f>
        <v>https://aiventure.uk/?utm_source=b2b-ai-library.org&amp;utm_medium=network&amp;utm_campaign=2610_ff_lansare&amp;utm_content=general</v>
      </c>
    </row>
    <row r="275" customFormat="false" ht="15" hidden="false" customHeight="false" outlineLevel="0" collapsed="false">
      <c r="A275" s="10" t="s">
        <v>90</v>
      </c>
      <c r="B275" s="10" t="str">
        <f aca="false">INDEX('Site-uri'!$B$2:$B$20,MATCH(A275,'Site-uri'!$A$2:$A$20,0))</f>
        <v>b2b-ai-library.org</v>
      </c>
      <c r="C275" s="10" t="s">
        <v>56</v>
      </c>
      <c r="D275" s="10" t="str">
        <f aca="false">INDEX('Site-uri'!$B$2:$B$20,MATCH(C275,'Site-uri'!$A$2:$A$20,0))</f>
        <v>3webobs.com</v>
      </c>
      <c r="E275" s="10" t="str">
        <f aca="false">INDEX('Site-uri'!$C$2:$C$20,MATCH(C275,'Site-uri'!$A$2:$A$20,0))</f>
        <v>/</v>
      </c>
      <c r="F275" s="10" t="str">
        <f aca="false">B275</f>
        <v>b2b-ai-library.org</v>
      </c>
      <c r="G275" s="10" t="str">
        <f aca="false">Config!$B$5</f>
        <v>network</v>
      </c>
      <c r="H275" s="10" t="str">
        <f aca="false">Config!$B$3</f>
        <v>2610_ff_lansare</v>
      </c>
      <c r="I275" s="10" t="str">
        <f aca="false">Config!$B$4</f>
        <v>general</v>
      </c>
      <c r="J275" s="10" t="str">
        <f aca="false">"https://"&amp;D275&amp;E275&amp;"?utm_source="&amp;F275&amp;"&amp;utm_medium="&amp;G275&amp;"&amp;utm_campaign="&amp;H275&amp;"&amp;utm_content="&amp;I275</f>
        <v>https://3webobs.com/?utm_source=b2b-ai-library.org&amp;utm_medium=network&amp;utm_campaign=2610_ff_lansare&amp;utm_content=general</v>
      </c>
    </row>
    <row r="276" customFormat="false" ht="15" hidden="false" customHeight="false" outlineLevel="0" collapsed="false">
      <c r="A276" s="10" t="s">
        <v>90</v>
      </c>
      <c r="B276" s="10" t="str">
        <f aca="false">INDEX('Site-uri'!$B$2:$B$20,MATCH(A276,'Site-uri'!$A$2:$A$20,0))</f>
        <v>b2b-ai-library.org</v>
      </c>
      <c r="C276" s="10" t="s">
        <v>59</v>
      </c>
      <c r="D276" s="10" t="str">
        <f aca="false">INDEX('Site-uri'!$B$2:$B$20,MATCH(C276,'Site-uri'!$A$2:$A$20,0))</f>
        <v>ai-lens.eu</v>
      </c>
      <c r="E276" s="10" t="str">
        <f aca="false">INDEX('Site-uri'!$C$2:$C$20,MATCH(C276,'Site-uri'!$A$2:$A$20,0))</f>
        <v>/</v>
      </c>
      <c r="F276" s="10" t="str">
        <f aca="false">B276</f>
        <v>b2b-ai-library.org</v>
      </c>
      <c r="G276" s="10" t="str">
        <f aca="false">Config!$B$5</f>
        <v>network</v>
      </c>
      <c r="H276" s="10" t="str">
        <f aca="false">Config!$B$3</f>
        <v>2610_ff_lansare</v>
      </c>
      <c r="I276" s="10" t="str">
        <f aca="false">Config!$B$4</f>
        <v>general</v>
      </c>
      <c r="J276" s="10" t="str">
        <f aca="false">"https://"&amp;D276&amp;E276&amp;"?utm_source="&amp;F276&amp;"&amp;utm_medium="&amp;G276&amp;"&amp;utm_campaign="&amp;H276&amp;"&amp;utm_content="&amp;I276</f>
        <v>https://ai-lens.eu/?utm_source=b2b-ai-library.org&amp;utm_medium=network&amp;utm_campaign=2610_ff_lansare&amp;utm_content=general</v>
      </c>
    </row>
    <row r="277" customFormat="false" ht="15" hidden="false" customHeight="false" outlineLevel="0" collapsed="false">
      <c r="A277" s="10" t="s">
        <v>90</v>
      </c>
      <c r="B277" s="10" t="str">
        <f aca="false">INDEX('Site-uri'!$B$2:$B$20,MATCH(A277,'Site-uri'!$A$2:$A$20,0))</f>
        <v>b2b-ai-library.org</v>
      </c>
      <c r="C277" s="10" t="s">
        <v>62</v>
      </c>
      <c r="D277" s="10" t="str">
        <f aca="false">INDEX('Site-uri'!$B$2:$B$20,MATCH(C277,'Site-uri'!$A$2:$A$20,0))</f>
        <v>aireadyinjector.com</v>
      </c>
      <c r="E277" s="10" t="str">
        <f aca="false">INDEX('Site-uri'!$C$2:$C$20,MATCH(C277,'Site-uri'!$A$2:$A$20,0))</f>
        <v>/</v>
      </c>
      <c r="F277" s="10" t="str">
        <f aca="false">B277</f>
        <v>b2b-ai-library.org</v>
      </c>
      <c r="G277" s="10" t="str">
        <f aca="false">Config!$B$5</f>
        <v>network</v>
      </c>
      <c r="H277" s="10" t="str">
        <f aca="false">Config!$B$3</f>
        <v>2610_ff_lansare</v>
      </c>
      <c r="I277" s="10" t="str">
        <f aca="false">Config!$B$4</f>
        <v>general</v>
      </c>
      <c r="J277" s="10" t="str">
        <f aca="false">"https://"&amp;D277&amp;E277&amp;"?utm_source="&amp;F277&amp;"&amp;utm_medium="&amp;G277&amp;"&amp;utm_campaign="&amp;H277&amp;"&amp;utm_content="&amp;I277</f>
        <v>https://aireadyinjector.com/?utm_source=b2b-ai-library.org&amp;utm_medium=network&amp;utm_campaign=2610_ff_lansare&amp;utm_content=general</v>
      </c>
    </row>
    <row r="278" customFormat="false" ht="15" hidden="false" customHeight="false" outlineLevel="0" collapsed="false">
      <c r="A278" s="10" t="s">
        <v>90</v>
      </c>
      <c r="B278" s="10" t="str">
        <f aca="false">INDEX('Site-uri'!$B$2:$B$20,MATCH(A278,'Site-uri'!$A$2:$A$20,0))</f>
        <v>b2b-ai-library.org</v>
      </c>
      <c r="C278" s="10" t="s">
        <v>65</v>
      </c>
      <c r="D278" s="10" t="str">
        <f aca="false">INDEX('Site-uri'!$B$2:$B$20,MATCH(C278,'Site-uri'!$A$2:$A$20,0))</f>
        <v>eu-ai-audit.eu</v>
      </c>
      <c r="E278" s="10" t="str">
        <f aca="false">INDEX('Site-uri'!$C$2:$C$20,MATCH(C278,'Site-uri'!$A$2:$A$20,0))</f>
        <v>/</v>
      </c>
      <c r="F278" s="10" t="str">
        <f aca="false">B278</f>
        <v>b2b-ai-library.org</v>
      </c>
      <c r="G278" s="10" t="str">
        <f aca="false">Config!$B$5</f>
        <v>network</v>
      </c>
      <c r="H278" s="10" t="str">
        <f aca="false">Config!$B$3</f>
        <v>2610_ff_lansare</v>
      </c>
      <c r="I278" s="10" t="str">
        <f aca="false">Config!$B$4</f>
        <v>general</v>
      </c>
      <c r="J278" s="10" t="str">
        <f aca="false">"https://"&amp;D278&amp;E278&amp;"?utm_source="&amp;F278&amp;"&amp;utm_medium="&amp;G278&amp;"&amp;utm_campaign="&amp;H278&amp;"&amp;utm_content="&amp;I278</f>
        <v>https://eu-ai-audit.eu/?utm_source=b2b-ai-library.org&amp;utm_medium=network&amp;utm_campaign=2610_ff_lansare&amp;utm_content=general</v>
      </c>
    </row>
    <row r="279" customFormat="false" ht="15" hidden="false" customHeight="false" outlineLevel="0" collapsed="false">
      <c r="A279" s="10" t="s">
        <v>90</v>
      </c>
      <c r="B279" s="10" t="str">
        <f aca="false">INDEX('Site-uri'!$B$2:$B$20,MATCH(A279,'Site-uri'!$A$2:$A$20,0))</f>
        <v>b2b-ai-library.org</v>
      </c>
      <c r="C279" s="10" t="s">
        <v>68</v>
      </c>
      <c r="D279" s="10" t="str">
        <f aca="false">INDEX('Site-uri'!$B$2:$B$20,MATCH(C279,'Site-uri'!$A$2:$A$20,0))</f>
        <v>eu-ai-ready.eu</v>
      </c>
      <c r="E279" s="10" t="str">
        <f aca="false">INDEX('Site-uri'!$C$2:$C$20,MATCH(C279,'Site-uri'!$A$2:$A$20,0))</f>
        <v>/</v>
      </c>
      <c r="F279" s="10" t="str">
        <f aca="false">B279</f>
        <v>b2b-ai-library.org</v>
      </c>
      <c r="G279" s="10" t="str">
        <f aca="false">Config!$B$5</f>
        <v>network</v>
      </c>
      <c r="H279" s="10" t="str">
        <f aca="false">Config!$B$3</f>
        <v>2610_ff_lansare</v>
      </c>
      <c r="I279" s="10" t="str">
        <f aca="false">Config!$B$4</f>
        <v>general</v>
      </c>
      <c r="J279" s="10" t="str">
        <f aca="false">"https://"&amp;D279&amp;E279&amp;"?utm_source="&amp;F279&amp;"&amp;utm_medium="&amp;G279&amp;"&amp;utm_campaign="&amp;H279&amp;"&amp;utm_content="&amp;I279</f>
        <v>https://eu-ai-ready.eu/?utm_source=b2b-ai-library.org&amp;utm_medium=network&amp;utm_campaign=2610_ff_lansare&amp;utm_content=general</v>
      </c>
    </row>
    <row r="280" customFormat="false" ht="15" hidden="false" customHeight="false" outlineLevel="0" collapsed="false">
      <c r="A280" s="10" t="s">
        <v>90</v>
      </c>
      <c r="B280" s="10" t="str">
        <f aca="false">INDEX('Site-uri'!$B$2:$B$20,MATCH(A280,'Site-uri'!$A$2:$A$20,0))</f>
        <v>b2b-ai-library.org</v>
      </c>
      <c r="C280" s="10" t="s">
        <v>70</v>
      </c>
      <c r="D280" s="10" t="str">
        <f aca="false">INDEX('Site-uri'!$B$2:$B$20,MATCH(C280,'Site-uri'!$A$2:$A$20,0))</f>
        <v>eu-ai-act.ro</v>
      </c>
      <c r="E280" s="10" t="str">
        <f aca="false">INDEX('Site-uri'!$C$2:$C$20,MATCH(C280,'Site-uri'!$A$2:$A$20,0))</f>
        <v>/</v>
      </c>
      <c r="F280" s="10" t="str">
        <f aca="false">B280</f>
        <v>b2b-ai-library.org</v>
      </c>
      <c r="G280" s="10" t="str">
        <f aca="false">Config!$B$5</f>
        <v>network</v>
      </c>
      <c r="H280" s="10" t="str">
        <f aca="false">Config!$B$3</f>
        <v>2610_ff_lansare</v>
      </c>
      <c r="I280" s="10" t="str">
        <f aca="false">Config!$B$4</f>
        <v>general</v>
      </c>
      <c r="J280" s="10" t="str">
        <f aca="false">"https://"&amp;D280&amp;E280&amp;"?utm_source="&amp;F280&amp;"&amp;utm_medium="&amp;G280&amp;"&amp;utm_campaign="&amp;H280&amp;"&amp;utm_content="&amp;I280</f>
        <v>https://eu-ai-act.ro/?utm_source=b2b-ai-library.org&amp;utm_medium=network&amp;utm_campaign=2610_ff_lansare&amp;utm_content=general</v>
      </c>
    </row>
    <row r="281" customFormat="false" ht="15" hidden="false" customHeight="false" outlineLevel="0" collapsed="false">
      <c r="A281" s="10" t="s">
        <v>90</v>
      </c>
      <c r="B281" s="10" t="str">
        <f aca="false">INDEX('Site-uri'!$B$2:$B$20,MATCH(A281,'Site-uri'!$A$2:$A$20,0))</f>
        <v>b2b-ai-library.org</v>
      </c>
      <c r="C281" s="10" t="s">
        <v>73</v>
      </c>
      <c r="D281" s="10" t="str">
        <f aca="false">INDEX('Site-uri'!$B$2:$B$20,MATCH(C281,'Site-uri'!$A$2:$A$20,0))</f>
        <v>eu-ai-act-ready.eu</v>
      </c>
      <c r="E281" s="10" t="str">
        <f aca="false">INDEX('Site-uri'!$C$2:$C$20,MATCH(C281,'Site-uri'!$A$2:$A$20,0))</f>
        <v>/</v>
      </c>
      <c r="F281" s="10" t="str">
        <f aca="false">B281</f>
        <v>b2b-ai-library.org</v>
      </c>
      <c r="G281" s="10" t="str">
        <f aca="false">Config!$B$5</f>
        <v>network</v>
      </c>
      <c r="H281" s="10" t="str">
        <f aca="false">Config!$B$3</f>
        <v>2610_ff_lansare</v>
      </c>
      <c r="I281" s="10" t="str">
        <f aca="false">Config!$B$4</f>
        <v>general</v>
      </c>
      <c r="J281" s="10" t="str">
        <f aca="false">"https://"&amp;D281&amp;E281&amp;"?utm_source="&amp;F281&amp;"&amp;utm_medium="&amp;G281&amp;"&amp;utm_campaign="&amp;H281&amp;"&amp;utm_content="&amp;I281</f>
        <v>https://eu-ai-act-ready.eu/?utm_source=b2b-ai-library.org&amp;utm_medium=network&amp;utm_campaign=2610_ff_lansare&amp;utm_content=general</v>
      </c>
    </row>
    <row r="282" customFormat="false" ht="15" hidden="false" customHeight="false" outlineLevel="0" collapsed="false">
      <c r="A282" s="10" t="s">
        <v>90</v>
      </c>
      <c r="B282" s="10" t="str">
        <f aca="false">INDEX('Site-uri'!$B$2:$B$20,MATCH(A282,'Site-uri'!$A$2:$A$20,0))</f>
        <v>b2b-ai-library.org</v>
      </c>
      <c r="C282" s="10" t="s">
        <v>76</v>
      </c>
      <c r="D282" s="10" t="str">
        <f aca="false">INDEX('Site-uri'!$B$2:$B$20,MATCH(C282,'Site-uri'!$A$2:$A$20,0))</f>
        <v>eu-112.ro</v>
      </c>
      <c r="E282" s="10" t="str">
        <f aca="false">INDEX('Site-uri'!$C$2:$C$20,MATCH(C282,'Site-uri'!$A$2:$A$20,0))</f>
        <v>/</v>
      </c>
      <c r="F282" s="10" t="str">
        <f aca="false">B282</f>
        <v>b2b-ai-library.org</v>
      </c>
      <c r="G282" s="10" t="str">
        <f aca="false">Config!$B$5</f>
        <v>network</v>
      </c>
      <c r="H282" s="10" t="str">
        <f aca="false">Config!$B$3</f>
        <v>2610_ff_lansare</v>
      </c>
      <c r="I282" s="10" t="str">
        <f aca="false">Config!$B$4</f>
        <v>general</v>
      </c>
      <c r="J282" s="10" t="str">
        <f aca="false">"https://"&amp;D282&amp;E282&amp;"?utm_source="&amp;F282&amp;"&amp;utm_medium="&amp;G282&amp;"&amp;utm_campaign="&amp;H282&amp;"&amp;utm_content="&amp;I282</f>
        <v>https://eu-112.ro/?utm_source=b2b-ai-library.org&amp;utm_medium=network&amp;utm_campaign=2610_ff_lansare&amp;utm_content=general</v>
      </c>
    </row>
    <row r="283" customFormat="false" ht="15" hidden="false" customHeight="false" outlineLevel="0" collapsed="false">
      <c r="A283" s="10" t="s">
        <v>90</v>
      </c>
      <c r="B283" s="10" t="str">
        <f aca="false">INDEX('Site-uri'!$B$2:$B$20,MATCH(A283,'Site-uri'!$A$2:$A$20,0))</f>
        <v>b2b-ai-library.org</v>
      </c>
      <c r="C283" s="10" t="s">
        <v>79</v>
      </c>
      <c r="D283" s="10" t="str">
        <f aca="false">INDEX('Site-uri'!$B$2:$B$20,MATCH(C283,'Site-uri'!$A$2:$A$20,0))</f>
        <v>eu-112.eu</v>
      </c>
      <c r="E283" s="10" t="str">
        <f aca="false">INDEX('Site-uri'!$C$2:$C$20,MATCH(C283,'Site-uri'!$A$2:$A$20,0))</f>
        <v>/</v>
      </c>
      <c r="F283" s="10" t="str">
        <f aca="false">B283</f>
        <v>b2b-ai-library.org</v>
      </c>
      <c r="G283" s="10" t="str">
        <f aca="false">Config!$B$5</f>
        <v>network</v>
      </c>
      <c r="H283" s="10" t="str">
        <f aca="false">Config!$B$3</f>
        <v>2610_ff_lansare</v>
      </c>
      <c r="I283" s="10" t="str">
        <f aca="false">Config!$B$4</f>
        <v>general</v>
      </c>
      <c r="J283" s="10" t="str">
        <f aca="false">"https://"&amp;D283&amp;E283&amp;"?utm_source="&amp;F283&amp;"&amp;utm_medium="&amp;G283&amp;"&amp;utm_campaign="&amp;H283&amp;"&amp;utm_content="&amp;I283</f>
        <v>https://eu-112.eu/?utm_source=b2b-ai-library.org&amp;utm_medium=network&amp;utm_campaign=2610_ff_lansare&amp;utm_content=general</v>
      </c>
    </row>
    <row r="284" customFormat="false" ht="15" hidden="false" customHeight="false" outlineLevel="0" collapsed="false">
      <c r="A284" s="10" t="s">
        <v>90</v>
      </c>
      <c r="B284" s="10" t="str">
        <f aca="false">INDEX('Site-uri'!$B$2:$B$20,MATCH(A284,'Site-uri'!$A$2:$A$20,0))</f>
        <v>b2b-ai-library.org</v>
      </c>
      <c r="C284" s="10" t="s">
        <v>82</v>
      </c>
      <c r="D284" s="10" t="str">
        <f aca="false">INDEX('Site-uri'!$B$2:$B$20,MATCH(C284,'Site-uri'!$A$2:$A$20,0))</f>
        <v>1clic-ia.eu</v>
      </c>
      <c r="E284" s="10" t="str">
        <f aca="false">INDEX('Site-uri'!$C$2:$C$20,MATCH(C284,'Site-uri'!$A$2:$A$20,0))</f>
        <v>/</v>
      </c>
      <c r="F284" s="10" t="str">
        <f aca="false">B284</f>
        <v>b2b-ai-library.org</v>
      </c>
      <c r="G284" s="10" t="str">
        <f aca="false">Config!$B$5</f>
        <v>network</v>
      </c>
      <c r="H284" s="10" t="str">
        <f aca="false">Config!$B$3</f>
        <v>2610_ff_lansare</v>
      </c>
      <c r="I284" s="10" t="str">
        <f aca="false">Config!$B$4</f>
        <v>general</v>
      </c>
      <c r="J284" s="10" t="str">
        <f aca="false">"https://"&amp;D284&amp;E284&amp;"?utm_source="&amp;F284&amp;"&amp;utm_medium="&amp;G284&amp;"&amp;utm_campaign="&amp;H284&amp;"&amp;utm_content="&amp;I284</f>
        <v>https://1clic-ia.eu/?utm_source=b2b-ai-library.org&amp;utm_medium=network&amp;utm_campaign=2610_ff_lansare&amp;utm_content=general</v>
      </c>
    </row>
    <row r="285" customFormat="false" ht="15" hidden="false" customHeight="false" outlineLevel="0" collapsed="false">
      <c r="A285" s="10" t="s">
        <v>90</v>
      </c>
      <c r="B285" s="10" t="str">
        <f aca="false">INDEX('Site-uri'!$B$2:$B$20,MATCH(A285,'Site-uri'!$A$2:$A$20,0))</f>
        <v>b2b-ai-library.org</v>
      </c>
      <c r="C285" s="10" t="s">
        <v>85</v>
      </c>
      <c r="D285" s="10" t="str">
        <f aca="false">INDEX('Site-uri'!$B$2:$B$20,MATCH(C285,'Site-uri'!$A$2:$A$20,0))</f>
        <v>1clic-ia.fr</v>
      </c>
      <c r="E285" s="10" t="str">
        <f aca="false">INDEX('Site-uri'!$C$2:$C$20,MATCH(C285,'Site-uri'!$A$2:$A$20,0))</f>
        <v>/</v>
      </c>
      <c r="F285" s="10" t="str">
        <f aca="false">B285</f>
        <v>b2b-ai-library.org</v>
      </c>
      <c r="G285" s="10" t="str">
        <f aca="false">Config!$B$5</f>
        <v>network</v>
      </c>
      <c r="H285" s="10" t="str">
        <f aca="false">Config!$B$3</f>
        <v>2610_ff_lansare</v>
      </c>
      <c r="I285" s="10" t="str">
        <f aca="false">Config!$B$4</f>
        <v>general</v>
      </c>
      <c r="J285" s="10" t="str">
        <f aca="false">"https://"&amp;D285&amp;E285&amp;"?utm_source="&amp;F285&amp;"&amp;utm_medium="&amp;G285&amp;"&amp;utm_campaign="&amp;H285&amp;"&amp;utm_content="&amp;I285</f>
        <v>https://1clic-ia.fr/?utm_source=b2b-ai-library.org&amp;utm_medium=network&amp;utm_campaign=2610_ff_lansare&amp;utm_content=general</v>
      </c>
    </row>
    <row r="286" customFormat="false" ht="15" hidden="false" customHeight="false" outlineLevel="0" collapsed="false">
      <c r="A286" s="10" t="s">
        <v>90</v>
      </c>
      <c r="B286" s="10" t="str">
        <f aca="false">INDEX('Site-uri'!$B$2:$B$20,MATCH(A286,'Site-uri'!$A$2:$A$20,0))</f>
        <v>b2b-ai-library.org</v>
      </c>
      <c r="C286" s="10" t="s">
        <v>87</v>
      </c>
      <c r="D286" s="10" t="str">
        <f aca="false">INDEX('Site-uri'!$B$2:$B$20,MATCH(C286,'Site-uri'!$A$2:$A$20,0))</f>
        <v>firmsfinder.eu</v>
      </c>
      <c r="E286" s="10" t="str">
        <f aca="false">INDEX('Site-uri'!$C$2:$C$20,MATCH(C286,'Site-uri'!$A$2:$A$20,0))</f>
        <v>/</v>
      </c>
      <c r="F286" s="10" t="str">
        <f aca="false">B286</f>
        <v>b2b-ai-library.org</v>
      </c>
      <c r="G286" s="10" t="str">
        <f aca="false">Config!$B$5</f>
        <v>network</v>
      </c>
      <c r="H286" s="10" t="str">
        <f aca="false">Config!$B$3</f>
        <v>2610_ff_lansare</v>
      </c>
      <c r="I286" s="10" t="str">
        <f aca="false">Config!$B$4</f>
        <v>general</v>
      </c>
      <c r="J286" s="10" t="str">
        <f aca="false">"https://"&amp;D286&amp;E286&amp;"?utm_source="&amp;F286&amp;"&amp;utm_medium="&amp;G286&amp;"&amp;utm_campaign="&amp;H286&amp;"&amp;utm_content="&amp;I286</f>
        <v>https://firmsfinder.eu/?utm_source=b2b-ai-library.org&amp;utm_medium=network&amp;utm_campaign=2610_ff_lansare&amp;utm_content=general</v>
      </c>
    </row>
    <row r="287" customFormat="false" ht="15" hidden="false" customHeight="false" outlineLevel="0" collapsed="false">
      <c r="A287" s="10" t="s">
        <v>90</v>
      </c>
      <c r="B287" s="10" t="str">
        <f aca="false">INDEX('Site-uri'!$B$2:$B$20,MATCH(A287,'Site-uri'!$A$2:$A$20,0))</f>
        <v>b2b-ai-library.org</v>
      </c>
      <c r="C287" s="10" t="s">
        <v>92</v>
      </c>
      <c r="D287" s="10" t="str">
        <f aca="false">INDEX('Site-uri'!$B$2:$B$20,MATCH(C287,'Site-uri'!$A$2:$A$20,0))</f>
        <v>the3webs.com</v>
      </c>
      <c r="E287" s="10" t="str">
        <f aca="false">INDEX('Site-uri'!$C$2:$C$20,MATCH(C287,'Site-uri'!$A$2:$A$20,0))</f>
        <v>/</v>
      </c>
      <c r="F287" s="10" t="str">
        <f aca="false">B287</f>
        <v>b2b-ai-library.org</v>
      </c>
      <c r="G287" s="10" t="str">
        <f aca="false">Config!$B$5</f>
        <v>network</v>
      </c>
      <c r="H287" s="10" t="str">
        <f aca="false">Config!$B$3</f>
        <v>2610_ff_lansare</v>
      </c>
      <c r="I287" s="10" t="str">
        <f aca="false">Config!$B$4</f>
        <v>general</v>
      </c>
      <c r="J287" s="10" t="str">
        <f aca="false">"https://"&amp;D287&amp;E287&amp;"?utm_source="&amp;F287&amp;"&amp;utm_medium="&amp;G287&amp;"&amp;utm_campaign="&amp;H287&amp;"&amp;utm_content="&amp;I287</f>
        <v>https://the3webs.com/?utm_source=b2b-ai-library.org&amp;utm_medium=network&amp;utm_campaign=2610_ff_lansare&amp;utm_content=general</v>
      </c>
    </row>
    <row r="288" customFormat="false" ht="15" hidden="false" customHeight="false" outlineLevel="0" collapsed="false">
      <c r="A288" s="10" t="s">
        <v>90</v>
      </c>
      <c r="B288" s="10" t="str">
        <f aca="false">INDEX('Site-uri'!$B$2:$B$20,MATCH(A288,'Site-uri'!$A$2:$A$20,0))</f>
        <v>b2b-ai-library.org</v>
      </c>
      <c r="C288" s="10" t="s">
        <v>95</v>
      </c>
      <c r="D288" s="10" t="str">
        <f aca="false">INDEX('Site-uri'!$B$2:$B$20,MATCH(C288,'Site-uri'!$A$2:$A$20,0))</f>
        <v>floride-e2.com</v>
      </c>
      <c r="E288" s="10" t="str">
        <f aca="false">INDEX('Site-uri'!$C$2:$C$20,MATCH(C288,'Site-uri'!$A$2:$A$20,0))</f>
        <v>/</v>
      </c>
      <c r="F288" s="10" t="str">
        <f aca="false">B288</f>
        <v>b2b-ai-library.org</v>
      </c>
      <c r="G288" s="10" t="str">
        <f aca="false">Config!$B$5</f>
        <v>network</v>
      </c>
      <c r="H288" s="10" t="str">
        <f aca="false">Config!$B$3</f>
        <v>2610_ff_lansare</v>
      </c>
      <c r="I288" s="10" t="str">
        <f aca="false">Config!$B$4</f>
        <v>general</v>
      </c>
      <c r="J288" s="10" t="str">
        <f aca="false">"https://"&amp;D288&amp;E288&amp;"?utm_source="&amp;F288&amp;"&amp;utm_medium="&amp;G288&amp;"&amp;utm_campaign="&amp;H288&amp;"&amp;utm_content="&amp;I288</f>
        <v>https://floride-e2.com/?utm_source=b2b-ai-library.org&amp;utm_medium=network&amp;utm_campaign=2610_ff_lansare&amp;utm_content=general</v>
      </c>
    </row>
    <row r="289" customFormat="false" ht="15" hidden="false" customHeight="false" outlineLevel="0" collapsed="false">
      <c r="A289" s="10" t="s">
        <v>90</v>
      </c>
      <c r="B289" s="10" t="str">
        <f aca="false">INDEX('Site-uri'!$B$2:$B$20,MATCH(A289,'Site-uri'!$A$2:$A$20,0))</f>
        <v>b2b-ai-library.org</v>
      </c>
      <c r="C289" s="10" t="s">
        <v>97</v>
      </c>
      <c r="D289" s="10" t="str">
        <f aca="false">INDEX('Site-uri'!$B$2:$B$20,MATCH(C289,'Site-uri'!$A$2:$A$20,0))</f>
        <v>ecbtax.com</v>
      </c>
      <c r="E289" s="10" t="str">
        <f aca="false">INDEX('Site-uri'!$C$2:$C$20,MATCH(C289,'Site-uri'!$A$2:$A$20,0))</f>
        <v>/</v>
      </c>
      <c r="F289" s="10" t="str">
        <f aca="false">B289</f>
        <v>b2b-ai-library.org</v>
      </c>
      <c r="G289" s="10" t="str">
        <f aca="false">Config!$B$5</f>
        <v>network</v>
      </c>
      <c r="H289" s="10" t="str">
        <f aca="false">Config!$B$3</f>
        <v>2610_ff_lansare</v>
      </c>
      <c r="I289" s="10" t="str">
        <f aca="false">Config!$B$4</f>
        <v>general</v>
      </c>
      <c r="J289" s="10" t="str">
        <f aca="false">"https://"&amp;D289&amp;E289&amp;"?utm_source="&amp;F289&amp;"&amp;utm_medium="&amp;G289&amp;"&amp;utm_campaign="&amp;H289&amp;"&amp;utm_content="&amp;I289</f>
        <v>https://ecbtax.com/?utm_source=b2b-ai-library.org&amp;utm_medium=network&amp;utm_campaign=2610_ff_lansare&amp;utm_content=general</v>
      </c>
    </row>
    <row r="290" customFormat="false" ht="15" hidden="false" customHeight="false" outlineLevel="0" collapsed="false">
      <c r="A290" s="10" t="s">
        <v>92</v>
      </c>
      <c r="B290" s="10" t="str">
        <f aca="false">INDEX('Site-uri'!$B$2:$B$20,MATCH(A290,'Site-uri'!$A$2:$A$20,0))</f>
        <v>the3webs.com</v>
      </c>
      <c r="C290" s="10" t="s">
        <v>46</v>
      </c>
      <c r="D290" s="10" t="str">
        <f aca="false">INDEX('Site-uri'!$B$2:$B$20,MATCH(C290,'Site-uri'!$A$2:$A$20,0))</f>
        <v>5thelement.ai</v>
      </c>
      <c r="E290" s="10" t="str">
        <f aca="false">INDEX('Site-uri'!$C$2:$C$20,MATCH(C290,'Site-uri'!$A$2:$A$20,0))</f>
        <v>/</v>
      </c>
      <c r="F290" s="10" t="str">
        <f aca="false">B290</f>
        <v>the3webs.com</v>
      </c>
      <c r="G290" s="10" t="str">
        <f aca="false">Config!$B$5</f>
        <v>network</v>
      </c>
      <c r="H290" s="10" t="str">
        <f aca="false">Config!$B$3</f>
        <v>2610_ff_lansare</v>
      </c>
      <c r="I290" s="10" t="str">
        <f aca="false">Config!$B$4</f>
        <v>general</v>
      </c>
      <c r="J290" s="10" t="str">
        <f aca="false">"https://"&amp;D290&amp;E290&amp;"?utm_source="&amp;F290&amp;"&amp;utm_medium="&amp;G290&amp;"&amp;utm_campaign="&amp;H290&amp;"&amp;utm_content="&amp;I290</f>
        <v>https://5thelement.ai/?utm_source=the3webs.com&amp;utm_medium=network&amp;utm_campaign=2610_ff_lansare&amp;utm_content=general</v>
      </c>
    </row>
    <row r="291" customFormat="false" ht="15" hidden="false" customHeight="false" outlineLevel="0" collapsed="false">
      <c r="A291" s="10" t="s">
        <v>92</v>
      </c>
      <c r="B291" s="10" t="str">
        <f aca="false">INDEX('Site-uri'!$B$2:$B$20,MATCH(A291,'Site-uri'!$A$2:$A$20,0))</f>
        <v>the3webs.com</v>
      </c>
      <c r="C291" s="10" t="s">
        <v>50</v>
      </c>
      <c r="D291" s="10" t="str">
        <f aca="false">INDEX('Site-uri'!$B$2:$B$20,MATCH(C291,'Site-uri'!$A$2:$A$20,0))</f>
        <v>aiventure.ro</v>
      </c>
      <c r="E291" s="10" t="str">
        <f aca="false">INDEX('Site-uri'!$C$2:$C$20,MATCH(C291,'Site-uri'!$A$2:$A$20,0))</f>
        <v>/</v>
      </c>
      <c r="F291" s="10" t="str">
        <f aca="false">B291</f>
        <v>the3webs.com</v>
      </c>
      <c r="G291" s="10" t="str">
        <f aca="false">Config!$B$5</f>
        <v>network</v>
      </c>
      <c r="H291" s="10" t="str">
        <f aca="false">Config!$B$3</f>
        <v>2610_ff_lansare</v>
      </c>
      <c r="I291" s="10" t="str">
        <f aca="false">Config!$B$4</f>
        <v>general</v>
      </c>
      <c r="J291" s="10" t="str">
        <f aca="false">"https://"&amp;D291&amp;E291&amp;"?utm_source="&amp;F291&amp;"&amp;utm_medium="&amp;G291&amp;"&amp;utm_campaign="&amp;H291&amp;"&amp;utm_content="&amp;I291</f>
        <v>https://aiventure.ro/?utm_source=the3webs.com&amp;utm_medium=network&amp;utm_campaign=2610_ff_lansare&amp;utm_content=general</v>
      </c>
    </row>
    <row r="292" customFormat="false" ht="15" hidden="false" customHeight="false" outlineLevel="0" collapsed="false">
      <c r="A292" s="10" t="s">
        <v>92</v>
      </c>
      <c r="B292" s="10" t="str">
        <f aca="false">INDEX('Site-uri'!$B$2:$B$20,MATCH(A292,'Site-uri'!$A$2:$A$20,0))</f>
        <v>the3webs.com</v>
      </c>
      <c r="C292" s="10" t="s">
        <v>53</v>
      </c>
      <c r="D292" s="10" t="str">
        <f aca="false">INDEX('Site-uri'!$B$2:$B$20,MATCH(C292,'Site-uri'!$A$2:$A$20,0))</f>
        <v>aiventure.uk</v>
      </c>
      <c r="E292" s="10" t="str">
        <f aca="false">INDEX('Site-uri'!$C$2:$C$20,MATCH(C292,'Site-uri'!$A$2:$A$20,0))</f>
        <v>/</v>
      </c>
      <c r="F292" s="10" t="str">
        <f aca="false">B292</f>
        <v>the3webs.com</v>
      </c>
      <c r="G292" s="10" t="str">
        <f aca="false">Config!$B$5</f>
        <v>network</v>
      </c>
      <c r="H292" s="10" t="str">
        <f aca="false">Config!$B$3</f>
        <v>2610_ff_lansare</v>
      </c>
      <c r="I292" s="10" t="str">
        <f aca="false">Config!$B$4</f>
        <v>general</v>
      </c>
      <c r="J292" s="10" t="str">
        <f aca="false">"https://"&amp;D292&amp;E292&amp;"?utm_source="&amp;F292&amp;"&amp;utm_medium="&amp;G292&amp;"&amp;utm_campaign="&amp;H292&amp;"&amp;utm_content="&amp;I292</f>
        <v>https://aiventure.uk/?utm_source=the3webs.com&amp;utm_medium=network&amp;utm_campaign=2610_ff_lansare&amp;utm_content=general</v>
      </c>
    </row>
    <row r="293" customFormat="false" ht="15" hidden="false" customHeight="false" outlineLevel="0" collapsed="false">
      <c r="A293" s="10" t="s">
        <v>92</v>
      </c>
      <c r="B293" s="10" t="str">
        <f aca="false">INDEX('Site-uri'!$B$2:$B$20,MATCH(A293,'Site-uri'!$A$2:$A$20,0))</f>
        <v>the3webs.com</v>
      </c>
      <c r="C293" s="10" t="s">
        <v>56</v>
      </c>
      <c r="D293" s="10" t="str">
        <f aca="false">INDEX('Site-uri'!$B$2:$B$20,MATCH(C293,'Site-uri'!$A$2:$A$20,0))</f>
        <v>3webobs.com</v>
      </c>
      <c r="E293" s="10" t="str">
        <f aca="false">INDEX('Site-uri'!$C$2:$C$20,MATCH(C293,'Site-uri'!$A$2:$A$20,0))</f>
        <v>/</v>
      </c>
      <c r="F293" s="10" t="str">
        <f aca="false">B293</f>
        <v>the3webs.com</v>
      </c>
      <c r="G293" s="10" t="str">
        <f aca="false">Config!$B$5</f>
        <v>network</v>
      </c>
      <c r="H293" s="10" t="str">
        <f aca="false">Config!$B$3</f>
        <v>2610_ff_lansare</v>
      </c>
      <c r="I293" s="10" t="str">
        <f aca="false">Config!$B$4</f>
        <v>general</v>
      </c>
      <c r="J293" s="10" t="str">
        <f aca="false">"https://"&amp;D293&amp;E293&amp;"?utm_source="&amp;F293&amp;"&amp;utm_medium="&amp;G293&amp;"&amp;utm_campaign="&amp;H293&amp;"&amp;utm_content="&amp;I293</f>
        <v>https://3webobs.com/?utm_source=the3webs.com&amp;utm_medium=network&amp;utm_campaign=2610_ff_lansare&amp;utm_content=general</v>
      </c>
    </row>
    <row r="294" customFormat="false" ht="15" hidden="false" customHeight="false" outlineLevel="0" collapsed="false">
      <c r="A294" s="10" t="s">
        <v>92</v>
      </c>
      <c r="B294" s="10" t="str">
        <f aca="false">INDEX('Site-uri'!$B$2:$B$20,MATCH(A294,'Site-uri'!$A$2:$A$20,0))</f>
        <v>the3webs.com</v>
      </c>
      <c r="C294" s="10" t="s">
        <v>59</v>
      </c>
      <c r="D294" s="10" t="str">
        <f aca="false">INDEX('Site-uri'!$B$2:$B$20,MATCH(C294,'Site-uri'!$A$2:$A$20,0))</f>
        <v>ai-lens.eu</v>
      </c>
      <c r="E294" s="10" t="str">
        <f aca="false">INDEX('Site-uri'!$C$2:$C$20,MATCH(C294,'Site-uri'!$A$2:$A$20,0))</f>
        <v>/</v>
      </c>
      <c r="F294" s="10" t="str">
        <f aca="false">B294</f>
        <v>the3webs.com</v>
      </c>
      <c r="G294" s="10" t="str">
        <f aca="false">Config!$B$5</f>
        <v>network</v>
      </c>
      <c r="H294" s="10" t="str">
        <f aca="false">Config!$B$3</f>
        <v>2610_ff_lansare</v>
      </c>
      <c r="I294" s="10" t="str">
        <f aca="false">Config!$B$4</f>
        <v>general</v>
      </c>
      <c r="J294" s="10" t="str">
        <f aca="false">"https://"&amp;D294&amp;E294&amp;"?utm_source="&amp;F294&amp;"&amp;utm_medium="&amp;G294&amp;"&amp;utm_campaign="&amp;H294&amp;"&amp;utm_content="&amp;I294</f>
        <v>https://ai-lens.eu/?utm_source=the3webs.com&amp;utm_medium=network&amp;utm_campaign=2610_ff_lansare&amp;utm_content=general</v>
      </c>
    </row>
    <row r="295" customFormat="false" ht="15" hidden="false" customHeight="false" outlineLevel="0" collapsed="false">
      <c r="A295" s="10" t="s">
        <v>92</v>
      </c>
      <c r="B295" s="10" t="str">
        <f aca="false">INDEX('Site-uri'!$B$2:$B$20,MATCH(A295,'Site-uri'!$A$2:$A$20,0))</f>
        <v>the3webs.com</v>
      </c>
      <c r="C295" s="10" t="s">
        <v>62</v>
      </c>
      <c r="D295" s="10" t="str">
        <f aca="false">INDEX('Site-uri'!$B$2:$B$20,MATCH(C295,'Site-uri'!$A$2:$A$20,0))</f>
        <v>aireadyinjector.com</v>
      </c>
      <c r="E295" s="10" t="str">
        <f aca="false">INDEX('Site-uri'!$C$2:$C$20,MATCH(C295,'Site-uri'!$A$2:$A$20,0))</f>
        <v>/</v>
      </c>
      <c r="F295" s="10" t="str">
        <f aca="false">B295</f>
        <v>the3webs.com</v>
      </c>
      <c r="G295" s="10" t="str">
        <f aca="false">Config!$B$5</f>
        <v>network</v>
      </c>
      <c r="H295" s="10" t="str">
        <f aca="false">Config!$B$3</f>
        <v>2610_ff_lansare</v>
      </c>
      <c r="I295" s="10" t="str">
        <f aca="false">Config!$B$4</f>
        <v>general</v>
      </c>
      <c r="J295" s="10" t="str">
        <f aca="false">"https://"&amp;D295&amp;E295&amp;"?utm_source="&amp;F295&amp;"&amp;utm_medium="&amp;G295&amp;"&amp;utm_campaign="&amp;H295&amp;"&amp;utm_content="&amp;I295</f>
        <v>https://aireadyinjector.com/?utm_source=the3webs.com&amp;utm_medium=network&amp;utm_campaign=2610_ff_lansare&amp;utm_content=general</v>
      </c>
    </row>
    <row r="296" customFormat="false" ht="15" hidden="false" customHeight="false" outlineLevel="0" collapsed="false">
      <c r="A296" s="10" t="s">
        <v>92</v>
      </c>
      <c r="B296" s="10" t="str">
        <f aca="false">INDEX('Site-uri'!$B$2:$B$20,MATCH(A296,'Site-uri'!$A$2:$A$20,0))</f>
        <v>the3webs.com</v>
      </c>
      <c r="C296" s="10" t="s">
        <v>65</v>
      </c>
      <c r="D296" s="10" t="str">
        <f aca="false">INDEX('Site-uri'!$B$2:$B$20,MATCH(C296,'Site-uri'!$A$2:$A$20,0))</f>
        <v>eu-ai-audit.eu</v>
      </c>
      <c r="E296" s="10" t="str">
        <f aca="false">INDEX('Site-uri'!$C$2:$C$20,MATCH(C296,'Site-uri'!$A$2:$A$20,0))</f>
        <v>/</v>
      </c>
      <c r="F296" s="10" t="str">
        <f aca="false">B296</f>
        <v>the3webs.com</v>
      </c>
      <c r="G296" s="10" t="str">
        <f aca="false">Config!$B$5</f>
        <v>network</v>
      </c>
      <c r="H296" s="10" t="str">
        <f aca="false">Config!$B$3</f>
        <v>2610_ff_lansare</v>
      </c>
      <c r="I296" s="10" t="str">
        <f aca="false">Config!$B$4</f>
        <v>general</v>
      </c>
      <c r="J296" s="10" t="str">
        <f aca="false">"https://"&amp;D296&amp;E296&amp;"?utm_source="&amp;F296&amp;"&amp;utm_medium="&amp;G296&amp;"&amp;utm_campaign="&amp;H296&amp;"&amp;utm_content="&amp;I296</f>
        <v>https://eu-ai-audit.eu/?utm_source=the3webs.com&amp;utm_medium=network&amp;utm_campaign=2610_ff_lansare&amp;utm_content=general</v>
      </c>
    </row>
    <row r="297" customFormat="false" ht="15" hidden="false" customHeight="false" outlineLevel="0" collapsed="false">
      <c r="A297" s="10" t="s">
        <v>92</v>
      </c>
      <c r="B297" s="10" t="str">
        <f aca="false">INDEX('Site-uri'!$B$2:$B$20,MATCH(A297,'Site-uri'!$A$2:$A$20,0))</f>
        <v>the3webs.com</v>
      </c>
      <c r="C297" s="10" t="s">
        <v>68</v>
      </c>
      <c r="D297" s="10" t="str">
        <f aca="false">INDEX('Site-uri'!$B$2:$B$20,MATCH(C297,'Site-uri'!$A$2:$A$20,0))</f>
        <v>eu-ai-ready.eu</v>
      </c>
      <c r="E297" s="10" t="str">
        <f aca="false">INDEX('Site-uri'!$C$2:$C$20,MATCH(C297,'Site-uri'!$A$2:$A$20,0))</f>
        <v>/</v>
      </c>
      <c r="F297" s="10" t="str">
        <f aca="false">B297</f>
        <v>the3webs.com</v>
      </c>
      <c r="G297" s="10" t="str">
        <f aca="false">Config!$B$5</f>
        <v>network</v>
      </c>
      <c r="H297" s="10" t="str">
        <f aca="false">Config!$B$3</f>
        <v>2610_ff_lansare</v>
      </c>
      <c r="I297" s="10" t="str">
        <f aca="false">Config!$B$4</f>
        <v>general</v>
      </c>
      <c r="J297" s="10" t="str">
        <f aca="false">"https://"&amp;D297&amp;E297&amp;"?utm_source="&amp;F297&amp;"&amp;utm_medium="&amp;G297&amp;"&amp;utm_campaign="&amp;H297&amp;"&amp;utm_content="&amp;I297</f>
        <v>https://eu-ai-ready.eu/?utm_source=the3webs.com&amp;utm_medium=network&amp;utm_campaign=2610_ff_lansare&amp;utm_content=general</v>
      </c>
    </row>
    <row r="298" customFormat="false" ht="15" hidden="false" customHeight="false" outlineLevel="0" collapsed="false">
      <c r="A298" s="10" t="s">
        <v>92</v>
      </c>
      <c r="B298" s="10" t="str">
        <f aca="false">INDEX('Site-uri'!$B$2:$B$20,MATCH(A298,'Site-uri'!$A$2:$A$20,0))</f>
        <v>the3webs.com</v>
      </c>
      <c r="C298" s="10" t="s">
        <v>70</v>
      </c>
      <c r="D298" s="10" t="str">
        <f aca="false">INDEX('Site-uri'!$B$2:$B$20,MATCH(C298,'Site-uri'!$A$2:$A$20,0))</f>
        <v>eu-ai-act.ro</v>
      </c>
      <c r="E298" s="10" t="str">
        <f aca="false">INDEX('Site-uri'!$C$2:$C$20,MATCH(C298,'Site-uri'!$A$2:$A$20,0))</f>
        <v>/</v>
      </c>
      <c r="F298" s="10" t="str">
        <f aca="false">B298</f>
        <v>the3webs.com</v>
      </c>
      <c r="G298" s="10" t="str">
        <f aca="false">Config!$B$5</f>
        <v>network</v>
      </c>
      <c r="H298" s="10" t="str">
        <f aca="false">Config!$B$3</f>
        <v>2610_ff_lansare</v>
      </c>
      <c r="I298" s="10" t="str">
        <f aca="false">Config!$B$4</f>
        <v>general</v>
      </c>
      <c r="J298" s="10" t="str">
        <f aca="false">"https://"&amp;D298&amp;E298&amp;"?utm_source="&amp;F298&amp;"&amp;utm_medium="&amp;G298&amp;"&amp;utm_campaign="&amp;H298&amp;"&amp;utm_content="&amp;I298</f>
        <v>https://eu-ai-act.ro/?utm_source=the3webs.com&amp;utm_medium=network&amp;utm_campaign=2610_ff_lansare&amp;utm_content=general</v>
      </c>
    </row>
    <row r="299" customFormat="false" ht="15" hidden="false" customHeight="false" outlineLevel="0" collapsed="false">
      <c r="A299" s="10" t="s">
        <v>92</v>
      </c>
      <c r="B299" s="10" t="str">
        <f aca="false">INDEX('Site-uri'!$B$2:$B$20,MATCH(A299,'Site-uri'!$A$2:$A$20,0))</f>
        <v>the3webs.com</v>
      </c>
      <c r="C299" s="10" t="s">
        <v>73</v>
      </c>
      <c r="D299" s="10" t="str">
        <f aca="false">INDEX('Site-uri'!$B$2:$B$20,MATCH(C299,'Site-uri'!$A$2:$A$20,0))</f>
        <v>eu-ai-act-ready.eu</v>
      </c>
      <c r="E299" s="10" t="str">
        <f aca="false">INDEX('Site-uri'!$C$2:$C$20,MATCH(C299,'Site-uri'!$A$2:$A$20,0))</f>
        <v>/</v>
      </c>
      <c r="F299" s="10" t="str">
        <f aca="false">B299</f>
        <v>the3webs.com</v>
      </c>
      <c r="G299" s="10" t="str">
        <f aca="false">Config!$B$5</f>
        <v>network</v>
      </c>
      <c r="H299" s="10" t="str">
        <f aca="false">Config!$B$3</f>
        <v>2610_ff_lansare</v>
      </c>
      <c r="I299" s="10" t="str">
        <f aca="false">Config!$B$4</f>
        <v>general</v>
      </c>
      <c r="J299" s="10" t="str">
        <f aca="false">"https://"&amp;D299&amp;E299&amp;"?utm_source="&amp;F299&amp;"&amp;utm_medium="&amp;G299&amp;"&amp;utm_campaign="&amp;H299&amp;"&amp;utm_content="&amp;I299</f>
        <v>https://eu-ai-act-ready.eu/?utm_source=the3webs.com&amp;utm_medium=network&amp;utm_campaign=2610_ff_lansare&amp;utm_content=general</v>
      </c>
    </row>
    <row r="300" customFormat="false" ht="15" hidden="false" customHeight="false" outlineLevel="0" collapsed="false">
      <c r="A300" s="10" t="s">
        <v>92</v>
      </c>
      <c r="B300" s="10" t="str">
        <f aca="false">INDEX('Site-uri'!$B$2:$B$20,MATCH(A300,'Site-uri'!$A$2:$A$20,0))</f>
        <v>the3webs.com</v>
      </c>
      <c r="C300" s="10" t="s">
        <v>76</v>
      </c>
      <c r="D300" s="10" t="str">
        <f aca="false">INDEX('Site-uri'!$B$2:$B$20,MATCH(C300,'Site-uri'!$A$2:$A$20,0))</f>
        <v>eu-112.ro</v>
      </c>
      <c r="E300" s="10" t="str">
        <f aca="false">INDEX('Site-uri'!$C$2:$C$20,MATCH(C300,'Site-uri'!$A$2:$A$20,0))</f>
        <v>/</v>
      </c>
      <c r="F300" s="10" t="str">
        <f aca="false">B300</f>
        <v>the3webs.com</v>
      </c>
      <c r="G300" s="10" t="str">
        <f aca="false">Config!$B$5</f>
        <v>network</v>
      </c>
      <c r="H300" s="10" t="str">
        <f aca="false">Config!$B$3</f>
        <v>2610_ff_lansare</v>
      </c>
      <c r="I300" s="10" t="str">
        <f aca="false">Config!$B$4</f>
        <v>general</v>
      </c>
      <c r="J300" s="10" t="str">
        <f aca="false">"https://"&amp;D300&amp;E300&amp;"?utm_source="&amp;F300&amp;"&amp;utm_medium="&amp;G300&amp;"&amp;utm_campaign="&amp;H300&amp;"&amp;utm_content="&amp;I300</f>
        <v>https://eu-112.ro/?utm_source=the3webs.com&amp;utm_medium=network&amp;utm_campaign=2610_ff_lansare&amp;utm_content=general</v>
      </c>
    </row>
    <row r="301" customFormat="false" ht="15" hidden="false" customHeight="false" outlineLevel="0" collapsed="false">
      <c r="A301" s="10" t="s">
        <v>92</v>
      </c>
      <c r="B301" s="10" t="str">
        <f aca="false">INDEX('Site-uri'!$B$2:$B$20,MATCH(A301,'Site-uri'!$A$2:$A$20,0))</f>
        <v>the3webs.com</v>
      </c>
      <c r="C301" s="10" t="s">
        <v>79</v>
      </c>
      <c r="D301" s="10" t="str">
        <f aca="false">INDEX('Site-uri'!$B$2:$B$20,MATCH(C301,'Site-uri'!$A$2:$A$20,0))</f>
        <v>eu-112.eu</v>
      </c>
      <c r="E301" s="10" t="str">
        <f aca="false">INDEX('Site-uri'!$C$2:$C$20,MATCH(C301,'Site-uri'!$A$2:$A$20,0))</f>
        <v>/</v>
      </c>
      <c r="F301" s="10" t="str">
        <f aca="false">B301</f>
        <v>the3webs.com</v>
      </c>
      <c r="G301" s="10" t="str">
        <f aca="false">Config!$B$5</f>
        <v>network</v>
      </c>
      <c r="H301" s="10" t="str">
        <f aca="false">Config!$B$3</f>
        <v>2610_ff_lansare</v>
      </c>
      <c r="I301" s="10" t="str">
        <f aca="false">Config!$B$4</f>
        <v>general</v>
      </c>
      <c r="J301" s="10" t="str">
        <f aca="false">"https://"&amp;D301&amp;E301&amp;"?utm_source="&amp;F301&amp;"&amp;utm_medium="&amp;G301&amp;"&amp;utm_campaign="&amp;H301&amp;"&amp;utm_content="&amp;I301</f>
        <v>https://eu-112.eu/?utm_source=the3webs.com&amp;utm_medium=network&amp;utm_campaign=2610_ff_lansare&amp;utm_content=general</v>
      </c>
    </row>
    <row r="302" customFormat="false" ht="15" hidden="false" customHeight="false" outlineLevel="0" collapsed="false">
      <c r="A302" s="10" t="s">
        <v>92</v>
      </c>
      <c r="B302" s="10" t="str">
        <f aca="false">INDEX('Site-uri'!$B$2:$B$20,MATCH(A302,'Site-uri'!$A$2:$A$20,0))</f>
        <v>the3webs.com</v>
      </c>
      <c r="C302" s="10" t="s">
        <v>82</v>
      </c>
      <c r="D302" s="10" t="str">
        <f aca="false">INDEX('Site-uri'!$B$2:$B$20,MATCH(C302,'Site-uri'!$A$2:$A$20,0))</f>
        <v>1clic-ia.eu</v>
      </c>
      <c r="E302" s="10" t="str">
        <f aca="false">INDEX('Site-uri'!$C$2:$C$20,MATCH(C302,'Site-uri'!$A$2:$A$20,0))</f>
        <v>/</v>
      </c>
      <c r="F302" s="10" t="str">
        <f aca="false">B302</f>
        <v>the3webs.com</v>
      </c>
      <c r="G302" s="10" t="str">
        <f aca="false">Config!$B$5</f>
        <v>network</v>
      </c>
      <c r="H302" s="10" t="str">
        <f aca="false">Config!$B$3</f>
        <v>2610_ff_lansare</v>
      </c>
      <c r="I302" s="10" t="str">
        <f aca="false">Config!$B$4</f>
        <v>general</v>
      </c>
      <c r="J302" s="10" t="str">
        <f aca="false">"https://"&amp;D302&amp;E302&amp;"?utm_source="&amp;F302&amp;"&amp;utm_medium="&amp;G302&amp;"&amp;utm_campaign="&amp;H302&amp;"&amp;utm_content="&amp;I302</f>
        <v>https://1clic-ia.eu/?utm_source=the3webs.com&amp;utm_medium=network&amp;utm_campaign=2610_ff_lansare&amp;utm_content=general</v>
      </c>
    </row>
    <row r="303" customFormat="false" ht="15" hidden="false" customHeight="false" outlineLevel="0" collapsed="false">
      <c r="A303" s="10" t="s">
        <v>92</v>
      </c>
      <c r="B303" s="10" t="str">
        <f aca="false">INDEX('Site-uri'!$B$2:$B$20,MATCH(A303,'Site-uri'!$A$2:$A$20,0))</f>
        <v>the3webs.com</v>
      </c>
      <c r="C303" s="10" t="s">
        <v>85</v>
      </c>
      <c r="D303" s="10" t="str">
        <f aca="false">INDEX('Site-uri'!$B$2:$B$20,MATCH(C303,'Site-uri'!$A$2:$A$20,0))</f>
        <v>1clic-ia.fr</v>
      </c>
      <c r="E303" s="10" t="str">
        <f aca="false">INDEX('Site-uri'!$C$2:$C$20,MATCH(C303,'Site-uri'!$A$2:$A$20,0))</f>
        <v>/</v>
      </c>
      <c r="F303" s="10" t="str">
        <f aca="false">B303</f>
        <v>the3webs.com</v>
      </c>
      <c r="G303" s="10" t="str">
        <f aca="false">Config!$B$5</f>
        <v>network</v>
      </c>
      <c r="H303" s="10" t="str">
        <f aca="false">Config!$B$3</f>
        <v>2610_ff_lansare</v>
      </c>
      <c r="I303" s="10" t="str">
        <f aca="false">Config!$B$4</f>
        <v>general</v>
      </c>
      <c r="J303" s="10" t="str">
        <f aca="false">"https://"&amp;D303&amp;E303&amp;"?utm_source="&amp;F303&amp;"&amp;utm_medium="&amp;G303&amp;"&amp;utm_campaign="&amp;H303&amp;"&amp;utm_content="&amp;I303</f>
        <v>https://1clic-ia.fr/?utm_source=the3webs.com&amp;utm_medium=network&amp;utm_campaign=2610_ff_lansare&amp;utm_content=general</v>
      </c>
    </row>
    <row r="304" customFormat="false" ht="15" hidden="false" customHeight="false" outlineLevel="0" collapsed="false">
      <c r="A304" s="10" t="s">
        <v>92</v>
      </c>
      <c r="B304" s="10" t="str">
        <f aca="false">INDEX('Site-uri'!$B$2:$B$20,MATCH(A304,'Site-uri'!$A$2:$A$20,0))</f>
        <v>the3webs.com</v>
      </c>
      <c r="C304" s="10" t="s">
        <v>87</v>
      </c>
      <c r="D304" s="10" t="str">
        <f aca="false">INDEX('Site-uri'!$B$2:$B$20,MATCH(C304,'Site-uri'!$A$2:$A$20,0))</f>
        <v>firmsfinder.eu</v>
      </c>
      <c r="E304" s="10" t="str">
        <f aca="false">INDEX('Site-uri'!$C$2:$C$20,MATCH(C304,'Site-uri'!$A$2:$A$20,0))</f>
        <v>/</v>
      </c>
      <c r="F304" s="10" t="str">
        <f aca="false">B304</f>
        <v>the3webs.com</v>
      </c>
      <c r="G304" s="10" t="str">
        <f aca="false">Config!$B$5</f>
        <v>network</v>
      </c>
      <c r="H304" s="10" t="str">
        <f aca="false">Config!$B$3</f>
        <v>2610_ff_lansare</v>
      </c>
      <c r="I304" s="10" t="str">
        <f aca="false">Config!$B$4</f>
        <v>general</v>
      </c>
      <c r="J304" s="10" t="str">
        <f aca="false">"https://"&amp;D304&amp;E304&amp;"?utm_source="&amp;F304&amp;"&amp;utm_medium="&amp;G304&amp;"&amp;utm_campaign="&amp;H304&amp;"&amp;utm_content="&amp;I304</f>
        <v>https://firmsfinder.eu/?utm_source=the3webs.com&amp;utm_medium=network&amp;utm_campaign=2610_ff_lansare&amp;utm_content=general</v>
      </c>
    </row>
    <row r="305" customFormat="false" ht="15" hidden="false" customHeight="false" outlineLevel="0" collapsed="false">
      <c r="A305" s="10" t="s">
        <v>92</v>
      </c>
      <c r="B305" s="10" t="str">
        <f aca="false">INDEX('Site-uri'!$B$2:$B$20,MATCH(A305,'Site-uri'!$A$2:$A$20,0))</f>
        <v>the3webs.com</v>
      </c>
      <c r="C305" s="10" t="s">
        <v>90</v>
      </c>
      <c r="D305" s="10" t="str">
        <f aca="false">INDEX('Site-uri'!$B$2:$B$20,MATCH(C305,'Site-uri'!$A$2:$A$20,0))</f>
        <v>b2b-ai-library.org</v>
      </c>
      <c r="E305" s="10" t="str">
        <f aca="false">INDEX('Site-uri'!$C$2:$C$20,MATCH(C305,'Site-uri'!$A$2:$A$20,0))</f>
        <v>/</v>
      </c>
      <c r="F305" s="10" t="str">
        <f aca="false">B305</f>
        <v>the3webs.com</v>
      </c>
      <c r="G305" s="10" t="str">
        <f aca="false">Config!$B$5</f>
        <v>network</v>
      </c>
      <c r="H305" s="10" t="str">
        <f aca="false">Config!$B$3</f>
        <v>2610_ff_lansare</v>
      </c>
      <c r="I305" s="10" t="str">
        <f aca="false">Config!$B$4</f>
        <v>general</v>
      </c>
      <c r="J305" s="10" t="str">
        <f aca="false">"https://"&amp;D305&amp;E305&amp;"?utm_source="&amp;F305&amp;"&amp;utm_medium="&amp;G305&amp;"&amp;utm_campaign="&amp;H305&amp;"&amp;utm_content="&amp;I305</f>
        <v>https://b2b-ai-library.org/?utm_source=the3webs.com&amp;utm_medium=network&amp;utm_campaign=2610_ff_lansare&amp;utm_content=general</v>
      </c>
    </row>
    <row r="306" customFormat="false" ht="15" hidden="false" customHeight="false" outlineLevel="0" collapsed="false">
      <c r="A306" s="10" t="s">
        <v>92</v>
      </c>
      <c r="B306" s="10" t="str">
        <f aca="false">INDEX('Site-uri'!$B$2:$B$20,MATCH(A306,'Site-uri'!$A$2:$A$20,0))</f>
        <v>the3webs.com</v>
      </c>
      <c r="C306" s="10" t="s">
        <v>95</v>
      </c>
      <c r="D306" s="10" t="str">
        <f aca="false">INDEX('Site-uri'!$B$2:$B$20,MATCH(C306,'Site-uri'!$A$2:$A$20,0))</f>
        <v>floride-e2.com</v>
      </c>
      <c r="E306" s="10" t="str">
        <f aca="false">INDEX('Site-uri'!$C$2:$C$20,MATCH(C306,'Site-uri'!$A$2:$A$20,0))</f>
        <v>/</v>
      </c>
      <c r="F306" s="10" t="str">
        <f aca="false">B306</f>
        <v>the3webs.com</v>
      </c>
      <c r="G306" s="10" t="str">
        <f aca="false">Config!$B$5</f>
        <v>network</v>
      </c>
      <c r="H306" s="10" t="str">
        <f aca="false">Config!$B$3</f>
        <v>2610_ff_lansare</v>
      </c>
      <c r="I306" s="10" t="str">
        <f aca="false">Config!$B$4</f>
        <v>general</v>
      </c>
      <c r="J306" s="10" t="str">
        <f aca="false">"https://"&amp;D306&amp;E306&amp;"?utm_source="&amp;F306&amp;"&amp;utm_medium="&amp;G306&amp;"&amp;utm_campaign="&amp;H306&amp;"&amp;utm_content="&amp;I306</f>
        <v>https://floride-e2.com/?utm_source=the3webs.com&amp;utm_medium=network&amp;utm_campaign=2610_ff_lansare&amp;utm_content=general</v>
      </c>
    </row>
    <row r="307" customFormat="false" ht="15" hidden="false" customHeight="false" outlineLevel="0" collapsed="false">
      <c r="A307" s="10" t="s">
        <v>92</v>
      </c>
      <c r="B307" s="10" t="str">
        <f aca="false">INDEX('Site-uri'!$B$2:$B$20,MATCH(A307,'Site-uri'!$A$2:$A$20,0))</f>
        <v>the3webs.com</v>
      </c>
      <c r="C307" s="10" t="s">
        <v>97</v>
      </c>
      <c r="D307" s="10" t="str">
        <f aca="false">INDEX('Site-uri'!$B$2:$B$20,MATCH(C307,'Site-uri'!$A$2:$A$20,0))</f>
        <v>ecbtax.com</v>
      </c>
      <c r="E307" s="10" t="str">
        <f aca="false">INDEX('Site-uri'!$C$2:$C$20,MATCH(C307,'Site-uri'!$A$2:$A$20,0))</f>
        <v>/</v>
      </c>
      <c r="F307" s="10" t="str">
        <f aca="false">B307</f>
        <v>the3webs.com</v>
      </c>
      <c r="G307" s="10" t="str">
        <f aca="false">Config!$B$5</f>
        <v>network</v>
      </c>
      <c r="H307" s="10" t="str">
        <f aca="false">Config!$B$3</f>
        <v>2610_ff_lansare</v>
      </c>
      <c r="I307" s="10" t="str">
        <f aca="false">Config!$B$4</f>
        <v>general</v>
      </c>
      <c r="J307" s="10" t="str">
        <f aca="false">"https://"&amp;D307&amp;E307&amp;"?utm_source="&amp;F307&amp;"&amp;utm_medium="&amp;G307&amp;"&amp;utm_campaign="&amp;H307&amp;"&amp;utm_content="&amp;I307</f>
        <v>https://ecbtax.com/?utm_source=the3webs.com&amp;utm_medium=network&amp;utm_campaign=2610_ff_lansare&amp;utm_content=general</v>
      </c>
    </row>
    <row r="308" customFormat="false" ht="15" hidden="false" customHeight="false" outlineLevel="0" collapsed="false">
      <c r="A308" s="10" t="s">
        <v>95</v>
      </c>
      <c r="B308" s="10" t="str">
        <f aca="false">INDEX('Site-uri'!$B$2:$B$20,MATCH(A308,'Site-uri'!$A$2:$A$20,0))</f>
        <v>floride-e2.com</v>
      </c>
      <c r="C308" s="10" t="s">
        <v>46</v>
      </c>
      <c r="D308" s="10" t="str">
        <f aca="false">INDEX('Site-uri'!$B$2:$B$20,MATCH(C308,'Site-uri'!$A$2:$A$20,0))</f>
        <v>5thelement.ai</v>
      </c>
      <c r="E308" s="10" t="str">
        <f aca="false">INDEX('Site-uri'!$C$2:$C$20,MATCH(C308,'Site-uri'!$A$2:$A$20,0))</f>
        <v>/</v>
      </c>
      <c r="F308" s="10" t="str">
        <f aca="false">B308</f>
        <v>floride-e2.com</v>
      </c>
      <c r="G308" s="10" t="str">
        <f aca="false">Config!$B$5</f>
        <v>network</v>
      </c>
      <c r="H308" s="10" t="str">
        <f aca="false">Config!$B$3</f>
        <v>2610_ff_lansare</v>
      </c>
      <c r="I308" s="10" t="str">
        <f aca="false">Config!$B$4</f>
        <v>general</v>
      </c>
      <c r="J308" s="10" t="str">
        <f aca="false">"https://"&amp;D308&amp;E308&amp;"?utm_source="&amp;F308&amp;"&amp;utm_medium="&amp;G308&amp;"&amp;utm_campaign="&amp;H308&amp;"&amp;utm_content="&amp;I308</f>
        <v>https://5thelement.ai/?utm_source=floride-e2.com&amp;utm_medium=network&amp;utm_campaign=2610_ff_lansare&amp;utm_content=general</v>
      </c>
    </row>
    <row r="309" customFormat="false" ht="15" hidden="false" customHeight="false" outlineLevel="0" collapsed="false">
      <c r="A309" s="10" t="s">
        <v>95</v>
      </c>
      <c r="B309" s="10" t="str">
        <f aca="false">INDEX('Site-uri'!$B$2:$B$20,MATCH(A309,'Site-uri'!$A$2:$A$20,0))</f>
        <v>floride-e2.com</v>
      </c>
      <c r="C309" s="10" t="s">
        <v>50</v>
      </c>
      <c r="D309" s="10" t="str">
        <f aca="false">INDEX('Site-uri'!$B$2:$B$20,MATCH(C309,'Site-uri'!$A$2:$A$20,0))</f>
        <v>aiventure.ro</v>
      </c>
      <c r="E309" s="10" t="str">
        <f aca="false">INDEX('Site-uri'!$C$2:$C$20,MATCH(C309,'Site-uri'!$A$2:$A$20,0))</f>
        <v>/</v>
      </c>
      <c r="F309" s="10" t="str">
        <f aca="false">B309</f>
        <v>floride-e2.com</v>
      </c>
      <c r="G309" s="10" t="str">
        <f aca="false">Config!$B$5</f>
        <v>network</v>
      </c>
      <c r="H309" s="10" t="str">
        <f aca="false">Config!$B$3</f>
        <v>2610_ff_lansare</v>
      </c>
      <c r="I309" s="10" t="str">
        <f aca="false">Config!$B$4</f>
        <v>general</v>
      </c>
      <c r="J309" s="10" t="str">
        <f aca="false">"https://"&amp;D309&amp;E309&amp;"?utm_source="&amp;F309&amp;"&amp;utm_medium="&amp;G309&amp;"&amp;utm_campaign="&amp;H309&amp;"&amp;utm_content="&amp;I309</f>
        <v>https://aiventure.ro/?utm_source=floride-e2.com&amp;utm_medium=network&amp;utm_campaign=2610_ff_lansare&amp;utm_content=general</v>
      </c>
    </row>
    <row r="310" customFormat="false" ht="15" hidden="false" customHeight="false" outlineLevel="0" collapsed="false">
      <c r="A310" s="10" t="s">
        <v>95</v>
      </c>
      <c r="B310" s="10" t="str">
        <f aca="false">INDEX('Site-uri'!$B$2:$B$20,MATCH(A310,'Site-uri'!$A$2:$A$20,0))</f>
        <v>floride-e2.com</v>
      </c>
      <c r="C310" s="10" t="s">
        <v>53</v>
      </c>
      <c r="D310" s="10" t="str">
        <f aca="false">INDEX('Site-uri'!$B$2:$B$20,MATCH(C310,'Site-uri'!$A$2:$A$20,0))</f>
        <v>aiventure.uk</v>
      </c>
      <c r="E310" s="10" t="str">
        <f aca="false">INDEX('Site-uri'!$C$2:$C$20,MATCH(C310,'Site-uri'!$A$2:$A$20,0))</f>
        <v>/</v>
      </c>
      <c r="F310" s="10" t="str">
        <f aca="false">B310</f>
        <v>floride-e2.com</v>
      </c>
      <c r="G310" s="10" t="str">
        <f aca="false">Config!$B$5</f>
        <v>network</v>
      </c>
      <c r="H310" s="10" t="str">
        <f aca="false">Config!$B$3</f>
        <v>2610_ff_lansare</v>
      </c>
      <c r="I310" s="10" t="str">
        <f aca="false">Config!$B$4</f>
        <v>general</v>
      </c>
      <c r="J310" s="10" t="str">
        <f aca="false">"https://"&amp;D310&amp;E310&amp;"?utm_source="&amp;F310&amp;"&amp;utm_medium="&amp;G310&amp;"&amp;utm_campaign="&amp;H310&amp;"&amp;utm_content="&amp;I310</f>
        <v>https://aiventure.uk/?utm_source=floride-e2.com&amp;utm_medium=network&amp;utm_campaign=2610_ff_lansare&amp;utm_content=general</v>
      </c>
    </row>
    <row r="311" customFormat="false" ht="15" hidden="false" customHeight="false" outlineLevel="0" collapsed="false">
      <c r="A311" s="10" t="s">
        <v>95</v>
      </c>
      <c r="B311" s="10" t="str">
        <f aca="false">INDEX('Site-uri'!$B$2:$B$20,MATCH(A311,'Site-uri'!$A$2:$A$20,0))</f>
        <v>floride-e2.com</v>
      </c>
      <c r="C311" s="10" t="s">
        <v>56</v>
      </c>
      <c r="D311" s="10" t="str">
        <f aca="false">INDEX('Site-uri'!$B$2:$B$20,MATCH(C311,'Site-uri'!$A$2:$A$20,0))</f>
        <v>3webobs.com</v>
      </c>
      <c r="E311" s="10" t="str">
        <f aca="false">INDEX('Site-uri'!$C$2:$C$20,MATCH(C311,'Site-uri'!$A$2:$A$20,0))</f>
        <v>/</v>
      </c>
      <c r="F311" s="10" t="str">
        <f aca="false">B311</f>
        <v>floride-e2.com</v>
      </c>
      <c r="G311" s="10" t="str">
        <f aca="false">Config!$B$5</f>
        <v>network</v>
      </c>
      <c r="H311" s="10" t="str">
        <f aca="false">Config!$B$3</f>
        <v>2610_ff_lansare</v>
      </c>
      <c r="I311" s="10" t="str">
        <f aca="false">Config!$B$4</f>
        <v>general</v>
      </c>
      <c r="J311" s="10" t="str">
        <f aca="false">"https://"&amp;D311&amp;E311&amp;"?utm_source="&amp;F311&amp;"&amp;utm_medium="&amp;G311&amp;"&amp;utm_campaign="&amp;H311&amp;"&amp;utm_content="&amp;I311</f>
        <v>https://3webobs.com/?utm_source=floride-e2.com&amp;utm_medium=network&amp;utm_campaign=2610_ff_lansare&amp;utm_content=general</v>
      </c>
    </row>
    <row r="312" customFormat="false" ht="15" hidden="false" customHeight="false" outlineLevel="0" collapsed="false">
      <c r="A312" s="10" t="s">
        <v>95</v>
      </c>
      <c r="B312" s="10" t="str">
        <f aca="false">INDEX('Site-uri'!$B$2:$B$20,MATCH(A312,'Site-uri'!$A$2:$A$20,0))</f>
        <v>floride-e2.com</v>
      </c>
      <c r="C312" s="10" t="s">
        <v>59</v>
      </c>
      <c r="D312" s="10" t="str">
        <f aca="false">INDEX('Site-uri'!$B$2:$B$20,MATCH(C312,'Site-uri'!$A$2:$A$20,0))</f>
        <v>ai-lens.eu</v>
      </c>
      <c r="E312" s="10" t="str">
        <f aca="false">INDEX('Site-uri'!$C$2:$C$20,MATCH(C312,'Site-uri'!$A$2:$A$20,0))</f>
        <v>/</v>
      </c>
      <c r="F312" s="10" t="str">
        <f aca="false">B312</f>
        <v>floride-e2.com</v>
      </c>
      <c r="G312" s="10" t="str">
        <f aca="false">Config!$B$5</f>
        <v>network</v>
      </c>
      <c r="H312" s="10" t="str">
        <f aca="false">Config!$B$3</f>
        <v>2610_ff_lansare</v>
      </c>
      <c r="I312" s="10" t="str">
        <f aca="false">Config!$B$4</f>
        <v>general</v>
      </c>
      <c r="J312" s="10" t="str">
        <f aca="false">"https://"&amp;D312&amp;E312&amp;"?utm_source="&amp;F312&amp;"&amp;utm_medium="&amp;G312&amp;"&amp;utm_campaign="&amp;H312&amp;"&amp;utm_content="&amp;I312</f>
        <v>https://ai-lens.eu/?utm_source=floride-e2.com&amp;utm_medium=network&amp;utm_campaign=2610_ff_lansare&amp;utm_content=general</v>
      </c>
    </row>
    <row r="313" customFormat="false" ht="15" hidden="false" customHeight="false" outlineLevel="0" collapsed="false">
      <c r="A313" s="10" t="s">
        <v>95</v>
      </c>
      <c r="B313" s="10" t="str">
        <f aca="false">INDEX('Site-uri'!$B$2:$B$20,MATCH(A313,'Site-uri'!$A$2:$A$20,0))</f>
        <v>floride-e2.com</v>
      </c>
      <c r="C313" s="10" t="s">
        <v>62</v>
      </c>
      <c r="D313" s="10" t="str">
        <f aca="false">INDEX('Site-uri'!$B$2:$B$20,MATCH(C313,'Site-uri'!$A$2:$A$20,0))</f>
        <v>aireadyinjector.com</v>
      </c>
      <c r="E313" s="10" t="str">
        <f aca="false">INDEX('Site-uri'!$C$2:$C$20,MATCH(C313,'Site-uri'!$A$2:$A$20,0))</f>
        <v>/</v>
      </c>
      <c r="F313" s="10" t="str">
        <f aca="false">B313</f>
        <v>floride-e2.com</v>
      </c>
      <c r="G313" s="10" t="str">
        <f aca="false">Config!$B$5</f>
        <v>network</v>
      </c>
      <c r="H313" s="10" t="str">
        <f aca="false">Config!$B$3</f>
        <v>2610_ff_lansare</v>
      </c>
      <c r="I313" s="10" t="str">
        <f aca="false">Config!$B$4</f>
        <v>general</v>
      </c>
      <c r="J313" s="10" t="str">
        <f aca="false">"https://"&amp;D313&amp;E313&amp;"?utm_source="&amp;F313&amp;"&amp;utm_medium="&amp;G313&amp;"&amp;utm_campaign="&amp;H313&amp;"&amp;utm_content="&amp;I313</f>
        <v>https://aireadyinjector.com/?utm_source=floride-e2.com&amp;utm_medium=network&amp;utm_campaign=2610_ff_lansare&amp;utm_content=general</v>
      </c>
    </row>
    <row r="314" customFormat="false" ht="15" hidden="false" customHeight="false" outlineLevel="0" collapsed="false">
      <c r="A314" s="10" t="s">
        <v>95</v>
      </c>
      <c r="B314" s="10" t="str">
        <f aca="false">INDEX('Site-uri'!$B$2:$B$20,MATCH(A314,'Site-uri'!$A$2:$A$20,0))</f>
        <v>floride-e2.com</v>
      </c>
      <c r="C314" s="10" t="s">
        <v>65</v>
      </c>
      <c r="D314" s="10" t="str">
        <f aca="false">INDEX('Site-uri'!$B$2:$B$20,MATCH(C314,'Site-uri'!$A$2:$A$20,0))</f>
        <v>eu-ai-audit.eu</v>
      </c>
      <c r="E314" s="10" t="str">
        <f aca="false">INDEX('Site-uri'!$C$2:$C$20,MATCH(C314,'Site-uri'!$A$2:$A$20,0))</f>
        <v>/</v>
      </c>
      <c r="F314" s="10" t="str">
        <f aca="false">B314</f>
        <v>floride-e2.com</v>
      </c>
      <c r="G314" s="10" t="str">
        <f aca="false">Config!$B$5</f>
        <v>network</v>
      </c>
      <c r="H314" s="10" t="str">
        <f aca="false">Config!$B$3</f>
        <v>2610_ff_lansare</v>
      </c>
      <c r="I314" s="10" t="str">
        <f aca="false">Config!$B$4</f>
        <v>general</v>
      </c>
      <c r="J314" s="10" t="str">
        <f aca="false">"https://"&amp;D314&amp;E314&amp;"?utm_source="&amp;F314&amp;"&amp;utm_medium="&amp;G314&amp;"&amp;utm_campaign="&amp;H314&amp;"&amp;utm_content="&amp;I314</f>
        <v>https://eu-ai-audit.eu/?utm_source=floride-e2.com&amp;utm_medium=network&amp;utm_campaign=2610_ff_lansare&amp;utm_content=general</v>
      </c>
    </row>
    <row r="315" customFormat="false" ht="15" hidden="false" customHeight="false" outlineLevel="0" collapsed="false">
      <c r="A315" s="10" t="s">
        <v>95</v>
      </c>
      <c r="B315" s="10" t="str">
        <f aca="false">INDEX('Site-uri'!$B$2:$B$20,MATCH(A315,'Site-uri'!$A$2:$A$20,0))</f>
        <v>floride-e2.com</v>
      </c>
      <c r="C315" s="10" t="s">
        <v>68</v>
      </c>
      <c r="D315" s="10" t="str">
        <f aca="false">INDEX('Site-uri'!$B$2:$B$20,MATCH(C315,'Site-uri'!$A$2:$A$20,0))</f>
        <v>eu-ai-ready.eu</v>
      </c>
      <c r="E315" s="10" t="str">
        <f aca="false">INDEX('Site-uri'!$C$2:$C$20,MATCH(C315,'Site-uri'!$A$2:$A$20,0))</f>
        <v>/</v>
      </c>
      <c r="F315" s="10" t="str">
        <f aca="false">B315</f>
        <v>floride-e2.com</v>
      </c>
      <c r="G315" s="10" t="str">
        <f aca="false">Config!$B$5</f>
        <v>network</v>
      </c>
      <c r="H315" s="10" t="str">
        <f aca="false">Config!$B$3</f>
        <v>2610_ff_lansare</v>
      </c>
      <c r="I315" s="10" t="str">
        <f aca="false">Config!$B$4</f>
        <v>general</v>
      </c>
      <c r="J315" s="10" t="str">
        <f aca="false">"https://"&amp;D315&amp;E315&amp;"?utm_source="&amp;F315&amp;"&amp;utm_medium="&amp;G315&amp;"&amp;utm_campaign="&amp;H315&amp;"&amp;utm_content="&amp;I315</f>
        <v>https://eu-ai-ready.eu/?utm_source=floride-e2.com&amp;utm_medium=network&amp;utm_campaign=2610_ff_lansare&amp;utm_content=general</v>
      </c>
    </row>
    <row r="316" customFormat="false" ht="15" hidden="false" customHeight="false" outlineLevel="0" collapsed="false">
      <c r="A316" s="10" t="s">
        <v>95</v>
      </c>
      <c r="B316" s="10" t="str">
        <f aca="false">INDEX('Site-uri'!$B$2:$B$20,MATCH(A316,'Site-uri'!$A$2:$A$20,0))</f>
        <v>floride-e2.com</v>
      </c>
      <c r="C316" s="10" t="s">
        <v>70</v>
      </c>
      <c r="D316" s="10" t="str">
        <f aca="false">INDEX('Site-uri'!$B$2:$B$20,MATCH(C316,'Site-uri'!$A$2:$A$20,0))</f>
        <v>eu-ai-act.ro</v>
      </c>
      <c r="E316" s="10" t="str">
        <f aca="false">INDEX('Site-uri'!$C$2:$C$20,MATCH(C316,'Site-uri'!$A$2:$A$20,0))</f>
        <v>/</v>
      </c>
      <c r="F316" s="10" t="str">
        <f aca="false">B316</f>
        <v>floride-e2.com</v>
      </c>
      <c r="G316" s="10" t="str">
        <f aca="false">Config!$B$5</f>
        <v>network</v>
      </c>
      <c r="H316" s="10" t="str">
        <f aca="false">Config!$B$3</f>
        <v>2610_ff_lansare</v>
      </c>
      <c r="I316" s="10" t="str">
        <f aca="false">Config!$B$4</f>
        <v>general</v>
      </c>
      <c r="J316" s="10" t="str">
        <f aca="false">"https://"&amp;D316&amp;E316&amp;"?utm_source="&amp;F316&amp;"&amp;utm_medium="&amp;G316&amp;"&amp;utm_campaign="&amp;H316&amp;"&amp;utm_content="&amp;I316</f>
        <v>https://eu-ai-act.ro/?utm_source=floride-e2.com&amp;utm_medium=network&amp;utm_campaign=2610_ff_lansare&amp;utm_content=general</v>
      </c>
    </row>
    <row r="317" customFormat="false" ht="15" hidden="false" customHeight="false" outlineLevel="0" collapsed="false">
      <c r="A317" s="10" t="s">
        <v>95</v>
      </c>
      <c r="B317" s="10" t="str">
        <f aca="false">INDEX('Site-uri'!$B$2:$B$20,MATCH(A317,'Site-uri'!$A$2:$A$20,0))</f>
        <v>floride-e2.com</v>
      </c>
      <c r="C317" s="10" t="s">
        <v>73</v>
      </c>
      <c r="D317" s="10" t="str">
        <f aca="false">INDEX('Site-uri'!$B$2:$B$20,MATCH(C317,'Site-uri'!$A$2:$A$20,0))</f>
        <v>eu-ai-act-ready.eu</v>
      </c>
      <c r="E317" s="10" t="str">
        <f aca="false">INDEX('Site-uri'!$C$2:$C$20,MATCH(C317,'Site-uri'!$A$2:$A$20,0))</f>
        <v>/</v>
      </c>
      <c r="F317" s="10" t="str">
        <f aca="false">B317</f>
        <v>floride-e2.com</v>
      </c>
      <c r="G317" s="10" t="str">
        <f aca="false">Config!$B$5</f>
        <v>network</v>
      </c>
      <c r="H317" s="10" t="str">
        <f aca="false">Config!$B$3</f>
        <v>2610_ff_lansare</v>
      </c>
      <c r="I317" s="10" t="str">
        <f aca="false">Config!$B$4</f>
        <v>general</v>
      </c>
      <c r="J317" s="10" t="str">
        <f aca="false">"https://"&amp;D317&amp;E317&amp;"?utm_source="&amp;F317&amp;"&amp;utm_medium="&amp;G317&amp;"&amp;utm_campaign="&amp;H317&amp;"&amp;utm_content="&amp;I317</f>
        <v>https://eu-ai-act-ready.eu/?utm_source=floride-e2.com&amp;utm_medium=network&amp;utm_campaign=2610_ff_lansare&amp;utm_content=general</v>
      </c>
    </row>
    <row r="318" customFormat="false" ht="15" hidden="false" customHeight="false" outlineLevel="0" collapsed="false">
      <c r="A318" s="10" t="s">
        <v>95</v>
      </c>
      <c r="B318" s="10" t="str">
        <f aca="false">INDEX('Site-uri'!$B$2:$B$20,MATCH(A318,'Site-uri'!$A$2:$A$20,0))</f>
        <v>floride-e2.com</v>
      </c>
      <c r="C318" s="10" t="s">
        <v>76</v>
      </c>
      <c r="D318" s="10" t="str">
        <f aca="false">INDEX('Site-uri'!$B$2:$B$20,MATCH(C318,'Site-uri'!$A$2:$A$20,0))</f>
        <v>eu-112.ro</v>
      </c>
      <c r="E318" s="10" t="str">
        <f aca="false">INDEX('Site-uri'!$C$2:$C$20,MATCH(C318,'Site-uri'!$A$2:$A$20,0))</f>
        <v>/</v>
      </c>
      <c r="F318" s="10" t="str">
        <f aca="false">B318</f>
        <v>floride-e2.com</v>
      </c>
      <c r="G318" s="10" t="str">
        <f aca="false">Config!$B$5</f>
        <v>network</v>
      </c>
      <c r="H318" s="10" t="str">
        <f aca="false">Config!$B$3</f>
        <v>2610_ff_lansare</v>
      </c>
      <c r="I318" s="10" t="str">
        <f aca="false">Config!$B$4</f>
        <v>general</v>
      </c>
      <c r="J318" s="10" t="str">
        <f aca="false">"https://"&amp;D318&amp;E318&amp;"?utm_source="&amp;F318&amp;"&amp;utm_medium="&amp;G318&amp;"&amp;utm_campaign="&amp;H318&amp;"&amp;utm_content="&amp;I318</f>
        <v>https://eu-112.ro/?utm_source=floride-e2.com&amp;utm_medium=network&amp;utm_campaign=2610_ff_lansare&amp;utm_content=general</v>
      </c>
    </row>
    <row r="319" customFormat="false" ht="15" hidden="false" customHeight="false" outlineLevel="0" collapsed="false">
      <c r="A319" s="10" t="s">
        <v>95</v>
      </c>
      <c r="B319" s="10" t="str">
        <f aca="false">INDEX('Site-uri'!$B$2:$B$20,MATCH(A319,'Site-uri'!$A$2:$A$20,0))</f>
        <v>floride-e2.com</v>
      </c>
      <c r="C319" s="10" t="s">
        <v>79</v>
      </c>
      <c r="D319" s="10" t="str">
        <f aca="false">INDEX('Site-uri'!$B$2:$B$20,MATCH(C319,'Site-uri'!$A$2:$A$20,0))</f>
        <v>eu-112.eu</v>
      </c>
      <c r="E319" s="10" t="str">
        <f aca="false">INDEX('Site-uri'!$C$2:$C$20,MATCH(C319,'Site-uri'!$A$2:$A$20,0))</f>
        <v>/</v>
      </c>
      <c r="F319" s="10" t="str">
        <f aca="false">B319</f>
        <v>floride-e2.com</v>
      </c>
      <c r="G319" s="10" t="str">
        <f aca="false">Config!$B$5</f>
        <v>network</v>
      </c>
      <c r="H319" s="10" t="str">
        <f aca="false">Config!$B$3</f>
        <v>2610_ff_lansare</v>
      </c>
      <c r="I319" s="10" t="str">
        <f aca="false">Config!$B$4</f>
        <v>general</v>
      </c>
      <c r="J319" s="10" t="str">
        <f aca="false">"https://"&amp;D319&amp;E319&amp;"?utm_source="&amp;F319&amp;"&amp;utm_medium="&amp;G319&amp;"&amp;utm_campaign="&amp;H319&amp;"&amp;utm_content="&amp;I319</f>
        <v>https://eu-112.eu/?utm_source=floride-e2.com&amp;utm_medium=network&amp;utm_campaign=2610_ff_lansare&amp;utm_content=general</v>
      </c>
    </row>
    <row r="320" customFormat="false" ht="15" hidden="false" customHeight="false" outlineLevel="0" collapsed="false">
      <c r="A320" s="10" t="s">
        <v>95</v>
      </c>
      <c r="B320" s="10" t="str">
        <f aca="false">INDEX('Site-uri'!$B$2:$B$20,MATCH(A320,'Site-uri'!$A$2:$A$20,0))</f>
        <v>floride-e2.com</v>
      </c>
      <c r="C320" s="10" t="s">
        <v>82</v>
      </c>
      <c r="D320" s="10" t="str">
        <f aca="false">INDEX('Site-uri'!$B$2:$B$20,MATCH(C320,'Site-uri'!$A$2:$A$20,0))</f>
        <v>1clic-ia.eu</v>
      </c>
      <c r="E320" s="10" t="str">
        <f aca="false">INDEX('Site-uri'!$C$2:$C$20,MATCH(C320,'Site-uri'!$A$2:$A$20,0))</f>
        <v>/</v>
      </c>
      <c r="F320" s="10" t="str">
        <f aca="false">B320</f>
        <v>floride-e2.com</v>
      </c>
      <c r="G320" s="10" t="str">
        <f aca="false">Config!$B$5</f>
        <v>network</v>
      </c>
      <c r="H320" s="10" t="str">
        <f aca="false">Config!$B$3</f>
        <v>2610_ff_lansare</v>
      </c>
      <c r="I320" s="10" t="str">
        <f aca="false">Config!$B$4</f>
        <v>general</v>
      </c>
      <c r="J320" s="10" t="str">
        <f aca="false">"https://"&amp;D320&amp;E320&amp;"?utm_source="&amp;F320&amp;"&amp;utm_medium="&amp;G320&amp;"&amp;utm_campaign="&amp;H320&amp;"&amp;utm_content="&amp;I320</f>
        <v>https://1clic-ia.eu/?utm_source=floride-e2.com&amp;utm_medium=network&amp;utm_campaign=2610_ff_lansare&amp;utm_content=general</v>
      </c>
    </row>
    <row r="321" customFormat="false" ht="15" hidden="false" customHeight="false" outlineLevel="0" collapsed="false">
      <c r="A321" s="10" t="s">
        <v>95</v>
      </c>
      <c r="B321" s="10" t="str">
        <f aca="false">INDEX('Site-uri'!$B$2:$B$20,MATCH(A321,'Site-uri'!$A$2:$A$20,0))</f>
        <v>floride-e2.com</v>
      </c>
      <c r="C321" s="10" t="s">
        <v>85</v>
      </c>
      <c r="D321" s="10" t="str">
        <f aca="false">INDEX('Site-uri'!$B$2:$B$20,MATCH(C321,'Site-uri'!$A$2:$A$20,0))</f>
        <v>1clic-ia.fr</v>
      </c>
      <c r="E321" s="10" t="str">
        <f aca="false">INDEX('Site-uri'!$C$2:$C$20,MATCH(C321,'Site-uri'!$A$2:$A$20,0))</f>
        <v>/</v>
      </c>
      <c r="F321" s="10" t="str">
        <f aca="false">B321</f>
        <v>floride-e2.com</v>
      </c>
      <c r="G321" s="10" t="str">
        <f aca="false">Config!$B$5</f>
        <v>network</v>
      </c>
      <c r="H321" s="10" t="str">
        <f aca="false">Config!$B$3</f>
        <v>2610_ff_lansare</v>
      </c>
      <c r="I321" s="10" t="str">
        <f aca="false">Config!$B$4</f>
        <v>general</v>
      </c>
      <c r="J321" s="10" t="str">
        <f aca="false">"https://"&amp;D321&amp;E321&amp;"?utm_source="&amp;F321&amp;"&amp;utm_medium="&amp;G321&amp;"&amp;utm_campaign="&amp;H321&amp;"&amp;utm_content="&amp;I321</f>
        <v>https://1clic-ia.fr/?utm_source=floride-e2.com&amp;utm_medium=network&amp;utm_campaign=2610_ff_lansare&amp;utm_content=general</v>
      </c>
    </row>
    <row r="322" customFormat="false" ht="15" hidden="false" customHeight="false" outlineLevel="0" collapsed="false">
      <c r="A322" s="10" t="s">
        <v>95</v>
      </c>
      <c r="B322" s="10" t="str">
        <f aca="false">INDEX('Site-uri'!$B$2:$B$20,MATCH(A322,'Site-uri'!$A$2:$A$20,0))</f>
        <v>floride-e2.com</v>
      </c>
      <c r="C322" s="10" t="s">
        <v>87</v>
      </c>
      <c r="D322" s="10" t="str">
        <f aca="false">INDEX('Site-uri'!$B$2:$B$20,MATCH(C322,'Site-uri'!$A$2:$A$20,0))</f>
        <v>firmsfinder.eu</v>
      </c>
      <c r="E322" s="10" t="str">
        <f aca="false">INDEX('Site-uri'!$C$2:$C$20,MATCH(C322,'Site-uri'!$A$2:$A$20,0))</f>
        <v>/</v>
      </c>
      <c r="F322" s="10" t="str">
        <f aca="false">B322</f>
        <v>floride-e2.com</v>
      </c>
      <c r="G322" s="10" t="str">
        <f aca="false">Config!$B$5</f>
        <v>network</v>
      </c>
      <c r="H322" s="10" t="str">
        <f aca="false">Config!$B$3</f>
        <v>2610_ff_lansare</v>
      </c>
      <c r="I322" s="10" t="str">
        <f aca="false">Config!$B$4</f>
        <v>general</v>
      </c>
      <c r="J322" s="10" t="str">
        <f aca="false">"https://"&amp;D322&amp;E322&amp;"?utm_source="&amp;F322&amp;"&amp;utm_medium="&amp;G322&amp;"&amp;utm_campaign="&amp;H322&amp;"&amp;utm_content="&amp;I322</f>
        <v>https://firmsfinder.eu/?utm_source=floride-e2.com&amp;utm_medium=network&amp;utm_campaign=2610_ff_lansare&amp;utm_content=general</v>
      </c>
    </row>
    <row r="323" customFormat="false" ht="15" hidden="false" customHeight="false" outlineLevel="0" collapsed="false">
      <c r="A323" s="10" t="s">
        <v>95</v>
      </c>
      <c r="B323" s="10" t="str">
        <f aca="false">INDEX('Site-uri'!$B$2:$B$20,MATCH(A323,'Site-uri'!$A$2:$A$20,0))</f>
        <v>floride-e2.com</v>
      </c>
      <c r="C323" s="10" t="s">
        <v>90</v>
      </c>
      <c r="D323" s="10" t="str">
        <f aca="false">INDEX('Site-uri'!$B$2:$B$20,MATCH(C323,'Site-uri'!$A$2:$A$20,0))</f>
        <v>b2b-ai-library.org</v>
      </c>
      <c r="E323" s="10" t="str">
        <f aca="false">INDEX('Site-uri'!$C$2:$C$20,MATCH(C323,'Site-uri'!$A$2:$A$20,0))</f>
        <v>/</v>
      </c>
      <c r="F323" s="10" t="str">
        <f aca="false">B323</f>
        <v>floride-e2.com</v>
      </c>
      <c r="G323" s="10" t="str">
        <f aca="false">Config!$B$5</f>
        <v>network</v>
      </c>
      <c r="H323" s="10" t="str">
        <f aca="false">Config!$B$3</f>
        <v>2610_ff_lansare</v>
      </c>
      <c r="I323" s="10" t="str">
        <f aca="false">Config!$B$4</f>
        <v>general</v>
      </c>
      <c r="J323" s="10" t="str">
        <f aca="false">"https://"&amp;D323&amp;E323&amp;"?utm_source="&amp;F323&amp;"&amp;utm_medium="&amp;G323&amp;"&amp;utm_campaign="&amp;H323&amp;"&amp;utm_content="&amp;I323</f>
        <v>https://b2b-ai-library.org/?utm_source=floride-e2.com&amp;utm_medium=network&amp;utm_campaign=2610_ff_lansare&amp;utm_content=general</v>
      </c>
    </row>
    <row r="324" customFormat="false" ht="15" hidden="false" customHeight="false" outlineLevel="0" collapsed="false">
      <c r="A324" s="10" t="s">
        <v>95</v>
      </c>
      <c r="B324" s="10" t="str">
        <f aca="false">INDEX('Site-uri'!$B$2:$B$20,MATCH(A324,'Site-uri'!$A$2:$A$20,0))</f>
        <v>floride-e2.com</v>
      </c>
      <c r="C324" s="10" t="s">
        <v>92</v>
      </c>
      <c r="D324" s="10" t="str">
        <f aca="false">INDEX('Site-uri'!$B$2:$B$20,MATCH(C324,'Site-uri'!$A$2:$A$20,0))</f>
        <v>the3webs.com</v>
      </c>
      <c r="E324" s="10" t="str">
        <f aca="false">INDEX('Site-uri'!$C$2:$C$20,MATCH(C324,'Site-uri'!$A$2:$A$20,0))</f>
        <v>/</v>
      </c>
      <c r="F324" s="10" t="str">
        <f aca="false">B324</f>
        <v>floride-e2.com</v>
      </c>
      <c r="G324" s="10" t="str">
        <f aca="false">Config!$B$5</f>
        <v>network</v>
      </c>
      <c r="H324" s="10" t="str">
        <f aca="false">Config!$B$3</f>
        <v>2610_ff_lansare</v>
      </c>
      <c r="I324" s="10" t="str">
        <f aca="false">Config!$B$4</f>
        <v>general</v>
      </c>
      <c r="J324" s="10" t="str">
        <f aca="false">"https://"&amp;D324&amp;E324&amp;"?utm_source="&amp;F324&amp;"&amp;utm_medium="&amp;G324&amp;"&amp;utm_campaign="&amp;H324&amp;"&amp;utm_content="&amp;I324</f>
        <v>https://the3webs.com/?utm_source=floride-e2.com&amp;utm_medium=network&amp;utm_campaign=2610_ff_lansare&amp;utm_content=general</v>
      </c>
    </row>
    <row r="325" customFormat="false" ht="15" hidden="false" customHeight="false" outlineLevel="0" collapsed="false">
      <c r="A325" s="10" t="s">
        <v>95</v>
      </c>
      <c r="B325" s="10" t="str">
        <f aca="false">INDEX('Site-uri'!$B$2:$B$20,MATCH(A325,'Site-uri'!$A$2:$A$20,0))</f>
        <v>floride-e2.com</v>
      </c>
      <c r="C325" s="10" t="s">
        <v>97</v>
      </c>
      <c r="D325" s="10" t="str">
        <f aca="false">INDEX('Site-uri'!$B$2:$B$20,MATCH(C325,'Site-uri'!$A$2:$A$20,0))</f>
        <v>ecbtax.com</v>
      </c>
      <c r="E325" s="10" t="str">
        <f aca="false">INDEX('Site-uri'!$C$2:$C$20,MATCH(C325,'Site-uri'!$A$2:$A$20,0))</f>
        <v>/</v>
      </c>
      <c r="F325" s="10" t="str">
        <f aca="false">B325</f>
        <v>floride-e2.com</v>
      </c>
      <c r="G325" s="10" t="str">
        <f aca="false">Config!$B$5</f>
        <v>network</v>
      </c>
      <c r="H325" s="10" t="str">
        <f aca="false">Config!$B$3</f>
        <v>2610_ff_lansare</v>
      </c>
      <c r="I325" s="10" t="str">
        <f aca="false">Config!$B$4</f>
        <v>general</v>
      </c>
      <c r="J325" s="10" t="str">
        <f aca="false">"https://"&amp;D325&amp;E325&amp;"?utm_source="&amp;F325&amp;"&amp;utm_medium="&amp;G325&amp;"&amp;utm_campaign="&amp;H325&amp;"&amp;utm_content="&amp;I325</f>
        <v>https://ecbtax.com/?utm_source=floride-e2.com&amp;utm_medium=network&amp;utm_campaign=2610_ff_lansare&amp;utm_content=general</v>
      </c>
    </row>
    <row r="326" customFormat="false" ht="15" hidden="false" customHeight="false" outlineLevel="0" collapsed="false">
      <c r="A326" s="10" t="s">
        <v>97</v>
      </c>
      <c r="B326" s="10" t="str">
        <f aca="false">INDEX('Site-uri'!$B$2:$B$20,MATCH(A326,'Site-uri'!$A$2:$A$20,0))</f>
        <v>ecbtax.com</v>
      </c>
      <c r="C326" s="10" t="s">
        <v>46</v>
      </c>
      <c r="D326" s="10" t="str">
        <f aca="false">INDEX('Site-uri'!$B$2:$B$20,MATCH(C326,'Site-uri'!$A$2:$A$20,0))</f>
        <v>5thelement.ai</v>
      </c>
      <c r="E326" s="10" t="str">
        <f aca="false">INDEX('Site-uri'!$C$2:$C$20,MATCH(C326,'Site-uri'!$A$2:$A$20,0))</f>
        <v>/</v>
      </c>
      <c r="F326" s="10" t="str">
        <f aca="false">B326</f>
        <v>ecbtax.com</v>
      </c>
      <c r="G326" s="10" t="str">
        <f aca="false">Config!$B$5</f>
        <v>network</v>
      </c>
      <c r="H326" s="10" t="str">
        <f aca="false">Config!$B$3</f>
        <v>2610_ff_lansare</v>
      </c>
      <c r="I326" s="10" t="str">
        <f aca="false">Config!$B$4</f>
        <v>general</v>
      </c>
      <c r="J326" s="10" t="str">
        <f aca="false">"https://"&amp;D326&amp;E326&amp;"?utm_source="&amp;F326&amp;"&amp;utm_medium="&amp;G326&amp;"&amp;utm_campaign="&amp;H326&amp;"&amp;utm_content="&amp;I326</f>
        <v>https://5thelement.ai/?utm_source=ecbtax.com&amp;utm_medium=network&amp;utm_campaign=2610_ff_lansare&amp;utm_content=general</v>
      </c>
    </row>
    <row r="327" customFormat="false" ht="15" hidden="false" customHeight="false" outlineLevel="0" collapsed="false">
      <c r="A327" s="10" t="s">
        <v>97</v>
      </c>
      <c r="B327" s="10" t="str">
        <f aca="false">INDEX('Site-uri'!$B$2:$B$20,MATCH(A327,'Site-uri'!$A$2:$A$20,0))</f>
        <v>ecbtax.com</v>
      </c>
      <c r="C327" s="10" t="s">
        <v>50</v>
      </c>
      <c r="D327" s="10" t="str">
        <f aca="false">INDEX('Site-uri'!$B$2:$B$20,MATCH(C327,'Site-uri'!$A$2:$A$20,0))</f>
        <v>aiventure.ro</v>
      </c>
      <c r="E327" s="10" t="str">
        <f aca="false">INDEX('Site-uri'!$C$2:$C$20,MATCH(C327,'Site-uri'!$A$2:$A$20,0))</f>
        <v>/</v>
      </c>
      <c r="F327" s="10" t="str">
        <f aca="false">B327</f>
        <v>ecbtax.com</v>
      </c>
      <c r="G327" s="10" t="str">
        <f aca="false">Config!$B$5</f>
        <v>network</v>
      </c>
      <c r="H327" s="10" t="str">
        <f aca="false">Config!$B$3</f>
        <v>2610_ff_lansare</v>
      </c>
      <c r="I327" s="10" t="str">
        <f aca="false">Config!$B$4</f>
        <v>general</v>
      </c>
      <c r="J327" s="10" t="str">
        <f aca="false">"https://"&amp;D327&amp;E327&amp;"?utm_source="&amp;F327&amp;"&amp;utm_medium="&amp;G327&amp;"&amp;utm_campaign="&amp;H327&amp;"&amp;utm_content="&amp;I327</f>
        <v>https://aiventure.ro/?utm_source=ecbtax.com&amp;utm_medium=network&amp;utm_campaign=2610_ff_lansare&amp;utm_content=general</v>
      </c>
    </row>
    <row r="328" customFormat="false" ht="15" hidden="false" customHeight="false" outlineLevel="0" collapsed="false">
      <c r="A328" s="10" t="s">
        <v>97</v>
      </c>
      <c r="B328" s="10" t="str">
        <f aca="false">INDEX('Site-uri'!$B$2:$B$20,MATCH(A328,'Site-uri'!$A$2:$A$20,0))</f>
        <v>ecbtax.com</v>
      </c>
      <c r="C328" s="10" t="s">
        <v>53</v>
      </c>
      <c r="D328" s="10" t="str">
        <f aca="false">INDEX('Site-uri'!$B$2:$B$20,MATCH(C328,'Site-uri'!$A$2:$A$20,0))</f>
        <v>aiventure.uk</v>
      </c>
      <c r="E328" s="10" t="str">
        <f aca="false">INDEX('Site-uri'!$C$2:$C$20,MATCH(C328,'Site-uri'!$A$2:$A$20,0))</f>
        <v>/</v>
      </c>
      <c r="F328" s="10" t="str">
        <f aca="false">B328</f>
        <v>ecbtax.com</v>
      </c>
      <c r="G328" s="10" t="str">
        <f aca="false">Config!$B$5</f>
        <v>network</v>
      </c>
      <c r="H328" s="10" t="str">
        <f aca="false">Config!$B$3</f>
        <v>2610_ff_lansare</v>
      </c>
      <c r="I328" s="10" t="str">
        <f aca="false">Config!$B$4</f>
        <v>general</v>
      </c>
      <c r="J328" s="10" t="str">
        <f aca="false">"https://"&amp;D328&amp;E328&amp;"?utm_source="&amp;F328&amp;"&amp;utm_medium="&amp;G328&amp;"&amp;utm_campaign="&amp;H328&amp;"&amp;utm_content="&amp;I328</f>
        <v>https://aiventure.uk/?utm_source=ecbtax.com&amp;utm_medium=network&amp;utm_campaign=2610_ff_lansare&amp;utm_content=general</v>
      </c>
    </row>
    <row r="329" customFormat="false" ht="15" hidden="false" customHeight="false" outlineLevel="0" collapsed="false">
      <c r="A329" s="10" t="s">
        <v>97</v>
      </c>
      <c r="B329" s="10" t="str">
        <f aca="false">INDEX('Site-uri'!$B$2:$B$20,MATCH(A329,'Site-uri'!$A$2:$A$20,0))</f>
        <v>ecbtax.com</v>
      </c>
      <c r="C329" s="10" t="s">
        <v>56</v>
      </c>
      <c r="D329" s="10" t="str">
        <f aca="false">INDEX('Site-uri'!$B$2:$B$20,MATCH(C329,'Site-uri'!$A$2:$A$20,0))</f>
        <v>3webobs.com</v>
      </c>
      <c r="E329" s="10" t="str">
        <f aca="false">INDEX('Site-uri'!$C$2:$C$20,MATCH(C329,'Site-uri'!$A$2:$A$20,0))</f>
        <v>/</v>
      </c>
      <c r="F329" s="10" t="str">
        <f aca="false">B329</f>
        <v>ecbtax.com</v>
      </c>
      <c r="G329" s="10" t="str">
        <f aca="false">Config!$B$5</f>
        <v>network</v>
      </c>
      <c r="H329" s="10" t="str">
        <f aca="false">Config!$B$3</f>
        <v>2610_ff_lansare</v>
      </c>
      <c r="I329" s="10" t="str">
        <f aca="false">Config!$B$4</f>
        <v>general</v>
      </c>
      <c r="J329" s="10" t="str">
        <f aca="false">"https://"&amp;D329&amp;E329&amp;"?utm_source="&amp;F329&amp;"&amp;utm_medium="&amp;G329&amp;"&amp;utm_campaign="&amp;H329&amp;"&amp;utm_content="&amp;I329</f>
        <v>https://3webobs.com/?utm_source=ecbtax.com&amp;utm_medium=network&amp;utm_campaign=2610_ff_lansare&amp;utm_content=general</v>
      </c>
    </row>
    <row r="330" customFormat="false" ht="15" hidden="false" customHeight="false" outlineLevel="0" collapsed="false">
      <c r="A330" s="10" t="s">
        <v>97</v>
      </c>
      <c r="B330" s="10" t="str">
        <f aca="false">INDEX('Site-uri'!$B$2:$B$20,MATCH(A330,'Site-uri'!$A$2:$A$20,0))</f>
        <v>ecbtax.com</v>
      </c>
      <c r="C330" s="10" t="s">
        <v>59</v>
      </c>
      <c r="D330" s="10" t="str">
        <f aca="false">INDEX('Site-uri'!$B$2:$B$20,MATCH(C330,'Site-uri'!$A$2:$A$20,0))</f>
        <v>ai-lens.eu</v>
      </c>
      <c r="E330" s="10" t="str">
        <f aca="false">INDEX('Site-uri'!$C$2:$C$20,MATCH(C330,'Site-uri'!$A$2:$A$20,0))</f>
        <v>/</v>
      </c>
      <c r="F330" s="10" t="str">
        <f aca="false">B330</f>
        <v>ecbtax.com</v>
      </c>
      <c r="G330" s="10" t="str">
        <f aca="false">Config!$B$5</f>
        <v>network</v>
      </c>
      <c r="H330" s="10" t="str">
        <f aca="false">Config!$B$3</f>
        <v>2610_ff_lansare</v>
      </c>
      <c r="I330" s="10" t="str">
        <f aca="false">Config!$B$4</f>
        <v>general</v>
      </c>
      <c r="J330" s="10" t="str">
        <f aca="false">"https://"&amp;D330&amp;E330&amp;"?utm_source="&amp;F330&amp;"&amp;utm_medium="&amp;G330&amp;"&amp;utm_campaign="&amp;H330&amp;"&amp;utm_content="&amp;I330</f>
        <v>https://ai-lens.eu/?utm_source=ecbtax.com&amp;utm_medium=network&amp;utm_campaign=2610_ff_lansare&amp;utm_content=general</v>
      </c>
    </row>
    <row r="331" customFormat="false" ht="15" hidden="false" customHeight="false" outlineLevel="0" collapsed="false">
      <c r="A331" s="10" t="s">
        <v>97</v>
      </c>
      <c r="B331" s="10" t="str">
        <f aca="false">INDEX('Site-uri'!$B$2:$B$20,MATCH(A331,'Site-uri'!$A$2:$A$20,0))</f>
        <v>ecbtax.com</v>
      </c>
      <c r="C331" s="10" t="s">
        <v>62</v>
      </c>
      <c r="D331" s="10" t="str">
        <f aca="false">INDEX('Site-uri'!$B$2:$B$20,MATCH(C331,'Site-uri'!$A$2:$A$20,0))</f>
        <v>aireadyinjector.com</v>
      </c>
      <c r="E331" s="10" t="str">
        <f aca="false">INDEX('Site-uri'!$C$2:$C$20,MATCH(C331,'Site-uri'!$A$2:$A$20,0))</f>
        <v>/</v>
      </c>
      <c r="F331" s="10" t="str">
        <f aca="false">B331</f>
        <v>ecbtax.com</v>
      </c>
      <c r="G331" s="10" t="str">
        <f aca="false">Config!$B$5</f>
        <v>network</v>
      </c>
      <c r="H331" s="10" t="str">
        <f aca="false">Config!$B$3</f>
        <v>2610_ff_lansare</v>
      </c>
      <c r="I331" s="10" t="str">
        <f aca="false">Config!$B$4</f>
        <v>general</v>
      </c>
      <c r="J331" s="10" t="str">
        <f aca="false">"https://"&amp;D331&amp;E331&amp;"?utm_source="&amp;F331&amp;"&amp;utm_medium="&amp;G331&amp;"&amp;utm_campaign="&amp;H331&amp;"&amp;utm_content="&amp;I331</f>
        <v>https://aireadyinjector.com/?utm_source=ecbtax.com&amp;utm_medium=network&amp;utm_campaign=2610_ff_lansare&amp;utm_content=general</v>
      </c>
    </row>
    <row r="332" customFormat="false" ht="15" hidden="false" customHeight="false" outlineLevel="0" collapsed="false">
      <c r="A332" s="10" t="s">
        <v>97</v>
      </c>
      <c r="B332" s="10" t="str">
        <f aca="false">INDEX('Site-uri'!$B$2:$B$20,MATCH(A332,'Site-uri'!$A$2:$A$20,0))</f>
        <v>ecbtax.com</v>
      </c>
      <c r="C332" s="10" t="s">
        <v>65</v>
      </c>
      <c r="D332" s="10" t="str">
        <f aca="false">INDEX('Site-uri'!$B$2:$B$20,MATCH(C332,'Site-uri'!$A$2:$A$20,0))</f>
        <v>eu-ai-audit.eu</v>
      </c>
      <c r="E332" s="10" t="str">
        <f aca="false">INDEX('Site-uri'!$C$2:$C$20,MATCH(C332,'Site-uri'!$A$2:$A$20,0))</f>
        <v>/</v>
      </c>
      <c r="F332" s="10" t="str">
        <f aca="false">B332</f>
        <v>ecbtax.com</v>
      </c>
      <c r="G332" s="10" t="str">
        <f aca="false">Config!$B$5</f>
        <v>network</v>
      </c>
      <c r="H332" s="10" t="str">
        <f aca="false">Config!$B$3</f>
        <v>2610_ff_lansare</v>
      </c>
      <c r="I332" s="10" t="str">
        <f aca="false">Config!$B$4</f>
        <v>general</v>
      </c>
      <c r="J332" s="10" t="str">
        <f aca="false">"https://"&amp;D332&amp;E332&amp;"?utm_source="&amp;F332&amp;"&amp;utm_medium="&amp;G332&amp;"&amp;utm_campaign="&amp;H332&amp;"&amp;utm_content="&amp;I332</f>
        <v>https://eu-ai-audit.eu/?utm_source=ecbtax.com&amp;utm_medium=network&amp;utm_campaign=2610_ff_lansare&amp;utm_content=general</v>
      </c>
    </row>
    <row r="333" customFormat="false" ht="15" hidden="false" customHeight="false" outlineLevel="0" collapsed="false">
      <c r="A333" s="10" t="s">
        <v>97</v>
      </c>
      <c r="B333" s="10" t="str">
        <f aca="false">INDEX('Site-uri'!$B$2:$B$20,MATCH(A333,'Site-uri'!$A$2:$A$20,0))</f>
        <v>ecbtax.com</v>
      </c>
      <c r="C333" s="10" t="s">
        <v>68</v>
      </c>
      <c r="D333" s="10" t="str">
        <f aca="false">INDEX('Site-uri'!$B$2:$B$20,MATCH(C333,'Site-uri'!$A$2:$A$20,0))</f>
        <v>eu-ai-ready.eu</v>
      </c>
      <c r="E333" s="10" t="str">
        <f aca="false">INDEX('Site-uri'!$C$2:$C$20,MATCH(C333,'Site-uri'!$A$2:$A$20,0))</f>
        <v>/</v>
      </c>
      <c r="F333" s="10" t="str">
        <f aca="false">B333</f>
        <v>ecbtax.com</v>
      </c>
      <c r="G333" s="10" t="str">
        <f aca="false">Config!$B$5</f>
        <v>network</v>
      </c>
      <c r="H333" s="10" t="str">
        <f aca="false">Config!$B$3</f>
        <v>2610_ff_lansare</v>
      </c>
      <c r="I333" s="10" t="str">
        <f aca="false">Config!$B$4</f>
        <v>general</v>
      </c>
      <c r="J333" s="10" t="str">
        <f aca="false">"https://"&amp;D333&amp;E333&amp;"?utm_source="&amp;F333&amp;"&amp;utm_medium="&amp;G333&amp;"&amp;utm_campaign="&amp;H333&amp;"&amp;utm_content="&amp;I333</f>
        <v>https://eu-ai-ready.eu/?utm_source=ecbtax.com&amp;utm_medium=network&amp;utm_campaign=2610_ff_lansare&amp;utm_content=general</v>
      </c>
    </row>
    <row r="334" customFormat="false" ht="15" hidden="false" customHeight="false" outlineLevel="0" collapsed="false">
      <c r="A334" s="10" t="s">
        <v>97</v>
      </c>
      <c r="B334" s="10" t="str">
        <f aca="false">INDEX('Site-uri'!$B$2:$B$20,MATCH(A334,'Site-uri'!$A$2:$A$20,0))</f>
        <v>ecbtax.com</v>
      </c>
      <c r="C334" s="10" t="s">
        <v>70</v>
      </c>
      <c r="D334" s="10" t="str">
        <f aca="false">INDEX('Site-uri'!$B$2:$B$20,MATCH(C334,'Site-uri'!$A$2:$A$20,0))</f>
        <v>eu-ai-act.ro</v>
      </c>
      <c r="E334" s="10" t="str">
        <f aca="false">INDEX('Site-uri'!$C$2:$C$20,MATCH(C334,'Site-uri'!$A$2:$A$20,0))</f>
        <v>/</v>
      </c>
      <c r="F334" s="10" t="str">
        <f aca="false">B334</f>
        <v>ecbtax.com</v>
      </c>
      <c r="G334" s="10" t="str">
        <f aca="false">Config!$B$5</f>
        <v>network</v>
      </c>
      <c r="H334" s="10" t="str">
        <f aca="false">Config!$B$3</f>
        <v>2610_ff_lansare</v>
      </c>
      <c r="I334" s="10" t="str">
        <f aca="false">Config!$B$4</f>
        <v>general</v>
      </c>
      <c r="J334" s="10" t="str">
        <f aca="false">"https://"&amp;D334&amp;E334&amp;"?utm_source="&amp;F334&amp;"&amp;utm_medium="&amp;G334&amp;"&amp;utm_campaign="&amp;H334&amp;"&amp;utm_content="&amp;I334</f>
        <v>https://eu-ai-act.ro/?utm_source=ecbtax.com&amp;utm_medium=network&amp;utm_campaign=2610_ff_lansare&amp;utm_content=general</v>
      </c>
    </row>
    <row r="335" customFormat="false" ht="15" hidden="false" customHeight="false" outlineLevel="0" collapsed="false">
      <c r="A335" s="10" t="s">
        <v>97</v>
      </c>
      <c r="B335" s="10" t="str">
        <f aca="false">INDEX('Site-uri'!$B$2:$B$20,MATCH(A335,'Site-uri'!$A$2:$A$20,0))</f>
        <v>ecbtax.com</v>
      </c>
      <c r="C335" s="10" t="s">
        <v>73</v>
      </c>
      <c r="D335" s="10" t="str">
        <f aca="false">INDEX('Site-uri'!$B$2:$B$20,MATCH(C335,'Site-uri'!$A$2:$A$20,0))</f>
        <v>eu-ai-act-ready.eu</v>
      </c>
      <c r="E335" s="10" t="str">
        <f aca="false">INDEX('Site-uri'!$C$2:$C$20,MATCH(C335,'Site-uri'!$A$2:$A$20,0))</f>
        <v>/</v>
      </c>
      <c r="F335" s="10" t="str">
        <f aca="false">B335</f>
        <v>ecbtax.com</v>
      </c>
      <c r="G335" s="10" t="str">
        <f aca="false">Config!$B$5</f>
        <v>network</v>
      </c>
      <c r="H335" s="10" t="str">
        <f aca="false">Config!$B$3</f>
        <v>2610_ff_lansare</v>
      </c>
      <c r="I335" s="10" t="str">
        <f aca="false">Config!$B$4</f>
        <v>general</v>
      </c>
      <c r="J335" s="10" t="str">
        <f aca="false">"https://"&amp;D335&amp;E335&amp;"?utm_source="&amp;F335&amp;"&amp;utm_medium="&amp;G335&amp;"&amp;utm_campaign="&amp;H335&amp;"&amp;utm_content="&amp;I335</f>
        <v>https://eu-ai-act-ready.eu/?utm_source=ecbtax.com&amp;utm_medium=network&amp;utm_campaign=2610_ff_lansare&amp;utm_content=general</v>
      </c>
    </row>
    <row r="336" customFormat="false" ht="15" hidden="false" customHeight="false" outlineLevel="0" collapsed="false">
      <c r="A336" s="10" t="s">
        <v>97</v>
      </c>
      <c r="B336" s="10" t="str">
        <f aca="false">INDEX('Site-uri'!$B$2:$B$20,MATCH(A336,'Site-uri'!$A$2:$A$20,0))</f>
        <v>ecbtax.com</v>
      </c>
      <c r="C336" s="10" t="s">
        <v>76</v>
      </c>
      <c r="D336" s="10" t="str">
        <f aca="false">INDEX('Site-uri'!$B$2:$B$20,MATCH(C336,'Site-uri'!$A$2:$A$20,0))</f>
        <v>eu-112.ro</v>
      </c>
      <c r="E336" s="10" t="str">
        <f aca="false">INDEX('Site-uri'!$C$2:$C$20,MATCH(C336,'Site-uri'!$A$2:$A$20,0))</f>
        <v>/</v>
      </c>
      <c r="F336" s="10" t="str">
        <f aca="false">B336</f>
        <v>ecbtax.com</v>
      </c>
      <c r="G336" s="10" t="str">
        <f aca="false">Config!$B$5</f>
        <v>network</v>
      </c>
      <c r="H336" s="10" t="str">
        <f aca="false">Config!$B$3</f>
        <v>2610_ff_lansare</v>
      </c>
      <c r="I336" s="10" t="str">
        <f aca="false">Config!$B$4</f>
        <v>general</v>
      </c>
      <c r="J336" s="10" t="str">
        <f aca="false">"https://"&amp;D336&amp;E336&amp;"?utm_source="&amp;F336&amp;"&amp;utm_medium="&amp;G336&amp;"&amp;utm_campaign="&amp;H336&amp;"&amp;utm_content="&amp;I336</f>
        <v>https://eu-112.ro/?utm_source=ecbtax.com&amp;utm_medium=network&amp;utm_campaign=2610_ff_lansare&amp;utm_content=general</v>
      </c>
    </row>
    <row r="337" customFormat="false" ht="15" hidden="false" customHeight="false" outlineLevel="0" collapsed="false">
      <c r="A337" s="10" t="s">
        <v>97</v>
      </c>
      <c r="B337" s="10" t="str">
        <f aca="false">INDEX('Site-uri'!$B$2:$B$20,MATCH(A337,'Site-uri'!$A$2:$A$20,0))</f>
        <v>ecbtax.com</v>
      </c>
      <c r="C337" s="10" t="s">
        <v>79</v>
      </c>
      <c r="D337" s="10" t="str">
        <f aca="false">INDEX('Site-uri'!$B$2:$B$20,MATCH(C337,'Site-uri'!$A$2:$A$20,0))</f>
        <v>eu-112.eu</v>
      </c>
      <c r="E337" s="10" t="str">
        <f aca="false">INDEX('Site-uri'!$C$2:$C$20,MATCH(C337,'Site-uri'!$A$2:$A$20,0))</f>
        <v>/</v>
      </c>
      <c r="F337" s="10" t="str">
        <f aca="false">B337</f>
        <v>ecbtax.com</v>
      </c>
      <c r="G337" s="10" t="str">
        <f aca="false">Config!$B$5</f>
        <v>network</v>
      </c>
      <c r="H337" s="10" t="str">
        <f aca="false">Config!$B$3</f>
        <v>2610_ff_lansare</v>
      </c>
      <c r="I337" s="10" t="str">
        <f aca="false">Config!$B$4</f>
        <v>general</v>
      </c>
      <c r="J337" s="10" t="str">
        <f aca="false">"https://"&amp;D337&amp;E337&amp;"?utm_source="&amp;F337&amp;"&amp;utm_medium="&amp;G337&amp;"&amp;utm_campaign="&amp;H337&amp;"&amp;utm_content="&amp;I337</f>
        <v>https://eu-112.eu/?utm_source=ecbtax.com&amp;utm_medium=network&amp;utm_campaign=2610_ff_lansare&amp;utm_content=general</v>
      </c>
    </row>
    <row r="338" customFormat="false" ht="15" hidden="false" customHeight="false" outlineLevel="0" collapsed="false">
      <c r="A338" s="10" t="s">
        <v>97</v>
      </c>
      <c r="B338" s="10" t="str">
        <f aca="false">INDEX('Site-uri'!$B$2:$B$20,MATCH(A338,'Site-uri'!$A$2:$A$20,0))</f>
        <v>ecbtax.com</v>
      </c>
      <c r="C338" s="10" t="s">
        <v>82</v>
      </c>
      <c r="D338" s="10" t="str">
        <f aca="false">INDEX('Site-uri'!$B$2:$B$20,MATCH(C338,'Site-uri'!$A$2:$A$20,0))</f>
        <v>1clic-ia.eu</v>
      </c>
      <c r="E338" s="10" t="str">
        <f aca="false">INDEX('Site-uri'!$C$2:$C$20,MATCH(C338,'Site-uri'!$A$2:$A$20,0))</f>
        <v>/</v>
      </c>
      <c r="F338" s="10" t="str">
        <f aca="false">B338</f>
        <v>ecbtax.com</v>
      </c>
      <c r="G338" s="10" t="str">
        <f aca="false">Config!$B$5</f>
        <v>network</v>
      </c>
      <c r="H338" s="10" t="str">
        <f aca="false">Config!$B$3</f>
        <v>2610_ff_lansare</v>
      </c>
      <c r="I338" s="10" t="str">
        <f aca="false">Config!$B$4</f>
        <v>general</v>
      </c>
      <c r="J338" s="10" t="str">
        <f aca="false">"https://"&amp;D338&amp;E338&amp;"?utm_source="&amp;F338&amp;"&amp;utm_medium="&amp;G338&amp;"&amp;utm_campaign="&amp;H338&amp;"&amp;utm_content="&amp;I338</f>
        <v>https://1clic-ia.eu/?utm_source=ecbtax.com&amp;utm_medium=network&amp;utm_campaign=2610_ff_lansare&amp;utm_content=general</v>
      </c>
    </row>
    <row r="339" customFormat="false" ht="15" hidden="false" customHeight="false" outlineLevel="0" collapsed="false">
      <c r="A339" s="10" t="s">
        <v>97</v>
      </c>
      <c r="B339" s="10" t="str">
        <f aca="false">INDEX('Site-uri'!$B$2:$B$20,MATCH(A339,'Site-uri'!$A$2:$A$20,0))</f>
        <v>ecbtax.com</v>
      </c>
      <c r="C339" s="10" t="s">
        <v>85</v>
      </c>
      <c r="D339" s="10" t="str">
        <f aca="false">INDEX('Site-uri'!$B$2:$B$20,MATCH(C339,'Site-uri'!$A$2:$A$20,0))</f>
        <v>1clic-ia.fr</v>
      </c>
      <c r="E339" s="10" t="str">
        <f aca="false">INDEX('Site-uri'!$C$2:$C$20,MATCH(C339,'Site-uri'!$A$2:$A$20,0))</f>
        <v>/</v>
      </c>
      <c r="F339" s="10" t="str">
        <f aca="false">B339</f>
        <v>ecbtax.com</v>
      </c>
      <c r="G339" s="10" t="str">
        <f aca="false">Config!$B$5</f>
        <v>network</v>
      </c>
      <c r="H339" s="10" t="str">
        <f aca="false">Config!$B$3</f>
        <v>2610_ff_lansare</v>
      </c>
      <c r="I339" s="10" t="str">
        <f aca="false">Config!$B$4</f>
        <v>general</v>
      </c>
      <c r="J339" s="10" t="str">
        <f aca="false">"https://"&amp;D339&amp;E339&amp;"?utm_source="&amp;F339&amp;"&amp;utm_medium="&amp;G339&amp;"&amp;utm_campaign="&amp;H339&amp;"&amp;utm_content="&amp;I339</f>
        <v>https://1clic-ia.fr/?utm_source=ecbtax.com&amp;utm_medium=network&amp;utm_campaign=2610_ff_lansare&amp;utm_content=general</v>
      </c>
    </row>
    <row r="340" customFormat="false" ht="15" hidden="false" customHeight="false" outlineLevel="0" collapsed="false">
      <c r="A340" s="10" t="s">
        <v>97</v>
      </c>
      <c r="B340" s="10" t="str">
        <f aca="false">INDEX('Site-uri'!$B$2:$B$20,MATCH(A340,'Site-uri'!$A$2:$A$20,0))</f>
        <v>ecbtax.com</v>
      </c>
      <c r="C340" s="10" t="s">
        <v>87</v>
      </c>
      <c r="D340" s="10" t="str">
        <f aca="false">INDEX('Site-uri'!$B$2:$B$20,MATCH(C340,'Site-uri'!$A$2:$A$20,0))</f>
        <v>firmsfinder.eu</v>
      </c>
      <c r="E340" s="10" t="str">
        <f aca="false">INDEX('Site-uri'!$C$2:$C$20,MATCH(C340,'Site-uri'!$A$2:$A$20,0))</f>
        <v>/</v>
      </c>
      <c r="F340" s="10" t="str">
        <f aca="false">B340</f>
        <v>ecbtax.com</v>
      </c>
      <c r="G340" s="10" t="str">
        <f aca="false">Config!$B$5</f>
        <v>network</v>
      </c>
      <c r="H340" s="10" t="str">
        <f aca="false">Config!$B$3</f>
        <v>2610_ff_lansare</v>
      </c>
      <c r="I340" s="10" t="str">
        <f aca="false">Config!$B$4</f>
        <v>general</v>
      </c>
      <c r="J340" s="10" t="str">
        <f aca="false">"https://"&amp;D340&amp;E340&amp;"?utm_source="&amp;F340&amp;"&amp;utm_medium="&amp;G340&amp;"&amp;utm_campaign="&amp;H340&amp;"&amp;utm_content="&amp;I340</f>
        <v>https://firmsfinder.eu/?utm_source=ecbtax.com&amp;utm_medium=network&amp;utm_campaign=2610_ff_lansare&amp;utm_content=general</v>
      </c>
    </row>
    <row r="341" customFormat="false" ht="15" hidden="false" customHeight="false" outlineLevel="0" collapsed="false">
      <c r="A341" s="10" t="s">
        <v>97</v>
      </c>
      <c r="B341" s="10" t="str">
        <f aca="false">INDEX('Site-uri'!$B$2:$B$20,MATCH(A341,'Site-uri'!$A$2:$A$20,0))</f>
        <v>ecbtax.com</v>
      </c>
      <c r="C341" s="10" t="s">
        <v>90</v>
      </c>
      <c r="D341" s="10" t="str">
        <f aca="false">INDEX('Site-uri'!$B$2:$B$20,MATCH(C341,'Site-uri'!$A$2:$A$20,0))</f>
        <v>b2b-ai-library.org</v>
      </c>
      <c r="E341" s="10" t="str">
        <f aca="false">INDEX('Site-uri'!$C$2:$C$20,MATCH(C341,'Site-uri'!$A$2:$A$20,0))</f>
        <v>/</v>
      </c>
      <c r="F341" s="10" t="str">
        <f aca="false">B341</f>
        <v>ecbtax.com</v>
      </c>
      <c r="G341" s="10" t="str">
        <f aca="false">Config!$B$5</f>
        <v>network</v>
      </c>
      <c r="H341" s="10" t="str">
        <f aca="false">Config!$B$3</f>
        <v>2610_ff_lansare</v>
      </c>
      <c r="I341" s="10" t="str">
        <f aca="false">Config!$B$4</f>
        <v>general</v>
      </c>
      <c r="J341" s="10" t="str">
        <f aca="false">"https://"&amp;D341&amp;E341&amp;"?utm_source="&amp;F341&amp;"&amp;utm_medium="&amp;G341&amp;"&amp;utm_campaign="&amp;H341&amp;"&amp;utm_content="&amp;I341</f>
        <v>https://b2b-ai-library.org/?utm_source=ecbtax.com&amp;utm_medium=network&amp;utm_campaign=2610_ff_lansare&amp;utm_content=general</v>
      </c>
    </row>
    <row r="342" customFormat="false" ht="15" hidden="false" customHeight="false" outlineLevel="0" collapsed="false">
      <c r="A342" s="10" t="s">
        <v>97</v>
      </c>
      <c r="B342" s="10" t="str">
        <f aca="false">INDEX('Site-uri'!$B$2:$B$20,MATCH(A342,'Site-uri'!$A$2:$A$20,0))</f>
        <v>ecbtax.com</v>
      </c>
      <c r="C342" s="10" t="s">
        <v>92</v>
      </c>
      <c r="D342" s="10" t="str">
        <f aca="false">INDEX('Site-uri'!$B$2:$B$20,MATCH(C342,'Site-uri'!$A$2:$A$20,0))</f>
        <v>the3webs.com</v>
      </c>
      <c r="E342" s="10" t="str">
        <f aca="false">INDEX('Site-uri'!$C$2:$C$20,MATCH(C342,'Site-uri'!$A$2:$A$20,0))</f>
        <v>/</v>
      </c>
      <c r="F342" s="10" t="str">
        <f aca="false">B342</f>
        <v>ecbtax.com</v>
      </c>
      <c r="G342" s="10" t="str">
        <f aca="false">Config!$B$5</f>
        <v>network</v>
      </c>
      <c r="H342" s="10" t="str">
        <f aca="false">Config!$B$3</f>
        <v>2610_ff_lansare</v>
      </c>
      <c r="I342" s="10" t="str">
        <f aca="false">Config!$B$4</f>
        <v>general</v>
      </c>
      <c r="J342" s="10" t="str">
        <f aca="false">"https://"&amp;D342&amp;E342&amp;"?utm_source="&amp;F342&amp;"&amp;utm_medium="&amp;G342&amp;"&amp;utm_campaign="&amp;H342&amp;"&amp;utm_content="&amp;I342</f>
        <v>https://the3webs.com/?utm_source=ecbtax.com&amp;utm_medium=network&amp;utm_campaign=2610_ff_lansare&amp;utm_content=general</v>
      </c>
    </row>
    <row r="343" customFormat="false" ht="15" hidden="false" customHeight="false" outlineLevel="0" collapsed="false">
      <c r="A343" s="10" t="s">
        <v>97</v>
      </c>
      <c r="B343" s="10" t="str">
        <f aca="false">INDEX('Site-uri'!$B$2:$B$20,MATCH(A343,'Site-uri'!$A$2:$A$20,0))</f>
        <v>ecbtax.com</v>
      </c>
      <c r="C343" s="10" t="s">
        <v>95</v>
      </c>
      <c r="D343" s="10" t="str">
        <f aca="false">INDEX('Site-uri'!$B$2:$B$20,MATCH(C343,'Site-uri'!$A$2:$A$20,0))</f>
        <v>floride-e2.com</v>
      </c>
      <c r="E343" s="10" t="str">
        <f aca="false">INDEX('Site-uri'!$C$2:$C$20,MATCH(C343,'Site-uri'!$A$2:$A$20,0))</f>
        <v>/</v>
      </c>
      <c r="F343" s="10" t="str">
        <f aca="false">B343</f>
        <v>ecbtax.com</v>
      </c>
      <c r="G343" s="10" t="str">
        <f aca="false">Config!$B$5</f>
        <v>network</v>
      </c>
      <c r="H343" s="10" t="str">
        <f aca="false">Config!$B$3</f>
        <v>2610_ff_lansare</v>
      </c>
      <c r="I343" s="10" t="str">
        <f aca="false">Config!$B$4</f>
        <v>general</v>
      </c>
      <c r="J343" s="10" t="str">
        <f aca="false">"https://"&amp;D343&amp;E343&amp;"?utm_source="&amp;F343&amp;"&amp;utm_medium="&amp;G343&amp;"&amp;utm_campaign="&amp;H343&amp;"&amp;utm_content="&amp;I343</f>
        <v>https://floride-e2.com/?utm_source=ecbtax.com&amp;utm_medium=network&amp;utm_campaign=2610_ff_lansare&amp;utm_content=general</v>
      </c>
    </row>
  </sheetData>
  <autoFilter ref="A1:J3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4" t="s">
        <v>253</v>
      </c>
    </row>
    <row r="3" customFormat="false" ht="15" hidden="false" customHeight="false" outlineLevel="0" collapsed="false">
      <c r="A3" s="5" t="s">
        <v>254</v>
      </c>
      <c r="B3" s="6" t="s">
        <v>87</v>
      </c>
      <c r="C3" s="7" t="s">
        <v>255</v>
      </c>
    </row>
    <row r="4" customFormat="false" ht="15" hidden="false" customHeight="false" outlineLevel="0" collapsed="false">
      <c r="A4" s="5" t="s">
        <v>256</v>
      </c>
      <c r="B4" s="6" t="s">
        <v>104</v>
      </c>
    </row>
    <row r="5" customFormat="false" ht="15" hidden="false" customHeight="false" outlineLevel="0" collapsed="false">
      <c r="A5" s="5" t="s">
        <v>257</v>
      </c>
      <c r="B5" s="6" t="s">
        <v>219</v>
      </c>
    </row>
    <row r="6" customFormat="false" ht="15" hidden="false" customHeight="false" outlineLevel="0" collapsed="false">
      <c r="A6" s="5" t="s">
        <v>258</v>
      </c>
      <c r="B6" s="6" t="s">
        <v>259</v>
      </c>
    </row>
    <row r="7" customFormat="false" ht="15" hidden="false" customHeight="false" outlineLevel="0" collapsed="false">
      <c r="A7" s="5" t="s">
        <v>246</v>
      </c>
      <c r="B7" s="6" t="s">
        <v>23</v>
      </c>
    </row>
    <row r="8" customFormat="false" ht="15" hidden="false" customHeight="false" outlineLevel="0" collapsed="false">
      <c r="A8" s="5" t="s">
        <v>260</v>
      </c>
      <c r="B8" s="6" t="s">
        <v>261</v>
      </c>
    </row>
    <row r="9" customFormat="false" ht="15" hidden="false" customHeight="false" outlineLevel="0" collapsed="false">
      <c r="A9" s="5" t="s">
        <v>262</v>
      </c>
      <c r="B9" s="6"/>
    </row>
    <row r="11" customFormat="false" ht="60" hidden="false" customHeight="true" outlineLevel="0" collapsed="false">
      <c r="A11" s="5" t="s">
        <v>263</v>
      </c>
      <c r="B11" s="12" t="str">
        <f aca="false">"https://"&amp;INDEX('Site-uri'!$B$2:$B$20,MATCH(B3,'Site-uri'!$A$2:$A$20,0))&amp;IF(B6="",INDEX('Site-uri'!$C$2:$C$20,MATCH(B3,'Site-uri'!$A$2:$A$20,0)),B6)&amp;"?utm_source="&amp;INDEX(Canale!$C$2:$C$30,MATCH(B4,Canale!$A$2:$A$30,0))&amp;"&amp;utm_medium="&amp;INDEX(Canale!$D$2:$D$30,MATCH(B4,Canale!$A$2:$A$30,0))&amp;"&amp;utm_campaign="&amp;B7&amp;"&amp;utm_content="&amp;B5&amp;"_"&amp;B8&amp;IF(B9="","","&amp;utm_term="&amp;B9)</f>
        <v>https://firmsfinder.eu/cautare/?utm_source=linkedin_personal&amp;utm_medium=social&amp;utm_campaign=2610_ff_lansare&amp;utm_content=rece_hero_cauta</v>
      </c>
    </row>
  </sheetData>
  <dataValidations count="3">
    <dataValidation allowBlank="false" errorStyle="stop" operator="between" showDropDown="false" showErrorMessage="false" showInputMessage="false" sqref="B3" type="list">
      <formula1>'Site-uri'!$A$2:$A$20</formula1>
      <formula2>0</formula2>
    </dataValidation>
    <dataValidation allowBlank="false" errorStyle="stop" operator="between" showDropDown="false" showErrorMessage="false" showInputMessage="false" sqref="B4" type="list">
      <formula1>Canale!$A$2:$A$30</formula1>
      <formula2>0</formula2>
    </dataValidation>
    <dataValidation allowBlank="false" errorStyle="stop" operator="between" showDropDown="false" showErrorMessage="false" showInputMessage="false" sqref="B5" type="list">
      <formula1>Etape!$A$2:$A$5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2026-10-15T04:36:28Z</dcterms:created>
  <dc:creator>openpyxl</dc:creator>
  <dc:description/>
  <dc:language>en-US</dc:language>
  <cp:lastModifiedBy/>
  <dcterms:modified xsi:type="dcterms:W3CDTF">2026-10-15T04:36:29Z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